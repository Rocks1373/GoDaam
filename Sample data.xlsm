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eepaksharma/Desktop/work/GAPP/"/>
    </mc:Choice>
  </mc:AlternateContent>
  <xr:revisionPtr revIDLastSave="0" documentId="13_ncr:1_{DA665A53-134A-F54E-A003-0101227BE7E7}" xr6:coauthVersionLast="47" xr6:coauthVersionMax="47" xr10:uidLastSave="{00000000-0000-0000-0000-000000000000}"/>
  <bookViews>
    <workbookView xWindow="0" yWindow="600" windowWidth="38400" windowHeight="19780" tabRatio="827" activeTab="12" xr2:uid="{3C4BE385-E6FD-4508-B706-BAFBD26979C0}"/>
  </bookViews>
  <sheets>
    <sheet name="VBA Code" sheetId="8" state="hidden" r:id="rId1"/>
    <sheet name="Sheet1" sheetId="1" state="hidden" r:id="rId2"/>
    <sheet name="Stock IN" sheetId="2" r:id="rId3"/>
    <sheet name="Stock OUT" sheetId="3" r:id="rId4"/>
    <sheet name="Stock by rack" sheetId="4" r:id="rId5"/>
    <sheet name="Pick Suggestion" sheetId="5" r:id="rId6"/>
    <sheet name="Main Stock" sheetId="9" r:id="rId7"/>
    <sheet name="Sold out" sheetId="11" r:id="rId8"/>
    <sheet name="Receiving " sheetId="10" r:id="rId9"/>
    <sheet name="Pendin delivery" sheetId="12" r:id="rId10"/>
    <sheet name="DELIVERY NOTE" sheetId="13" r:id="rId11"/>
    <sheet name="Customer Details " sheetId="15" r:id="rId12"/>
    <sheet name="CITY NAME" sheetId="16" r:id="rId13"/>
  </sheets>
  <externalReferences>
    <externalReference r:id="rId14"/>
  </externalReferences>
  <definedNames>
    <definedName name="_xlnm._FilterDatabase" localSheetId="11" hidden="1">'Customer Details '!$A$1:$M$615</definedName>
    <definedName name="_xlnm._FilterDatabase" localSheetId="10" hidden="1">'DELIVERY NOTE'!$B$20:$H$47</definedName>
    <definedName name="_xlnm._FilterDatabase" localSheetId="6" hidden="1">'Main Stock'!$B$1:$I$565</definedName>
    <definedName name="_xlnm._FilterDatabase" localSheetId="4" hidden="1">'Stock by rack'!$A$1:$G$4999</definedName>
    <definedName name="_xlnm._FilterDatabase" localSheetId="2" hidden="1">'Stock IN'!$B$1:$H$999</definedName>
    <definedName name="_xlnm._FilterDatabase" localSheetId="3" hidden="1">'Stock OUT'!$A$1:$E$1</definedName>
    <definedName name="_xleta.ADDRESS" hidden="1" xlm="1">#NAME?</definedName>
    <definedName name="_xleta.XLOOKUP" hidden="1" xlm="1">#NAME?</definedName>
    <definedName name="_xlpm.Partnumber" hidden="1" xlm="1">#NAME?</definedName>
    <definedName name="DEL">'DELIVERY NOTE'!$C$21:$E$39</definedName>
    <definedName name="Delivery_address">'DELIVERY NOTE'!$B$11:$D$18</definedName>
    <definedName name="Details">'DELIVERY NOTE'!$21:$39</definedName>
    <definedName name="Driver">#REF!</definedName>
    <definedName name="LastBatchEnd" hidden="1">3</definedName>
    <definedName name="LastBatchStart" hidden="1">2</definedName>
    <definedName name="partnumber">_xlfn.LAMBDA(_xlpm.Partnumber,_xlfn.XLOOKUP(_xlpm.Partnumber,#REF!,#REF!))</definedName>
    <definedName name="_xlnm.Print_Area" localSheetId="10">'DELIVERY NOTE'!$B$1:$H$59</definedName>
    <definedName name="_xlnm.Print_Titles" localSheetId="10">'DELIVERY NOTE'!$20:$20</definedName>
    <definedName name="STOCK">#REF!</definedName>
    <definedName name="Table1">#REF!</definedName>
    <definedName name="valuevx">42.314159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2" i="9"/>
  <c r="C47" i="13"/>
  <c r="J45" i="13"/>
  <c r="G45" i="13"/>
  <c r="E45" i="13"/>
  <c r="F45" i="13" s="1"/>
  <c r="D45" i="13"/>
  <c r="J44" i="13"/>
  <c r="G44" i="13"/>
  <c r="E44" i="13"/>
  <c r="F44" i="13" s="1"/>
  <c r="D44" i="13"/>
  <c r="J43" i="13"/>
  <c r="G43" i="13"/>
  <c r="E43" i="13"/>
  <c r="F43" i="13" s="1"/>
  <c r="D43" i="13"/>
  <c r="J42" i="13"/>
  <c r="G42" i="13"/>
  <c r="E42" i="13"/>
  <c r="F42" i="13" s="1"/>
  <c r="D42" i="13"/>
  <c r="J41" i="13"/>
  <c r="G41" i="13"/>
  <c r="E41" i="13"/>
  <c r="F41" i="13" s="1"/>
  <c r="D41" i="13"/>
  <c r="J40" i="13"/>
  <c r="G40" i="13"/>
  <c r="E40" i="13"/>
  <c r="F40" i="13" s="1"/>
  <c r="D40" i="13"/>
  <c r="J39" i="13"/>
  <c r="G39" i="13"/>
  <c r="E39" i="13"/>
  <c r="F39" i="13" s="1"/>
  <c r="D39" i="13"/>
  <c r="J38" i="13"/>
  <c r="G38" i="13"/>
  <c r="E38" i="13"/>
  <c r="F38" i="13" s="1"/>
  <c r="D38" i="13"/>
  <c r="J37" i="13"/>
  <c r="G37" i="13"/>
  <c r="E37" i="13"/>
  <c r="F37" i="13" s="1"/>
  <c r="D37" i="13"/>
  <c r="J36" i="13"/>
  <c r="G36" i="13"/>
  <c r="E36" i="13"/>
  <c r="F36" i="13" s="1"/>
  <c r="D36" i="13"/>
  <c r="J35" i="13"/>
  <c r="G35" i="13"/>
  <c r="E35" i="13"/>
  <c r="F35" i="13" s="1"/>
  <c r="D35" i="13"/>
  <c r="J34" i="13"/>
  <c r="G34" i="13"/>
  <c r="E34" i="13"/>
  <c r="F34" i="13" s="1"/>
  <c r="D34" i="13"/>
  <c r="J33" i="13"/>
  <c r="G33" i="13"/>
  <c r="E33" i="13"/>
  <c r="F33" i="13" s="1"/>
  <c r="D33" i="13"/>
  <c r="J32" i="13"/>
  <c r="G32" i="13"/>
  <c r="E32" i="13"/>
  <c r="F32" i="13" s="1"/>
  <c r="D32" i="13"/>
  <c r="J31" i="13"/>
  <c r="G31" i="13"/>
  <c r="E31" i="13"/>
  <c r="F31" i="13" s="1"/>
  <c r="D31" i="13"/>
  <c r="J30" i="13"/>
  <c r="G30" i="13"/>
  <c r="E30" i="13"/>
  <c r="F30" i="13" s="1"/>
  <c r="D30" i="13"/>
  <c r="J29" i="13"/>
  <c r="G29" i="13"/>
  <c r="E29" i="13"/>
  <c r="F29" i="13" s="1"/>
  <c r="D29" i="13"/>
  <c r="J28" i="13"/>
  <c r="G28" i="13"/>
  <c r="E28" i="13"/>
  <c r="F28" i="13" s="1"/>
  <c r="D28" i="13"/>
  <c r="J27" i="13"/>
  <c r="G27" i="13"/>
  <c r="E27" i="13"/>
  <c r="F27" i="13" s="1"/>
  <c r="D27" i="13"/>
  <c r="J26" i="13"/>
  <c r="G26" i="13"/>
  <c r="E26" i="13"/>
  <c r="F26" i="13" s="1"/>
  <c r="D26" i="13"/>
  <c r="J25" i="13"/>
  <c r="G25" i="13"/>
  <c r="E25" i="13"/>
  <c r="F25" i="13" s="1"/>
  <c r="D25" i="13"/>
  <c r="J24" i="13"/>
  <c r="G24" i="13"/>
  <c r="E24" i="13"/>
  <c r="F24" i="13" s="1"/>
  <c r="D24" i="13"/>
  <c r="J23" i="13"/>
  <c r="G23" i="13"/>
  <c r="E23" i="13"/>
  <c r="F23" i="13" s="1"/>
  <c r="D23" i="13"/>
  <c r="J22" i="13"/>
  <c r="G22" i="13"/>
  <c r="E22" i="13"/>
  <c r="F22" i="13" s="1"/>
  <c r="D22" i="13"/>
  <c r="G21" i="13"/>
  <c r="C21" i="13" a="1"/>
  <c r="C21" i="13" s="1"/>
  <c r="I20" i="13"/>
  <c r="B12" i="13" a="1"/>
  <c r="B12" i="13" s="1"/>
  <c r="B11" i="13"/>
  <c r="G6" i="13" a="1"/>
  <c r="G6" i="13" s="1"/>
  <c r="G5" i="13" a="1"/>
  <c r="G5" i="13" s="1"/>
  <c r="G4" i="13" a="1"/>
  <c r="G4" i="13" s="1"/>
  <c r="G3" i="13"/>
  <c r="M1" i="13" a="1"/>
  <c r="M1" i="13" s="1"/>
  <c r="B1" i="13"/>
  <c r="T23" i="5"/>
  <c r="S23" i="5"/>
  <c r="R23" i="5"/>
  <c r="T22" i="5"/>
  <c r="S22" i="5"/>
  <c r="R22" i="5"/>
  <c r="T21" i="5"/>
  <c r="S21" i="5"/>
  <c r="R21" i="5"/>
  <c r="T20" i="5"/>
  <c r="S20" i="5"/>
  <c r="R20" i="5"/>
  <c r="T19" i="5"/>
  <c r="S19" i="5"/>
  <c r="R19" i="5"/>
  <c r="T18" i="5"/>
  <c r="S18" i="5"/>
  <c r="R18" i="5"/>
  <c r="T17" i="5"/>
  <c r="S17" i="5"/>
  <c r="R17" i="5"/>
  <c r="T16" i="5"/>
  <c r="S16" i="5"/>
  <c r="R16" i="5"/>
  <c r="T15" i="5"/>
  <c r="S15" i="5"/>
  <c r="R15" i="5"/>
  <c r="N4" i="5"/>
  <c r="E23" i="5"/>
  <c r="D23" i="5"/>
  <c r="C23" i="5"/>
  <c r="E22" i="5"/>
  <c r="D22" i="5"/>
  <c r="C22" i="5"/>
  <c r="E21" i="5"/>
  <c r="D21" i="5"/>
  <c r="C21" i="5"/>
  <c r="E20" i="5"/>
  <c r="D20" i="5"/>
  <c r="C20" i="5"/>
  <c r="E19" i="5"/>
  <c r="D19" i="5"/>
  <c r="C19" i="5"/>
  <c r="E18" i="5"/>
  <c r="D18" i="5"/>
  <c r="C18" i="5"/>
  <c r="E17" i="5"/>
  <c r="D17" i="5"/>
  <c r="C17" i="5"/>
  <c r="E16" i="5"/>
  <c r="D16" i="5"/>
  <c r="C16" i="5"/>
  <c r="E15" i="5"/>
  <c r="D15" i="5"/>
  <c r="C15" i="5"/>
  <c r="D21" i="13" l="1"/>
  <c r="E21" i="13"/>
  <c r="F21" i="13" s="1"/>
  <c r="I21" i="13" a="1"/>
  <c r="I21" i="13" s="1"/>
  <c r="J21" i="13"/>
  <c r="K21" i="13"/>
  <c r="I2" i="13"/>
  <c r="J1" i="13"/>
  <c r="J2" i="13" s="1" a="1"/>
  <c r="K1" i="13" a="1"/>
  <c r="K1" i="13" s="1"/>
  <c r="I1" i="13"/>
  <c r="L1" i="13"/>
  <c r="N11" i="5"/>
  <c r="N13" i="5"/>
  <c r="N15" i="5"/>
  <c r="N17" i="5"/>
  <c r="N19" i="5"/>
  <c r="N21" i="5"/>
  <c r="N22" i="5"/>
  <c r="N10" i="5"/>
  <c r="N12" i="5"/>
  <c r="N14" i="5"/>
  <c r="N16" i="5"/>
  <c r="N18" i="5"/>
  <c r="N20" i="5"/>
  <c r="N23" i="5"/>
  <c r="B20" i="13" l="1"/>
  <c r="C20" i="13"/>
  <c r="B21" i="13"/>
  <c r="I26" i="13" a="1"/>
  <c r="B27" i="13"/>
  <c r="I24" i="13" a="1"/>
  <c r="B25" i="13"/>
  <c r="I44" i="13" a="1"/>
  <c r="I23" i="13" a="1"/>
  <c r="B24" i="13"/>
  <c r="I31" i="13" a="1"/>
  <c r="B32" i="13"/>
  <c r="B33" i="13"/>
  <c r="B34" i="13"/>
  <c r="B35" i="13"/>
  <c r="B36" i="13"/>
  <c r="B39" i="13"/>
  <c r="I27" i="13" a="1"/>
  <c r="B28" i="13"/>
  <c r="I35" i="13" a="1"/>
  <c r="I22" i="13" a="1"/>
  <c r="B23" i="13"/>
  <c r="I43" i="13" a="1"/>
  <c r="I45" i="13" a="1"/>
  <c r="B22" i="13"/>
  <c r="I37" i="13" a="1"/>
  <c r="B41" i="13"/>
  <c r="I42" i="13" a="1"/>
  <c r="I41" i="13" a="1"/>
  <c r="B43" i="13"/>
  <c r="B45" i="13"/>
  <c r="I38" i="13" a="1"/>
  <c r="I32" i="13" a="1"/>
  <c r="B38" i="13"/>
  <c r="B40" i="13"/>
  <c r="I29" i="13" a="1"/>
  <c r="B30" i="13"/>
  <c r="I39" i="13" a="1"/>
  <c r="I25" i="13" a="1"/>
  <c r="B26" i="13"/>
  <c r="I34" i="13" a="1"/>
  <c r="B42" i="13"/>
  <c r="I30" i="13" a="1"/>
  <c r="B31" i="13"/>
  <c r="I33" i="13" a="1"/>
  <c r="B37" i="13"/>
  <c r="I40" i="13" a="1"/>
  <c r="B44" i="13"/>
  <c r="I28" i="13" a="1"/>
  <c r="B29" i="13"/>
  <c r="I36" i="13" a="1"/>
  <c r="J2" i="13"/>
  <c r="B14" i="13"/>
  <c r="B17" i="13"/>
  <c r="C17" i="13"/>
  <c r="M17" i="13" s="1"/>
  <c r="B18" i="13"/>
  <c r="C18" i="13"/>
  <c r="M18" i="13" s="1"/>
  <c r="L29" i="5" a="1"/>
  <c r="L29" i="5" s="1"/>
  <c r="M13" i="5" a="1"/>
  <c r="M13" i="5" s="1"/>
  <c r="L31" i="5" a="1"/>
  <c r="L31" i="5" s="1"/>
  <c r="L25" i="5" a="1"/>
  <c r="L25" i="5" s="1"/>
  <c r="J23" i="5" a="1"/>
  <c r="J23" i="5" s="1"/>
  <c r="M20" i="5" a="1"/>
  <c r="M20" i="5" s="1"/>
  <c r="J18" i="5" a="1"/>
  <c r="J18" i="5" s="1"/>
  <c r="I22" i="13" l="1"/>
  <c r="I30" i="13"/>
  <c r="I27" i="13"/>
  <c r="I36" i="13"/>
  <c r="I31" i="13"/>
  <c r="I38" i="13"/>
  <c r="I43" i="13"/>
  <c r="I41" i="13"/>
  <c r="I35" i="13"/>
  <c r="I37" i="13"/>
  <c r="I45" i="13"/>
  <c r="I25" i="13"/>
  <c r="I42" i="13"/>
  <c r="I32" i="13"/>
  <c r="I39" i="13"/>
  <c r="I34" i="13"/>
  <c r="I40" i="13"/>
  <c r="I33" i="13"/>
  <c r="I28" i="13"/>
  <c r="I24" i="13"/>
  <c r="I23" i="13"/>
  <c r="I29" i="13"/>
  <c r="I26" i="13"/>
  <c r="I44" i="13"/>
  <c r="H10" i="5" a="1"/>
  <c r="H10" i="5" s="1"/>
  <c r="I13" i="5" a="1"/>
  <c r="I13" i="5" s="1"/>
  <c r="O13" i="5" s="1"/>
  <c r="R13" i="5" s="1"/>
  <c r="J16" i="5" a="1"/>
  <c r="J16" i="5" s="1"/>
  <c r="J22" i="5" a="1"/>
  <c r="J22" i="5" s="1"/>
  <c r="J28" i="5" a="1"/>
  <c r="J28" i="5" s="1"/>
  <c r="K9" i="5" a="1"/>
  <c r="K9" i="5" s="1"/>
  <c r="L17" i="5" a="1"/>
  <c r="L17" i="5" s="1"/>
  <c r="M31" i="5" a="1"/>
  <c r="M31" i="5" s="1"/>
  <c r="L11" i="5" a="1"/>
  <c r="L11" i="5" s="1"/>
  <c r="M10" i="5" a="1"/>
  <c r="M10" i="5" s="1"/>
  <c r="J6" i="5" a="1"/>
  <c r="J6" i="5" s="1"/>
  <c r="H7" i="5" a="1"/>
  <c r="H7" i="5" s="1"/>
  <c r="H24" i="5" a="1"/>
  <c r="H24" i="5" s="1"/>
  <c r="H19" i="5" a="1"/>
  <c r="H19" i="5" s="1"/>
  <c r="H25" i="5" a="1"/>
  <c r="H25" i="5" s="1"/>
  <c r="L20" i="5" a="1"/>
  <c r="L20" i="5" s="1"/>
  <c r="K18" i="5" a="1"/>
  <c r="K18" i="5" s="1"/>
  <c r="M28" i="5" a="1"/>
  <c r="M28" i="5" s="1"/>
  <c r="H13" i="5" a="1"/>
  <c r="H13" i="5" s="1"/>
  <c r="K15" i="5" a="1"/>
  <c r="K15" i="5" s="1"/>
  <c r="M26" i="5" a="1"/>
  <c r="M26" i="5" s="1"/>
  <c r="I24" i="5" a="1"/>
  <c r="I24" i="5" s="1"/>
  <c r="J29" i="5" a="1"/>
  <c r="J29" i="5" s="1"/>
  <c r="I21" i="5" a="1"/>
  <c r="I21" i="5" s="1"/>
  <c r="K23" i="5" a="1"/>
  <c r="K23" i="5" s="1"/>
  <c r="K30" i="5" a="1"/>
  <c r="K30" i="5" s="1"/>
  <c r="J8" i="5" a="1"/>
  <c r="J8" i="5" s="1"/>
  <c r="K22" i="5" a="1"/>
  <c r="K22" i="5" s="1"/>
  <c r="I23" i="5" a="1"/>
  <c r="I23" i="5" s="1"/>
  <c r="I8" i="5" a="1"/>
  <c r="I8" i="5" s="1"/>
  <c r="M18" i="5" a="1"/>
  <c r="M18" i="5" s="1"/>
  <c r="J19" i="5" a="1"/>
  <c r="J19" i="5" s="1"/>
  <c r="I19" i="5" a="1"/>
  <c r="I19" i="5" s="1"/>
  <c r="J31" i="5" a="1"/>
  <c r="J31" i="5" s="1"/>
  <c r="L10" i="5" a="1"/>
  <c r="L10" i="5" s="1"/>
  <c r="H14" i="5" a="1"/>
  <c r="H14" i="5" s="1"/>
  <c r="H17" i="5" a="1"/>
  <c r="H17" i="5" s="1"/>
  <c r="K8" i="5" a="1"/>
  <c r="K8" i="5" s="1"/>
  <c r="K7" i="5" a="1"/>
  <c r="K7" i="5" s="1"/>
  <c r="I15" i="5" a="1"/>
  <c r="I15" i="5" s="1"/>
  <c r="O15" i="5" s="1"/>
  <c r="M29" i="5" a="1"/>
  <c r="M29" i="5" s="1"/>
  <c r="L16" i="5" a="1"/>
  <c r="L16" i="5" s="1"/>
  <c r="H28" i="5" a="1"/>
  <c r="H28" i="5" s="1"/>
  <c r="M25" i="5" a="1"/>
  <c r="M25" i="5" s="1"/>
  <c r="L8" i="5" a="1"/>
  <c r="L8" i="5" s="1"/>
  <c r="H11" i="5" a="1"/>
  <c r="H11" i="5" s="1"/>
  <c r="K25" i="5" a="1"/>
  <c r="K25" i="5" s="1"/>
  <c r="I6" i="5" a="1"/>
  <c r="I6" i="5" s="1"/>
  <c r="M30" i="5" a="1"/>
  <c r="M30" i="5" s="1"/>
  <c r="I18" i="5" a="1"/>
  <c r="I18" i="5" s="1"/>
  <c r="I22" i="5" a="1"/>
  <c r="I22" i="5" s="1"/>
  <c r="O22" i="5" s="1"/>
  <c r="J27" i="5" a="1"/>
  <c r="J27" i="5" s="1"/>
  <c r="L5" i="5" a="1"/>
  <c r="L5" i="5" s="1"/>
  <c r="L30" i="5" a="1"/>
  <c r="L30" i="5" s="1"/>
  <c r="H29" i="5" a="1"/>
  <c r="H29" i="5" s="1"/>
  <c r="H26" i="5" a="1"/>
  <c r="H26" i="5" s="1"/>
  <c r="L32" i="5" a="1"/>
  <c r="L32" i="5" s="1"/>
  <c r="J32" i="5" a="1"/>
  <c r="J32" i="5" s="1"/>
  <c r="K12" i="5" a="1"/>
  <c r="K12" i="5" s="1"/>
  <c r="M22" i="5" a="1"/>
  <c r="M22" i="5" s="1"/>
  <c r="H31" i="5" a="1"/>
  <c r="H31" i="5" s="1"/>
  <c r="H30" i="5" a="1"/>
  <c r="H30" i="5" s="1"/>
  <c r="I29" i="5" a="1"/>
  <c r="I29" i="5" s="1"/>
  <c r="I26" i="5" a="1"/>
  <c r="I26" i="5" s="1"/>
  <c r="L23" i="5" a="1"/>
  <c r="L23" i="5" s="1"/>
  <c r="H21" i="5" a="1"/>
  <c r="H21" i="5" s="1"/>
  <c r="K17" i="5" a="1"/>
  <c r="K17" i="5" s="1"/>
  <c r="M14" i="5" a="1"/>
  <c r="M14" i="5" s="1"/>
  <c r="M9" i="5" a="1"/>
  <c r="M9" i="5" s="1"/>
  <c r="I25" i="5" a="1"/>
  <c r="I25" i="5" s="1"/>
  <c r="I14" i="5" a="1"/>
  <c r="I14" i="5" s="1"/>
  <c r="K32" i="5" a="1"/>
  <c r="K32" i="5" s="1"/>
  <c r="I30" i="5" a="1"/>
  <c r="I30" i="5" s="1"/>
  <c r="K27" i="5" a="1"/>
  <c r="K27" i="5" s="1"/>
  <c r="J25" i="5" a="1"/>
  <c r="J25" i="5" s="1"/>
  <c r="L22" i="5" a="1"/>
  <c r="L22" i="5" s="1"/>
  <c r="I20" i="5" a="1"/>
  <c r="I20" i="5" s="1"/>
  <c r="O20" i="5" s="1"/>
  <c r="H18" i="5" a="1"/>
  <c r="H18" i="5" s="1"/>
  <c r="L15" i="5" a="1"/>
  <c r="L15" i="5" s="1"/>
  <c r="K21" i="5" a="1"/>
  <c r="K21" i="5" s="1"/>
  <c r="H22" i="5" a="1"/>
  <c r="H22" i="5" s="1"/>
  <c r="K16" i="5" a="1"/>
  <c r="K16" i="5" s="1"/>
  <c r="M12" i="5" a="1"/>
  <c r="M12" i="5" s="1"/>
  <c r="I10" i="5" a="1"/>
  <c r="I10" i="5" s="1"/>
  <c r="O10" i="5" s="1"/>
  <c r="R10" i="5" s="1"/>
  <c r="H8" i="5" a="1"/>
  <c r="H8" i="5" s="1"/>
  <c r="J5" i="5" a="1"/>
  <c r="J5" i="5" s="1"/>
  <c r="K31" i="5" a="1"/>
  <c r="K31" i="5" s="1"/>
  <c r="K28" i="5" a="1"/>
  <c r="K28" i="5" s="1"/>
  <c r="L26" i="5" a="1"/>
  <c r="L26" i="5" s="1"/>
  <c r="I9" i="5" a="1"/>
  <c r="I9" i="5" s="1"/>
  <c r="M7" i="5" a="1"/>
  <c r="M7" i="5" s="1"/>
  <c r="L19" i="5" a="1"/>
  <c r="L19" i="5" s="1"/>
  <c r="I17" i="5" a="1"/>
  <c r="I17" i="5" s="1"/>
  <c r="O17" i="5" s="1"/>
  <c r="K14" i="5" a="1"/>
  <c r="K14" i="5" s="1"/>
  <c r="H12" i="5" a="1"/>
  <c r="H12" i="5" s="1"/>
  <c r="L9" i="5" a="1"/>
  <c r="L9" i="5" s="1"/>
  <c r="J7" i="5" a="1"/>
  <c r="J7" i="5" s="1"/>
  <c r="M32" i="5" a="1"/>
  <c r="M32" i="5" s="1"/>
  <c r="I28" i="5" a="1"/>
  <c r="I28" i="5" s="1"/>
  <c r="M24" i="5" a="1"/>
  <c r="M24" i="5" s="1"/>
  <c r="L24" i="5" a="1"/>
  <c r="L24" i="5" s="1"/>
  <c r="M21" i="5" a="1"/>
  <c r="M21" i="5" s="1"/>
  <c r="K19" i="5" a="1"/>
  <c r="K19" i="5" s="1"/>
  <c r="M16" i="5" a="1"/>
  <c r="M16" i="5" s="1"/>
  <c r="L13" i="5" a="1"/>
  <c r="L13" i="5" s="1"/>
  <c r="J11" i="5" a="1"/>
  <c r="J11" i="5" s="1"/>
  <c r="H9" i="5" a="1"/>
  <c r="H9" i="5" s="1"/>
  <c r="L6" i="5" a="1"/>
  <c r="L6" i="5" s="1"/>
  <c r="I32" i="5" a="1"/>
  <c r="I32" i="5" s="1"/>
  <c r="M8" i="5" a="1"/>
  <c r="M8" i="5" s="1"/>
  <c r="M27" i="5" a="1"/>
  <c r="M27" i="5" s="1"/>
  <c r="H23" i="5" a="1"/>
  <c r="H23" i="5" s="1"/>
  <c r="H20" i="5" a="1"/>
  <c r="H20" i="5" s="1"/>
  <c r="J17" i="5" a="1"/>
  <c r="J17" i="5" s="1"/>
  <c r="L14" i="5" a="1"/>
  <c r="L14" i="5" s="1"/>
  <c r="I12" i="5" a="1"/>
  <c r="I12" i="5" s="1"/>
  <c r="O12" i="5" s="1"/>
  <c r="R12" i="5" s="1"/>
  <c r="J9" i="5" a="1"/>
  <c r="J9" i="5" s="1"/>
  <c r="H6" i="5" a="1"/>
  <c r="H6" i="5" s="1"/>
  <c r="H32" i="5" a="1"/>
  <c r="H32" i="5" s="1"/>
  <c r="L28" i="5" a="1"/>
  <c r="L28" i="5" s="1"/>
  <c r="K26" i="5" a="1"/>
  <c r="K26" i="5" s="1"/>
  <c r="M15" i="5" a="1"/>
  <c r="M15" i="5" s="1"/>
  <c r="J21" i="5" a="1"/>
  <c r="J21" i="5" s="1"/>
  <c r="M19" i="5" a="1"/>
  <c r="M19" i="5" s="1"/>
  <c r="M11" i="5" a="1"/>
  <c r="M11" i="5" s="1"/>
  <c r="J13" i="5" a="1"/>
  <c r="J13" i="5" s="1"/>
  <c r="J26" i="5" a="1"/>
  <c r="J26" i="5" s="1"/>
  <c r="K5" i="5" a="1"/>
  <c r="K5" i="5" s="1"/>
  <c r="I16" i="5" a="1"/>
  <c r="I16" i="5" s="1"/>
  <c r="K13" i="5" a="1"/>
  <c r="K13" i="5" s="1"/>
  <c r="I11" i="5" a="1"/>
  <c r="I11" i="5" s="1"/>
  <c r="O11" i="5" s="1"/>
  <c r="R11" i="5" s="1"/>
  <c r="M23" i="5" a="1"/>
  <c r="M23" i="5" s="1"/>
  <c r="L7" i="5" a="1"/>
  <c r="L7" i="5" s="1"/>
  <c r="K6" i="5" a="1"/>
  <c r="K6" i="5" s="1"/>
  <c r="H15" i="5" a="1"/>
  <c r="H15" i="5" s="1"/>
  <c r="K10" i="5" a="1"/>
  <c r="K10" i="5" s="1"/>
  <c r="K20" i="5" a="1"/>
  <c r="K20" i="5" s="1"/>
  <c r="I27" i="5" a="1"/>
  <c r="I27" i="5" s="1"/>
  <c r="M6" i="5" a="1"/>
  <c r="M6" i="5" s="1"/>
  <c r="I5" i="5" a="1"/>
  <c r="I5" i="5" s="1"/>
  <c r="L12" i="5" a="1"/>
  <c r="L12" i="5" s="1"/>
  <c r="L18" i="5" a="1"/>
  <c r="L18" i="5" s="1"/>
  <c r="J30" i="5" a="1"/>
  <c r="J30" i="5" s="1"/>
  <c r="L27" i="5" a="1"/>
  <c r="L27" i="5" s="1"/>
  <c r="M17" i="5" a="1"/>
  <c r="M17" i="5" s="1"/>
  <c r="H16" i="5" a="1"/>
  <c r="H16" i="5" s="1"/>
  <c r="I31" i="5" a="1"/>
  <c r="I31" i="5" s="1"/>
  <c r="J10" i="5" a="1"/>
  <c r="J10" i="5" s="1"/>
  <c r="J24" i="5" a="1"/>
  <c r="J24" i="5" s="1"/>
  <c r="K24" i="5" a="1"/>
  <c r="K24" i="5" s="1"/>
  <c r="L21" i="5" a="1"/>
  <c r="L21" i="5" s="1"/>
  <c r="J15" i="5" a="1"/>
  <c r="J15" i="5" s="1"/>
  <c r="H5" i="5" a="1"/>
  <c r="H5" i="5" s="1"/>
  <c r="K11" i="5" a="1"/>
  <c r="K11" i="5" s="1"/>
  <c r="J14" i="5" a="1"/>
  <c r="J14" i="5" s="1"/>
  <c r="M5" i="5" a="1"/>
  <c r="M5" i="5" s="1"/>
  <c r="J12" i="5" a="1"/>
  <c r="J12" i="5" s="1"/>
  <c r="I7" i="5" a="1"/>
  <c r="I7" i="5" s="1"/>
  <c r="J20" i="5" a="1"/>
  <c r="J20" i="5" s="1"/>
  <c r="K29" i="5" a="1"/>
  <c r="K29" i="5" s="1"/>
  <c r="H27" i="5" a="1"/>
  <c r="H27" i="5" s="1"/>
  <c r="E11" i="5"/>
  <c r="D11" i="5"/>
  <c r="E12" i="5"/>
  <c r="D12" i="5"/>
  <c r="E10" i="5"/>
  <c r="D10" i="5"/>
  <c r="E14" i="5"/>
  <c r="D14" i="5"/>
  <c r="E13" i="5"/>
  <c r="D13" i="5"/>
  <c r="P10" i="5" l="1"/>
  <c r="P13" i="5"/>
  <c r="P23" i="5"/>
  <c r="Q17" i="5"/>
  <c r="P17" i="5"/>
  <c r="Q10" i="5"/>
  <c r="Q15" i="5"/>
  <c r="P20" i="5"/>
  <c r="Q13" i="5"/>
  <c r="P18" i="5"/>
  <c r="P12" i="5"/>
  <c r="Q20" i="5"/>
  <c r="Q14" i="5"/>
  <c r="P15" i="5"/>
  <c r="P11" i="5"/>
  <c r="Q11" i="5"/>
  <c r="Q12" i="5"/>
  <c r="Q21" i="5"/>
  <c r="Q19" i="5"/>
  <c r="O19" i="5"/>
  <c r="P19" i="5"/>
  <c r="O23" i="5"/>
  <c r="Q23" i="5"/>
  <c r="O16" i="5"/>
  <c r="P16" i="5"/>
  <c r="Q16" i="5"/>
  <c r="Q22" i="5"/>
  <c r="P22" i="5"/>
  <c r="O21" i="5"/>
  <c r="P21" i="5"/>
  <c r="O18" i="5"/>
  <c r="Q18" i="5"/>
  <c r="O14" i="5"/>
  <c r="R14" i="5" s="1"/>
  <c r="P14" i="5"/>
  <c r="S13" i="5"/>
  <c r="T13" i="5" s="1"/>
  <c r="C13" i="5" s="1"/>
  <c r="S14" i="5"/>
  <c r="T14" i="5" s="1"/>
  <c r="C14" i="5" s="1"/>
  <c r="S10" i="5"/>
  <c r="T10" i="5" s="1"/>
  <c r="C10" i="5" s="1"/>
  <c r="S11" i="5"/>
  <c r="T11" i="5" s="1"/>
  <c r="C11" i="5" s="1"/>
  <c r="S12" i="5"/>
  <c r="T12" i="5" s="1"/>
  <c r="C12" i="5" s="1"/>
  <c r="S5" i="5" l="1"/>
  <c r="T5" i="5" s="1"/>
  <c r="N6" i="5"/>
  <c r="O6" i="5" l="1"/>
  <c r="R6" i="5" s="1"/>
  <c r="P6" i="5"/>
  <c r="Q6" i="5"/>
  <c r="E6" i="5"/>
  <c r="D6" i="5"/>
  <c r="E5" i="5"/>
  <c r="D5" i="5"/>
  <c r="S6" i="5" l="1"/>
  <c r="C5" i="5"/>
  <c r="T6" i="5" l="1"/>
  <c r="C6" i="5" s="1"/>
  <c r="N7" i="5"/>
  <c r="O7" i="5" l="1"/>
  <c r="R7" i="5" s="1"/>
  <c r="P7" i="5"/>
  <c r="Q7" i="5"/>
  <c r="E7" i="5"/>
  <c r="D7" i="5"/>
  <c r="S7" i="5" l="1"/>
  <c r="T7" i="5" s="1"/>
  <c r="N8" i="5" l="1"/>
  <c r="C7" i="5"/>
  <c r="D8" i="5" l="1"/>
  <c r="E8" i="5"/>
  <c r="Q8" i="5"/>
  <c r="P8" i="5"/>
  <c r="O8" i="5"/>
  <c r="R8" i="5" s="1"/>
  <c r="S8" i="5" l="1"/>
  <c r="T8" i="5" s="1"/>
  <c r="N9" i="5" l="1"/>
  <c r="C8" i="5"/>
  <c r="O9" i="5" l="1"/>
  <c r="R9" i="5" s="1"/>
  <c r="E9" i="5"/>
  <c r="D9" i="5"/>
  <c r="Q9" i="5"/>
  <c r="P9" i="5"/>
  <c r="S9" i="5" l="1"/>
  <c r="T9" i="5" s="1"/>
  <c r="C9" i="5" l="1"/>
  <c r="I4" i="5" l="1" a="1"/>
  <c r="I4" i="5" s="1"/>
  <c r="K4" i="5" a="1"/>
  <c r="K4" i="5" s="1"/>
  <c r="H4" i="5" a="1"/>
  <c r="H4" i="5" s="1"/>
  <c r="M4" i="5" a="1"/>
  <c r="M4" i="5" s="1"/>
  <c r="L4" i="5" a="1"/>
  <c r="L4" i="5" s="1"/>
  <c r="J4" i="5" a="1"/>
  <c r="J4" i="5" s="1"/>
  <c r="P4" i="5" l="1"/>
  <c r="O4" i="5"/>
  <c r="R4" i="5" s="1"/>
  <c r="E4" i="5"/>
  <c r="D4" i="5"/>
  <c r="Q4" i="5"/>
  <c r="S4" i="5" l="1"/>
  <c r="T4" i="5" l="1"/>
  <c r="N5" i="5" l="1"/>
  <c r="C4" i="5"/>
  <c r="P5" i="5" l="1"/>
  <c r="O5" i="5"/>
  <c r="R5" i="5" s="1"/>
  <c r="Q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C483C7-D836-45D2-8D3D-66CBADF81BBB}" keepAlive="1" name="Query - Append2" description="Connection to the 'Append2' query in the workbook." type="5" refreshedVersion="8" background="1" saveData="1">
    <dbPr connection="Provider=Microsoft.Mashup.OleDb.1;Data Source=$Workbook$;Location=Append2;Extended Properties=&quot;&quot;" command="SELECT * FROM [Append2]"/>
  </connection>
  <connection id="2" xr16:uid="{3E06074D-AFA3-4E46-B16C-7FAA7E541D3B}" keepAlive="1" name="Query - Avaya  Stock - New" description="Connection to the 'Avaya  Stock - New' query in the workbook." type="5" refreshedVersion="0" background="1">
    <dbPr connection="Provider=Microsoft.Mashup.OleDb.1;Data Source=$Workbook$;Location=&quot;Avaya  Stock - New&quot;;Extended Properties=&quot;&quot;" command="SELECT * FROM [Avaya  Stock - New]"/>
  </connection>
  <connection id="3" xr16:uid="{51EF4AFD-7B6D-4C66-B171-824A4CE1A24A}" keepAlive="1" name="Query - CommScope  Stock - New" description="Connection to the 'CommScope  Stock - New' query in the workbook." type="5" refreshedVersion="0" background="1">
    <dbPr connection="Provider=Microsoft.Mashup.OleDb.1;Data Source=$Workbook$;Location=&quot;CommScope  Stock - New&quot;;Extended Properties=&quot;&quot;" command="SELECT * FROM [CommScope  Stock - New]"/>
  </connection>
  <connection id="4" xr16:uid="{4C8E336C-935C-4F01-A91E-DE2E9BD8918D}" keepAlive="1" name="Query - Dahua Tech Stock" description="Connection to the 'Dahua Tech Stock' query in the workbook." type="5" refreshedVersion="0" background="1">
    <dbPr connection="Provider=Microsoft.Mashup.OleDb.1;Data Source=$Workbook$;Location=&quot;Dahua Tech Stock&quot;;Extended Properties=&quot;&quot;" command="SELECT * FROM [Dahua Tech Stock]"/>
  </connection>
  <connection id="5" xr16:uid="{C21A49FE-B7D7-479C-AF6F-2300E5CD53D6}" keepAlive="1" name="Query - eKit Stock" description="Connection to the 'eKit Stock' query in the workbook." type="5" refreshedVersion="0" background="1">
    <dbPr connection="Provider=Microsoft.Mashup.OleDb.1;Data Source=$Workbook$;Location=&quot;eKit Stock&quot;;Extended Properties=&quot;&quot;" command="SELECT * FROM [eKit Stock]"/>
  </connection>
  <connection id="6" xr16:uid="{64215045-5685-4B9E-8CBF-675DE8E5FA10}" keepAlive="1" name="Query - Hanwha  Stock" description="Connection to the 'Hanwha  Stock' query in the workbook." type="5" refreshedVersion="0" background="1">
    <dbPr connection="Provider=Microsoft.Mashup.OleDb.1;Data Source=$Workbook$;Location=&quot;Hanwha  Stock&quot;;Extended Properties=&quot;&quot;" command="SELECT * FROM [Hanwha  Stock]"/>
  </connection>
  <connection id="7" xr16:uid="{13C73635-E59A-468F-AE87-11189BB81CF0}" keepAlive="1" name="Query - Huawei  Stock" description="Connection to the 'Huawei  Stock' query in the workbook." type="5" refreshedVersion="0" background="1">
    <dbPr connection="Provider=Microsoft.Mashup.OleDb.1;Data Source=$Workbook$;Location=&quot;Huawei  Stock&quot;;Extended Properties=&quot;&quot;" command="SELECT * FROM [Huawei  Stock]"/>
  </connection>
  <connection id="8" xr16:uid="{A1F75D59-E2BE-4B97-8DA1-EA8D4A73A37A}" keepAlive="1" name="Query - LG  Stock - New" description="Connection to the 'LG  Stock - New' query in the workbook." type="5" refreshedVersion="0" background="1">
    <dbPr connection="Provider=Microsoft.Mashup.OleDb.1;Data Source=$Workbook$;Location=&quot;LG  Stock - New&quot;;Extended Properties=&quot;&quot;" command="SELECT * FROM [LG  Stock - New]"/>
  </connection>
  <connection id="9" xr16:uid="{AB29C3C4-4AB6-4760-AA1C-A9F8E7500A40}" keepAlive="1" name="Query - SCHNEIDER STOCK" description="Connection to the 'SCHNEIDER STOCK' query in the workbook." type="5" refreshedVersion="0" background="1">
    <dbPr connection="Provider=Microsoft.Mashup.OleDb.1;Data Source=$Workbook$;Location=&quot;SCHNEIDER STOCK&quot;;Extended Properties=&quot;&quot;" command="SELECT * FROM [SCHNEIDER STOCK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<sst xmlns="http://schemas.openxmlformats.org/spreadsheetml/2006/main" count="37794" uniqueCount="4761">
  <si>
    <t>Entry Date</t>
  </si>
  <si>
    <t>Part Number</t>
  </si>
  <si>
    <t>Rack Location</t>
  </si>
  <si>
    <t>Quantity</t>
  </si>
  <si>
    <t>Entry ID</t>
  </si>
  <si>
    <t>Issue Date</t>
  </si>
  <si>
    <t>Quantity Issued</t>
  </si>
  <si>
    <t>Entry ID Ref</t>
  </si>
  <si>
    <t>Qty Received</t>
  </si>
  <si>
    <t>Qty Issued</t>
  </si>
  <si>
    <t>Available Qty</t>
  </si>
  <si>
    <t>Qty Required</t>
  </si>
  <si>
    <t>Pick Instruction</t>
  </si>
  <si>
    <t>Total Available</t>
  </si>
  <si>
    <t>Status</t>
  </si>
  <si>
    <t>1. Enter Part Number in Column A (rows 4-23)</t>
  </si>
  <si>
    <t>2. Enter Quantity Required in Column B</t>
  </si>
  <si>
    <t>Processed</t>
  </si>
  <si>
    <t>3. Pick Instruction (Column C) shows FIFO picks with line breaks</t>
  </si>
  <si>
    <t>Loc1</t>
  </si>
  <si>
    <t>Qty1</t>
  </si>
  <si>
    <t>Loc2</t>
  </si>
  <si>
    <t>Qty2</t>
  </si>
  <si>
    <t>Loc3</t>
  </si>
  <si>
    <t>Qty3</t>
  </si>
  <si>
    <t>Pick1</t>
  </si>
  <si>
    <t>Pick2</t>
  </si>
  <si>
    <t>Pick3</t>
  </si>
  <si>
    <t>PriorPick</t>
  </si>
  <si>
    <t>AdjQty1</t>
  </si>
  <si>
    <t>AdjQty2</t>
  </si>
  <si>
    <t>AdjQty3</t>
  </si>
  <si>
    <t>📋 How to Process:</t>
  </si>
  <si>
    <t>1. Enter Part # &amp; Qty</t>
  </si>
  <si>
    <t>2. Verify ✅ status</t>
  </si>
  <si>
    <t>3. Say 'Process Picks'</t>
  </si>
  <si>
    <t>4. Stock OUT updates</t>
  </si>
  <si>
    <t>5. Live Stock deducts</t>
  </si>
  <si>
    <t>FIFO WAREHOUSE - PICK SUGGESTION SYSTEM</t>
  </si>
  <si>
    <t>📋 HOW TO USE:</t>
  </si>
  <si>
    <t>4. Status (Column E) shows ✅ CAN FULFILL or ❌ INSUFFICIENT</t>
  </si>
  <si>
    <t>5. Say 'Process Picks' to commit to Stock OUT (auto-deducts Live Stock)</t>
  </si>
  <si>
    <t>6. Column F shows ✅ when processed</t>
  </si>
  <si>
    <t>7. Multiple rows with same Part Number are handled cumulatively!</t>
  </si>
  <si>
    <t>🔄 PROCESS PICKS
(Assign Macro)</t>
  </si>
  <si>
    <t>⚙️ CONTROLS</t>
  </si>
  <si>
    <t>📋 BUTTON GUIDE</t>
  </si>
  <si>
    <t>▶ PROCESS  → write picks to Stock OUT, clear inputs</t>
  </si>
  <si>
    <t>🧹 RESET    → clear inputs without processing</t>
  </si>
  <si>
    <t>🔄 CLEAR ✅ → uncheck processed flags only</t>
  </si>
  <si>
    <t>↶ UNDO     → remove last batch from Stock OUT</t>
  </si>
  <si>
    <t>INSTALLATION - VBA CODE FOR PICK SYSTEM</t>
  </si>
  <si>
    <t>STEP 1: Press Alt + F11 to open the VBA editor.</t>
  </si>
  <si>
    <t>STEP 4: Click into the empty module window in the VBA editor and press Ctrl+V to paste.</t>
  </si>
  <si>
    <t>STEP 5: Press Ctrl+S inside the VBA editor, then close it with Alt+Q.</t>
  </si>
  <si>
    <t xml:space="preserve">        btnProcessPicks  uses macro  ProcessPicks</t>
  </si>
  <si>
    <t xml:space="preserve">        btnResetInputs   uses macro  ResetPickSheet</t>
  </si>
  <si>
    <t xml:space="preserve">        btnClearFlags    uses macro  ClearProcessedFlags</t>
  </si>
  <si>
    <t xml:space="preserve">        btnUndoLast      uses macro  UndoLastBatch</t>
  </si>
  <si>
    <t>STEP 2: In the Project tree (left panel), right-click your workbook then choose Insert &gt; Module.</t>
  </si>
  <si>
    <t>STEP 3: Click cell A14 below. Press Ctrl+Shift+End to select all code rows. Press Ctrl+C.</t>
  </si>
  <si>
    <t>STEP 6: On Pick Suggestion sheet, right-click each colored button and choose Assign Macro:</t>
  </si>
  <si>
    <t>----- VBA CODE STARTS BELOW (cell A14). Click A14 then Ctrl+Shift+End to select all. -----</t>
  </si>
  <si>
    <t>Option Explicit</t>
  </si>
  <si>
    <t/>
  </si>
  <si>
    <t xml:space="preserve"> ============================================================</t>
  </si>
  <si>
    <t xml:space="preserve">  PICK SUGGESTION SYSTEM - VBA MODULE</t>
  </si>
  <si>
    <t>Private Const SHEET_PICK As String = "Pick Suggestion"</t>
  </si>
  <si>
    <t>Private Const SHEET_OUT  As String = "Stock OUT"</t>
  </si>
  <si>
    <t>Private Const SHEET_LIVE As String = "Live Stock"</t>
  </si>
  <si>
    <t>Private Const FIRST_ROW  As Long = 4</t>
  </si>
  <si>
    <t>Private Const LAST_ROW   As Long = 23</t>
  </si>
  <si>
    <t>Sub ProcessPicks()</t>
  </si>
  <si>
    <t xml:space="preserve">    Dim wsPick As Worksheet, wsOut As Worksheet</t>
  </si>
  <si>
    <t xml:space="preserve">    Dim i As Long, lastOutRow As Long, nextOutRow As Long</t>
  </si>
  <si>
    <t xml:space="preserve">    Dim batchStartRow As Long</t>
  </si>
  <si>
    <t xml:space="preserve">    Dim partNum As String, qtyReq As Double, status As String, processed As String</t>
  </si>
  <si>
    <t xml:space="preserve">    Dim picksDone As Long</t>
  </si>
  <si>
    <t xml:space="preserve">    Dim loc1 As String, loc2 As String, loc3 As String</t>
  </si>
  <si>
    <t xml:space="preserve">    Dim p1 As Double, p2 As Double, p3 As Double</t>
  </si>
  <si>
    <t xml:space="preserve">    Dim ref1 As Variant, ref2 As Variant, ref3 As Variant</t>
  </si>
  <si>
    <t xml:space="preserve">    Dim today As Date</t>
  </si>
  <si>
    <t xml:space="preserve">    Set wsPick = ThisWorkbook.Sheets(SHEET_PICK)</t>
  </si>
  <si>
    <t xml:space="preserve">    Set wsOut = ThisWorkbook.Sheets(SHEET_OUT)</t>
  </si>
  <si>
    <t xml:space="preserve">    Application.ScreenUpdating = False</t>
  </si>
  <si>
    <t xml:space="preserve">    Application.Calculation = xlCalculationAutomatic</t>
  </si>
  <si>
    <t xml:space="preserve">    Application.Calculate</t>
  </si>
  <si>
    <t xml:space="preserve">    today = Date</t>
  </si>
  <si>
    <t xml:space="preserve">    picksDone = 0</t>
  </si>
  <si>
    <t xml:space="preserve">    batchStartRow = wsOut.Cells(wsOut.Rows.Count, "B").End(xlUp).Row + 1</t>
  </si>
  <si>
    <t xml:space="preserve">    If batchStartRow &lt; 2 Then batchStartRow = 2</t>
  </si>
  <si>
    <t xml:space="preserve">    For i = FIRST_ROW To LAST_ROW</t>
  </si>
  <si>
    <t xml:space="preserve">        partNum = Trim(CStr(wsPick.Cells(i, "A").Value))</t>
  </si>
  <si>
    <t xml:space="preserve">        If partNum = "" Then GoTo NextRow</t>
  </si>
  <si>
    <t xml:space="preserve">        qtyReq = 0</t>
  </si>
  <si>
    <t xml:space="preserve">        If IsNumeric(wsPick.Cells(i, "B").Value) Then qtyReq = wsPick.Cells(i, "B").Value</t>
  </si>
  <si>
    <t xml:space="preserve">        If qtyReq &lt;= 0 Then GoTo NextRow</t>
  </si>
  <si>
    <t xml:space="preserve">        status = CStr(wsPick.Cells(i, "E").Value)</t>
  </si>
  <si>
    <t xml:space="preserve">        processed = Trim(CStr(wsPick.Cells(i, "F").Value))</t>
  </si>
  <si>
    <t xml:space="preserve">        If processed = ChrW(9989) Then GoTo NextRow</t>
  </si>
  <si>
    <t xml:space="preserve">        If InStr(status, "CAN FULFILL") = 0 Then GoTo NextRow</t>
  </si>
  <si>
    <t xml:space="preserve">        loc1 = CStr(wsPick.Cells(i, "H").Value)</t>
  </si>
  <si>
    <t xml:space="preserve">        loc2 = CStr(wsPick.Cells(i, "J").Value)</t>
  </si>
  <si>
    <t xml:space="preserve">        loc3 = CStr(wsPick.Cells(i, "L").Value)</t>
  </si>
  <si>
    <t xml:space="preserve">        p1 = ValSafe(wsPick.Cells(i, "R").Value)</t>
  </si>
  <si>
    <t xml:space="preserve">        p2 = ValSafe(wsPick.Cells(i, "S").Value)</t>
  </si>
  <si>
    <t xml:space="preserve">        p3 = ValSafe(wsPick.Cells(i, "T").Value)</t>
  </si>
  <si>
    <t xml:space="preserve">        ref1 = LookupEntryID(partNum, loc1)</t>
  </si>
  <si>
    <t xml:space="preserve">        ref2 = LookupEntryID(partNum, loc2)</t>
  </si>
  <si>
    <t xml:space="preserve">        ref3 = LookupEntryID(partNum, loc3)</t>
  </si>
  <si>
    <t xml:space="preserve">        lastOutRow = wsOut.Cells(wsOut.Rows.Count, "B").End(xlUp).Row</t>
  </si>
  <si>
    <t xml:space="preserve">        nextOutRow = lastOutRow + 1</t>
  </si>
  <si>
    <t xml:space="preserve">        If nextOutRow &lt; 2 Then nextOutRow = 2</t>
  </si>
  <si>
    <t xml:space="preserve">        If p1 &gt; 0 And loc1 &lt;&gt; "" Then WriteOutRow wsOut, nextOutRow, today, partNum, loc1, p1, ref1: nextOutRow = nextOutRow + 1</t>
  </si>
  <si>
    <t xml:space="preserve">        If p2 &gt; 0 And loc2 &lt;&gt; "" Then WriteOutRow wsOut, nextOutRow, today, partNum, loc2, p2, ref2: nextOutRow = nextOutRow + 1</t>
  </si>
  <si>
    <t xml:space="preserve">        If p3 &gt; 0 And loc3 &lt;&gt; "" Then WriteOutRow wsOut, nextOutRow, today, partNum, loc3, p3, ref3</t>
  </si>
  <si>
    <t xml:space="preserve">        wsPick.Cells(i, "F").Value = ChrW(9989)</t>
  </si>
  <si>
    <t xml:space="preserve">        picksDone = picksDone + 1</t>
  </si>
  <si>
    <t xml:space="preserve">        Application.Calculate</t>
  </si>
  <si>
    <t>NextRow:</t>
  </si>
  <si>
    <t xml:space="preserve">    Next i</t>
  </si>
  <si>
    <t xml:space="preserve">    If picksDone &gt; 0 Then</t>
  </si>
  <si>
    <t xml:space="preserve">        On Error Resume Next</t>
  </si>
  <si>
    <t xml:space="preserve">        ThisWorkbook.Names("LastBatchStart").Delete</t>
  </si>
  <si>
    <t xml:space="preserve">        ThisWorkbook.Names("LastBatchEnd").Delete</t>
  </si>
  <si>
    <t xml:space="preserve">        On Error GoTo 0</t>
  </si>
  <si>
    <t xml:space="preserve">        ThisWorkbook.Names.Add Name:="LastBatchStart", RefersTo:=batchStartRow, Visible:=False</t>
  </si>
  <si>
    <t xml:space="preserve">        ThisWorkbook.Names.Add Name:="LastBatchEnd", RefersTo:=wsOut.Cells(wsOut.Rows.Count, "B").End(xlUp).Row, Visible:=False</t>
  </si>
  <si>
    <t xml:space="preserve">        ClearPickInputs</t>
  </si>
  <si>
    <t xml:space="preserve">        Application.ScreenUpdating = True</t>
  </si>
  <si>
    <t xml:space="preserve">        MsgBox picksDone &amp; " pick(s) processed. Inputs cleared. Ready for next batch.", vbInformation, "Done"</t>
  </si>
  <si>
    <t xml:space="preserve">    Else</t>
  </si>
  <si>
    <t xml:space="preserve">        MsgBox "No picks to process." &amp; vbCrLf &amp; vbCrLf &amp; "Ensure: Part# in A, Qty in B, Status shows CAN FULFILL, row not already processed.", vbExclamation, "Nothing to Process"</t>
  </si>
  <si>
    <t xml:space="preserve">    End If</t>
  </si>
  <si>
    <t>End Sub</t>
  </si>
  <si>
    <t>Sub ResetPickSheet()</t>
  </si>
  <si>
    <t xml:space="preserve">    If MsgBox("Clear all input rows (Part #, Qty) and processed flags?", vbYesNo + vbQuestion, "Reset Pick Sheet") &lt;&gt; vbYes Then Exit Sub</t>
  </si>
  <si>
    <t xml:space="preserve">    ClearPickInputs</t>
  </si>
  <si>
    <t xml:space="preserve">    MsgBox "Pick sheet reset. Ready for new entries.", vbInformation, "Reset"</t>
  </si>
  <si>
    <t>Sub ClearProcessedFlags()</t>
  </si>
  <si>
    <t xml:space="preserve">    Dim wsPick As Worksheet</t>
  </si>
  <si>
    <t xml:space="preserve">    wsPick.Range("F" &amp; FIRST_ROW &amp; ":F" &amp; LAST_ROW).ClearContents</t>
  </si>
  <si>
    <t xml:space="preserve">    MsgBox "Processed flags cleared.", vbInformation, "Cleared"</t>
  </si>
  <si>
    <t>Sub UndoLastBatch()</t>
  </si>
  <si>
    <t xml:space="preserve">    Dim wsOut As Worksheet</t>
  </si>
  <si>
    <t xml:space="preserve">    Dim startR As Long, endR As Long</t>
  </si>
  <si>
    <t xml:space="preserve">    On Error Resume Next</t>
  </si>
  <si>
    <t xml:space="preserve">    startR = ThisWorkbook.Names("LastBatchStart").RefersTo</t>
  </si>
  <si>
    <t xml:space="preserve">    endR = ThisWorkbook.Names("LastBatchEnd").RefersTo</t>
  </si>
  <si>
    <t xml:space="preserve">    On Error GoTo 0</t>
  </si>
  <si>
    <t xml:space="preserve">    If startR &lt; 2 Or endR &lt; startR Then</t>
  </si>
  <si>
    <t xml:space="preserve">        MsgBox "Nothing to undo.", vbInformation, "Undo"</t>
  </si>
  <si>
    <t xml:space="preserve">        Exit Sub</t>
  </si>
  <si>
    <t xml:space="preserve">    If MsgBox("Remove " &amp; (endR - startR + 1) &amp; " row(s) from Stock OUT?", vbYesNo + vbQuestion, "Undo Last Batch") &lt;&gt; vbYes Then Exit Sub</t>
  </si>
  <si>
    <t xml:space="preserve">    wsOut.Range("A" &amp; startR &amp; ":E" &amp; endR).ClearContents</t>
  </si>
  <si>
    <t xml:space="preserve">    ThisWorkbook.Names("LastBatchStart").Delete</t>
  </si>
  <si>
    <t xml:space="preserve">    ThisWorkbook.Names("LastBatchEnd").Delete</t>
  </si>
  <si>
    <t xml:space="preserve">    MsgBox "Last batch removed from Stock OUT.", vbInformation, "Undone"</t>
  </si>
  <si>
    <t>Private Sub WriteOutRow(ws As Worksheet, r As Long, d As Date, pn As String, loc As String, qty As Double, ref As Variant)</t>
  </si>
  <si>
    <t xml:space="preserve">    ws.Cells(r, "A").Value = d</t>
  </si>
  <si>
    <t xml:space="preserve">    ws.Cells(r, "B").Value = pn</t>
  </si>
  <si>
    <t xml:space="preserve">    ws.Cells(r, "C").Value = loc</t>
  </si>
  <si>
    <t xml:space="preserve">    ws.Cells(r, "D").Value = qty</t>
  </si>
  <si>
    <t xml:space="preserve">    ws.Cells(r, "E").Value = ref</t>
  </si>
  <si>
    <t>Private Sub ClearPickInputs()</t>
  </si>
  <si>
    <t xml:space="preserve">    Dim ws As Worksheet</t>
  </si>
  <si>
    <t xml:space="preserve">    Set ws = ThisWorkbook.Sheets(SHEET_PICK)</t>
  </si>
  <si>
    <t xml:space="preserve">    Application.EnableEvents = False</t>
  </si>
  <si>
    <t xml:space="preserve">    ws.Range("A" &amp; FIRST_ROW &amp; ":B" &amp; LAST_ROW).ClearContents</t>
  </si>
  <si>
    <t xml:space="preserve">    ws.Range("F" &amp; FIRST_ROW &amp; ":F" &amp; LAST_ROW).ClearContents</t>
  </si>
  <si>
    <t xml:space="preserve">    Application.EnableEvents = True</t>
  </si>
  <si>
    <t>Private Function LookupEntryID(partNum As String, loc As String) As Variant</t>
  </si>
  <si>
    <t xml:space="preserve">    Dim ws As Worksheet, i As Long, lastRow As Long</t>
  </si>
  <si>
    <t xml:space="preserve">    LookupEntryID = ""</t>
  </si>
  <si>
    <t xml:space="preserve">    If loc = "" Or partNum = "" Then Exit Function</t>
  </si>
  <si>
    <t xml:space="preserve">    Set ws = ThisWorkbook.Sheets(SHEET_LIVE)</t>
  </si>
  <si>
    <t xml:space="preserve">    lastRow = ws.Cells(ws.Rows.Count, "A").End(xlUp).Row</t>
  </si>
  <si>
    <t xml:space="preserve">    For i = 2 To lastRow</t>
  </si>
  <si>
    <t xml:space="preserve">        If UCase(Trim(CStr(ws.Cells(i, "A").Value))) = UCase(Trim(partNum)) And UCase(Trim(CStr(ws.Cells(i, "B").Value))) = UCase(Trim(loc)) Then</t>
  </si>
  <si>
    <t xml:space="preserve">            LookupEntryID = ws.Cells(i, "G").Value</t>
  </si>
  <si>
    <t xml:space="preserve">            Exit Function</t>
  </si>
  <si>
    <t xml:space="preserve">        End If</t>
  </si>
  <si>
    <t>End Function</t>
  </si>
  <si>
    <t>Private Function ValSafe(v As Variant) As Double</t>
  </si>
  <si>
    <t xml:space="preserve">    ValSafe = 0</t>
  </si>
  <si>
    <t xml:space="preserve">    If IsNumeric(v) Then ValSafe = CDbl(v)</t>
  </si>
  <si>
    <t>SN</t>
  </si>
  <si>
    <t>Remarks</t>
  </si>
  <si>
    <t>Material Group</t>
  </si>
  <si>
    <t>Description</t>
  </si>
  <si>
    <t>Qty</t>
  </si>
  <si>
    <t>Initial Qty</t>
  </si>
  <si>
    <t>Rack#</t>
  </si>
  <si>
    <t>Drum Qty</t>
  </si>
  <si>
    <t>108258427</t>
  </si>
  <si>
    <t>M10L-262 FACEPLATE</t>
  </si>
  <si>
    <t>760038240</t>
  </si>
  <si>
    <t>1U Patchcord Management</t>
  </si>
  <si>
    <t>760038257</t>
  </si>
  <si>
    <t>2U Patchcord Management</t>
  </si>
  <si>
    <t>MGS600 OUTLET-BLUE</t>
  </si>
  <si>
    <t>760237046</t>
  </si>
  <si>
    <t>CPP-SDDM-SL-1U-24</t>
  </si>
  <si>
    <t>1-6457567-6</t>
  </si>
  <si>
    <t>ASSY,LC DUP, W/ FLNG AQUA</t>
  </si>
  <si>
    <t>1711214-2</t>
  </si>
  <si>
    <t>PHONE PATCH PANELS 50 PORTS</t>
  </si>
  <si>
    <t>1711301-1</t>
  </si>
  <si>
    <t>SINGLE BS FACEPLATE LJ6C UNLOADED</t>
  </si>
  <si>
    <t>1711348-1</t>
  </si>
  <si>
    <t>LJ6C Unloaded Snap-In Module, 2-gang, 1 port, white</t>
  </si>
  <si>
    <t>1725150-6</t>
  </si>
  <si>
    <t>SL SERIES JACK TOOL KIT</t>
  </si>
  <si>
    <t>2153449-4</t>
  </si>
  <si>
    <t>AMP-TWIST SLX,6AS,GY</t>
  </si>
  <si>
    <t>6457567-4</t>
  </si>
  <si>
    <t>ASSY, ADPTR, DUP, LC, SR BLUE</t>
  </si>
  <si>
    <t>FBXLCUC11-MXM002</t>
  </si>
  <si>
    <t>PIGTAIL,RISR,SBJ,LS,0.9MM,LC/UC,AQ</t>
  </si>
  <si>
    <t>FDWLCSC42-JXF010</t>
  </si>
  <si>
    <t>JUMPER,PLEN,TS,1.6MM,DPLX,LC/SC,YL,FT010</t>
  </si>
  <si>
    <t>NPC6ASZDB-WT003M</t>
  </si>
  <si>
    <t>NPC, Cat 6A, Shielded, LSZH, White, 3M</t>
  </si>
  <si>
    <t>760012161</t>
  </si>
  <si>
    <t>N-012-DS-5K-FSUAQ/D</t>
  </si>
  <si>
    <t>760027433</t>
  </si>
  <si>
    <t>PNL-BK-024-SFA-LC02-BL-SHUTTERED</t>
  </si>
  <si>
    <t>760031054</t>
  </si>
  <si>
    <t>Fusion Splice Wallet Kit with 6 splice</t>
  </si>
  <si>
    <t>760053280</t>
  </si>
  <si>
    <t>D-012-LA-8W-F12NS</t>
  </si>
  <si>
    <t>760148502</t>
  </si>
  <si>
    <t>Fusion Splice Tray Kit, stackable,</t>
  </si>
  <si>
    <t>760216762</t>
  </si>
  <si>
    <t>360DPis-24LC-SM</t>
  </si>
  <si>
    <t>760230946</t>
  </si>
  <si>
    <t>TeraSPEED® SYSTIMAX 360</t>
  </si>
  <si>
    <t>760231498</t>
  </si>
  <si>
    <t>SD-4U-FX</t>
  </si>
  <si>
    <t>760241042</t>
  </si>
  <si>
    <t>C-012-LN-8W-M12BK/20G/D</t>
  </si>
  <si>
    <t>760241043</t>
  </si>
  <si>
    <t>Z-024-LN-8W-F12BK/20G/E - indoor/outdoor</t>
  </si>
  <si>
    <t>760242453</t>
  </si>
  <si>
    <t>AGILE 1U enclosed sliding panel,</t>
  </si>
  <si>
    <t>0-1859096-1</t>
  </si>
  <si>
    <t>UNLOADED LJ6C SNAP IN MODULE,</t>
  </si>
  <si>
    <t>760242454</t>
  </si>
  <si>
    <t>AGL-1U-ANG-SL</t>
  </si>
  <si>
    <t>760242494</t>
  </si>
  <si>
    <t>DM12-12LC-LS-AF</t>
  </si>
  <si>
    <t>1-5502776-1</t>
  </si>
  <si>
    <t>DUP REC ASSY, SC/SC CER SLEEVE, BLUE</t>
  </si>
  <si>
    <t>1-599623-4</t>
  </si>
  <si>
    <t>C-006-DN-8W-M06YL</t>
  </si>
  <si>
    <t>1-599625-4</t>
  </si>
  <si>
    <t>C-012-DN-8W-M12YL</t>
  </si>
  <si>
    <t>1-599624-4</t>
  </si>
  <si>
    <t>C-008-DN-8W-M08YL</t>
  </si>
  <si>
    <t>1-6536508-5</t>
  </si>
  <si>
    <t>FOSM LEAD 1.8MZ LC/PC-SC/PC DPX/TUN 15M</t>
  </si>
  <si>
    <t>1-6536967-0</t>
  </si>
  <si>
    <t>FOMM50 LEAD 1.8MZ OM3 LC-SC DPX 10M</t>
  </si>
  <si>
    <t>1-6536967-5</t>
  </si>
  <si>
    <t>FOMM50 LEAD 1.8MZ OM3 LC-SC DPX 15M</t>
  </si>
  <si>
    <t>1711302-1</t>
  </si>
  <si>
    <t>DOUBLE BS FACEPLATE LJ6C UNLOADED</t>
  </si>
  <si>
    <t>1711491-1</t>
  </si>
  <si>
    <t>BLANKING PLATE LJ6C WHITE</t>
  </si>
  <si>
    <t>2160042-2</t>
  </si>
  <si>
    <t>FOMM50 PIGTAIL OM4 0.9S LC 2M</t>
  </si>
  <si>
    <t>2160046-1</t>
  </si>
  <si>
    <t>FOMM50 LEAD OM4 1.8MZ  LC - LC D 1M</t>
  </si>
  <si>
    <t>2160046-3</t>
  </si>
  <si>
    <t>FOMM50 LEAD OM4 1.8MZ LC - LC D 3M</t>
  </si>
  <si>
    <t>2-2160046-0</t>
  </si>
  <si>
    <t>FOMM50 LEAD OM4 1.8MZ LC - LC D 20M</t>
  </si>
  <si>
    <t>2-5502776-6</t>
  </si>
  <si>
    <t>DUP REC ASSY, SC/SC CER SLEEVE, AQUA</t>
  </si>
  <si>
    <t>2-6536501-0</t>
  </si>
  <si>
    <t>FOSM LEAD 1.8MZ LC/PC-LC/PC DPX TUN 20M</t>
  </si>
  <si>
    <t>3-2160046-0</t>
  </si>
  <si>
    <t>FOMM50 LEAD OM4 1.8MZ LC - LC D 30M</t>
  </si>
  <si>
    <t>3-6536501-0</t>
  </si>
  <si>
    <t>FOSM LEAD 1.8MZ LC/PC-LC/PC DPX TUN 30M</t>
  </si>
  <si>
    <t>4-2160046-0</t>
  </si>
  <si>
    <t>FOMM50 LEAD OM4 1.8MZ LC - LC D 40M</t>
  </si>
  <si>
    <t>5233582-2</t>
  </si>
  <si>
    <t>FOSM PIGTAIL 0.9 SC/PC TUNED 2M</t>
  </si>
  <si>
    <t>558402-1</t>
  </si>
  <si>
    <t>110Connect XC System Connector Block, 5-pair, PCB, 110 punchdown, white</t>
  </si>
  <si>
    <t>558417-1</t>
  </si>
  <si>
    <t>110Connect XC System Designation Strip</t>
  </si>
  <si>
    <t>558842-1</t>
  </si>
  <si>
    <t>110Connect XC System Cross-Connect Wiring Block with Legs, 100-pair, Category 5e, .110 punch down</t>
  </si>
  <si>
    <t>536788-000</t>
  </si>
  <si>
    <t>FIST-SOSA2-4SE-S</t>
  </si>
  <si>
    <t>6536501-3</t>
  </si>
  <si>
    <t>FOSM LEAD 1.8MZ LC/PC-LC/PC DPX TUN 3M</t>
  </si>
  <si>
    <t>6536508-1</t>
  </si>
  <si>
    <t>FOSM LEAD 1.8MZ LC/PC-SC/PC DPX/TUN 1M</t>
  </si>
  <si>
    <t>6536501-1</t>
  </si>
  <si>
    <t>FOSM LEAD 1.8MZ LC/PC-LC/PC DPX TUN 1M</t>
  </si>
  <si>
    <t>6536501-2</t>
  </si>
  <si>
    <t>FOSM LEAD 1.8MZ LC/PC-LC/PC DPX TUN 2M</t>
  </si>
  <si>
    <t>6536967-1</t>
  </si>
  <si>
    <t>FOMM50 LEAD 1.8MZ OM3 LC-SC DPX 1M</t>
  </si>
  <si>
    <t>6536967-2</t>
  </si>
  <si>
    <t>FOMM50 LEAD 1.8MZ OM3 LC-SC DPX 2M</t>
  </si>
  <si>
    <t>6536967-3</t>
  </si>
  <si>
    <t>FOMM50 LEAD 1.8MZ OM3 LC-SC DPX 3M</t>
  </si>
  <si>
    <t>6536967-5</t>
  </si>
  <si>
    <t>FOMM50 LEAD 1.8MZ OM3 LC-SC DPX 5M</t>
  </si>
  <si>
    <t>884038014/10</t>
  </si>
  <si>
    <t>CS34Z3 BLU C6 4/23 U/UTP CPK 305M</t>
  </si>
  <si>
    <t>760053348</t>
  </si>
  <si>
    <t>D-096-LA-8W-F12NS</t>
  </si>
  <si>
    <t>884019904/10</t>
  </si>
  <si>
    <t>Copper Cable, category 6 U/UTP, outdoor</t>
  </si>
  <si>
    <t>AJXMPMPAD-MAM012</t>
  </si>
  <si>
    <t>TRNK,A-ULL,LSZH,OM4,MPO12,F-F,12M</t>
  </si>
  <si>
    <t>AJXMPMPAD-MAM017</t>
  </si>
  <si>
    <t>TRNK,A-ULL,LSZH,OM4,MPO12,F-F,17M</t>
  </si>
  <si>
    <t>AJXMPMPAD-MAM022</t>
  </si>
  <si>
    <t>TRNK,A-ULL,LSZH,OM4,MPO12,F-F,22M</t>
  </si>
  <si>
    <t>CJ9789-000</t>
  </si>
  <si>
    <t> FIST-GCO2-FC6-NN</t>
  </si>
  <si>
    <t>CK9479-000</t>
  </si>
  <si>
    <t>FIST Gel Sealing Kit for oval splice clo</t>
  </si>
  <si>
    <t>NPC06UZDB-WT010M</t>
  </si>
  <si>
    <t>NPC CAT 6, UTP, LSZH, WT, 10M</t>
  </si>
  <si>
    <t>FBWLCUC11-JXF003</t>
  </si>
  <si>
    <t>TeraSPEED® LC to Unconnectorized,</t>
  </si>
  <si>
    <t>NPC06UZDB-BL030C</t>
  </si>
  <si>
    <t>NPC CAT 6, UTP, LSZH, BL, 30C</t>
  </si>
  <si>
    <t>1427632-1</t>
  </si>
  <si>
    <t>HORIZANTAL CABLE MANAGEMENT 1U</t>
  </si>
  <si>
    <t>6536880-2</t>
  </si>
  <si>
    <t>FOSM PIGTAIL 0.9S WHITE LC/PC TUNED 2M</t>
  </si>
  <si>
    <t>884059314/10</t>
  </si>
  <si>
    <t>CS34Z1 WHT C6 4/24 U/UTP CPK 305M</t>
  </si>
  <si>
    <t>NPC6ASZDB-BK003M</t>
  </si>
  <si>
    <t>NPC, Cat 6A, Shielded, LSZH, Black, 3M</t>
  </si>
  <si>
    <t>NPC6ASZDB-BL001M</t>
  </si>
  <si>
    <t>NPC, Cat 6A, Shielded, LSZH, Blue, 1M</t>
  </si>
  <si>
    <t>NPC6ASZDB-GN001M</t>
  </si>
  <si>
    <t>NPC, Cat 6A, Shielded, LSZH, Green 1m</t>
  </si>
  <si>
    <t>NPC6ASZDB-YL001M</t>
  </si>
  <si>
    <t>NPC, Cat 6A, Shielded, LSZH, Yellow, 1M</t>
  </si>
  <si>
    <t>760237040</t>
  </si>
  <si>
    <t>CPP-UDDM-SL-1U-24</t>
  </si>
  <si>
    <t>9-1594455-1</t>
  </si>
  <si>
    <t>POC-P5SOD24N024HGY09NUOR</t>
  </si>
  <si>
    <t>760012153</t>
  </si>
  <si>
    <t>N-006-DS-5K-FSUAQ/D OM4,aqua</t>
  </si>
  <si>
    <t>1-2160046-0</t>
  </si>
  <si>
    <t>FOMM50 LEAD OM4 1.8MZ LC - LC D 10M</t>
  </si>
  <si>
    <t>1-2160046-5</t>
  </si>
  <si>
    <t>FOMM50 LEAD OM4 1.8MZ  LC - LC D 15M</t>
  </si>
  <si>
    <t>2160046-2</t>
  </si>
  <si>
    <t>FOMM50 LEAD OM4 1.8MZ LC - LC D 2M</t>
  </si>
  <si>
    <t>700009780</t>
  </si>
  <si>
    <t>N-006-DS-5L-FSUAQ/D</t>
  </si>
  <si>
    <t>760019109</t>
  </si>
  <si>
    <t>N-024-DS-5L-FSUAQ/D - OM3</t>
  </si>
  <si>
    <t>1-599622-4</t>
  </si>
  <si>
    <t>C-004-CN-8W-M04YL/28G/GY/E</t>
  </si>
  <si>
    <t>1-6536969-0</t>
  </si>
  <si>
    <t>FOMM50 LEAD 1.8MZ OM3 LC-LC DPX 10M</t>
  </si>
  <si>
    <t>1-6536969-5</t>
  </si>
  <si>
    <t>FOMM50 LEAD OM3 1.8MZ LC/LC DPX 15M</t>
  </si>
  <si>
    <t>1671044-1</t>
  </si>
  <si>
    <t>DISTR.MOD.DUPL.6XLC_EMPT.</t>
  </si>
  <si>
    <t>1711277-1</t>
  </si>
  <si>
    <t>FACE PLATE-FRENCH STYLE 4</t>
  </si>
  <si>
    <t>2160046-5</t>
  </si>
  <si>
    <t>FOMM50 LEAD OM4 1.8MZ  LC - LC D 5 M</t>
  </si>
  <si>
    <t>6536966-2</t>
  </si>
  <si>
    <t>FOMM50 PIGTAIL0.9S OM3 LC/PC 2M</t>
  </si>
  <si>
    <t>6536969-1</t>
  </si>
  <si>
    <t>FOMM50 LEAD 1.8MZ OM3 LC-LC DPX 1M</t>
  </si>
  <si>
    <t>6536969-2</t>
  </si>
  <si>
    <t>FOMM50 LEAD OM3 1.8MZ LC-LC DPX 2M</t>
  </si>
  <si>
    <t>6536969-3</t>
  </si>
  <si>
    <t>FOMM50 LEAD 1.8MZ OM3 LC-LC DPX 3M</t>
  </si>
  <si>
    <t>6536969-5</t>
  </si>
  <si>
    <t>FOMM50 LEAD OM3 1.8MZ LC-LC DPX 5M</t>
  </si>
  <si>
    <t>NPC06UZDB-WT002M</t>
  </si>
  <si>
    <t>NPC CAT 6, UTP, LSZH, WT, 2M</t>
  </si>
  <si>
    <t>NPC6ASZDB-WT002M</t>
  </si>
  <si>
    <t>NPC, Cat 6A, Shielded, LSZH, White, 2M</t>
  </si>
  <si>
    <t>NPC6ASZDB-WT010M</t>
  </si>
  <si>
    <t>NPC, Cat 6A, Shielded, LSZH, White, 10M</t>
  </si>
  <si>
    <t>1-599625-3</t>
  </si>
  <si>
    <t>POC-FO-CAB-RRGLT-12X3-1KM</t>
  </si>
  <si>
    <t>1-599623-3</t>
  </si>
  <si>
    <t>POC-FO-CAB-RRGLT-6X3-1KM</t>
  </si>
  <si>
    <t>108168469</t>
  </si>
  <si>
    <t>M12L-262 FACEPLATE KIT</t>
  </si>
  <si>
    <t>760135087</t>
  </si>
  <si>
    <t>360DP-12SC-SM</t>
  </si>
  <si>
    <t>760231522</t>
  </si>
  <si>
    <t>HD-4U-SP SPLICING FIBER SHELF</t>
  </si>
  <si>
    <t>CPCSSZ2-0ZF007</t>
  </si>
  <si>
    <t>360GS10E-L-BL-7FT</t>
  </si>
  <si>
    <t>CPCSSZ2-0ZF010</t>
  </si>
  <si>
    <t>360GS10E-L-BL-10FT</t>
  </si>
  <si>
    <t>1671000-8</t>
  </si>
  <si>
    <t>1UENC_SLID.TR._LC/MM_B</t>
  </si>
  <si>
    <t>657054-000</t>
  </si>
  <si>
    <t>SMOUV-1120-01-PK</t>
  </si>
  <si>
    <t>1-599622-3</t>
  </si>
  <si>
    <t>POC-FO-CAB-RRGLT-4X3-1KM</t>
  </si>
  <si>
    <t>1-599624-3</t>
  </si>
  <si>
    <t>POC-FO-CAB-RRGLT-8X3-1KM</t>
  </si>
  <si>
    <t>1711349-1</t>
  </si>
  <si>
    <t>UNLOADED 45x22.5 SNAP IN MODULE</t>
  </si>
  <si>
    <t>2-599622-4</t>
  </si>
  <si>
    <t>POC-FO-CAB-RRGLT-4X4-2KM</t>
  </si>
  <si>
    <t>NPC6ASZDB-WT005M</t>
  </si>
  <si>
    <t>NPC, Cat 6A, Shielded, LSZH, White, 5M</t>
  </si>
  <si>
    <t>1671281-1</t>
  </si>
  <si>
    <t>Splice Tray kit SMOUV</t>
  </si>
  <si>
    <t>760237041</t>
  </si>
  <si>
    <t>CPP-UDDM-SL-2U-48</t>
  </si>
  <si>
    <t>1375055-2</t>
  </si>
  <si>
    <t>JACK,SL110,RJ45,CAT6,BLK</t>
  </si>
  <si>
    <t>NPC06UZDB-WT001M</t>
  </si>
  <si>
    <t>NPC CAT 6, UTP, LSZH, WT, 1M</t>
  </si>
  <si>
    <t>NPC06UZDB-WT003M</t>
  </si>
  <si>
    <t>NPC CAT 6, UTP, LSZH, WT, 3M</t>
  </si>
  <si>
    <t>760100891</t>
  </si>
  <si>
    <t>M10LW4SP 1-Port 1-Gang SS Tel Faceplate</t>
  </si>
  <si>
    <t>FDWLCSC42-JXF017</t>
  </si>
  <si>
    <t>JUMPER,PLEN,TS,1.6MM,DPLX,LC/SC,YL,FT017</t>
  </si>
  <si>
    <t>760248901</t>
  </si>
  <si>
    <t>WB2-EMT-BK-2P-MOD</t>
  </si>
  <si>
    <t>700009749</t>
  </si>
  <si>
    <t>N-012-DS-5L-FSUAQ/D</t>
  </si>
  <si>
    <t>884041954/16</t>
  </si>
  <si>
    <t>CS44Z3 WHT C6A 4/23 F/FTP RL 500M</t>
  </si>
  <si>
    <t>760237047</t>
  </si>
  <si>
    <t>CPP-SDDM-SL-2U-48</t>
  </si>
  <si>
    <t>NPC06UZDB-WT005M</t>
  </si>
  <si>
    <t>NPC6ASZDB-WT001M</t>
  </si>
  <si>
    <t>NPC, Cat 6A, Shielded, LSZH, White, 1M</t>
  </si>
  <si>
    <t>760152587</t>
  </si>
  <si>
    <t>360-IPR-1100-E-GS6-1U-24</t>
  </si>
  <si>
    <t>760152595</t>
  </si>
  <si>
    <t>360-IPR-1100-E-GS6-2U-48</t>
  </si>
  <si>
    <t>1711163-1</t>
  </si>
  <si>
    <t>CS54Z3 WHT C7 4/23 F/FTP RL 500M</t>
  </si>
  <si>
    <t>NPC6ASZDB-BL003M</t>
  </si>
  <si>
    <t>NPC, Cat 6A, Shielded, LSZH, Blue, 3M</t>
  </si>
  <si>
    <t>760106047</t>
  </si>
  <si>
    <t>2091B GRN C6A 4/23 U/UTP R1000</t>
  </si>
  <si>
    <t>760106039</t>
  </si>
  <si>
    <t>3091B BLU C6A 4/23 U/UTP W1000</t>
  </si>
  <si>
    <t>760105890</t>
  </si>
  <si>
    <t>NPC6ASZDB-RD001M</t>
  </si>
  <si>
    <t>NPC, Cat 6A, Shielded, LSZH, Red, 1M</t>
  </si>
  <si>
    <t>CC8480-000</t>
  </si>
  <si>
    <t>OC-ADP-L2-L2-NNCD</t>
  </si>
  <si>
    <t>1711411-1</t>
  </si>
  <si>
    <t>IP 44 Industrial Outlet</t>
  </si>
  <si>
    <t>FFXLCLC42-MXF033</t>
  </si>
  <si>
    <t>JUMPER,LSZH,LS,1.6MM,DPLX,LC/LC,AQ,FT033</t>
  </si>
  <si>
    <t>CW16452-000</t>
  </si>
  <si>
    <t>Fiber Optic Patch Cord. singlcmode</t>
  </si>
  <si>
    <t>760039867</t>
  </si>
  <si>
    <t>RS-2AF-16SF RoloSplice/2Fus Spl</t>
  </si>
  <si>
    <t>760241035</t>
  </si>
  <si>
    <t>C-012-LA-8\V-M 1213K/20G/13</t>
  </si>
  <si>
    <t>760068718</t>
  </si>
  <si>
    <t>Z-004-DS-8W-FSUBK/D</t>
  </si>
  <si>
    <t>760053876</t>
  </si>
  <si>
    <t>D-048-LN-8W-F12NS</t>
  </si>
  <si>
    <t>3-2160016-0</t>
  </si>
  <si>
    <t>FOMM50 LEAD OMA 1.8MZ LC - LC D 30M</t>
  </si>
  <si>
    <t>2-599625-3</t>
  </si>
  <si>
    <t>C-012.CN-5L-M12AQ/28G/GY/E</t>
  </si>
  <si>
    <t>2-599617-3</t>
  </si>
  <si>
    <t>C-M 2-CN-5L-M 12AQ/281YGY/D</t>
  </si>
  <si>
    <t>760053314</t>
  </si>
  <si>
    <t>D-048-LA-8W-Fl 2NS</t>
  </si>
  <si>
    <t>2-599617-4</t>
  </si>
  <si>
    <t>C-012-CN-8W-M12YL/28D/GY/D</t>
  </si>
  <si>
    <t>2-599623-4</t>
  </si>
  <si>
    <t>C-006-CN-8W-M06YL/28G/GY/E</t>
  </si>
  <si>
    <t>760237406</t>
  </si>
  <si>
    <t>CPP-SDDM-SL-IU-24</t>
  </si>
  <si>
    <t>760107334</t>
  </si>
  <si>
    <t>3091B SLT C6A 4/23 U/UTP W1000</t>
  </si>
  <si>
    <t>760236037</t>
  </si>
  <si>
    <t>3091B ORG C6A 4/23 U/UTP W1000</t>
  </si>
  <si>
    <t>760119198</t>
  </si>
  <si>
    <t>3091B GRN C6A 4/23 U/UTP W1000</t>
  </si>
  <si>
    <t>CW6452-000</t>
  </si>
  <si>
    <t>F05119-000</t>
  </si>
  <si>
    <t>OC-ADP-L5-L5-NNCD</t>
  </si>
  <si>
    <t>760019117</t>
  </si>
  <si>
    <t>N-024-DS-5K-FSUAQ/D</t>
  </si>
  <si>
    <t>FFXLCLC42-MXF065</t>
  </si>
  <si>
    <t>JUMPER,LSZH,LS,1.6MM,DPLX,LC/LC,AQ,FT065</t>
  </si>
  <si>
    <t>FFXLCLC42-MXF050</t>
  </si>
  <si>
    <t>JUMPER,LSZH,LS,1.6MM,DPLX,LC/LC,AQ,FT050</t>
  </si>
  <si>
    <t>760193771</t>
  </si>
  <si>
    <t>360G2-1U-MOD-SD</t>
  </si>
  <si>
    <t>760231506</t>
  </si>
  <si>
    <t>HD-1U-SP SPLICING FIBER SHELF</t>
  </si>
  <si>
    <t>6-2111981-3</t>
  </si>
  <si>
    <t>MP-6AS-B-1:6A SHD 5.1-6.0, 100</t>
  </si>
  <si>
    <t>760109496</t>
  </si>
  <si>
    <t>360G2 Cartridge 12-LC-SM-BL-Pigtails</t>
  </si>
  <si>
    <t>760178129</t>
  </si>
  <si>
    <t>1592A BLK C6A 4/23 F/UTP R1000</t>
  </si>
  <si>
    <t>1711006-1</t>
  </si>
  <si>
    <t>CA OUT C6 PR4 UTP PE BLA 24AWG SOL 500m</t>
  </si>
  <si>
    <t>1859096-1</t>
  </si>
  <si>
    <t>UNLOADED LJ6C ANGLED SNAP IN MODULE</t>
  </si>
  <si>
    <t>FGS-MSNC-F</t>
  </si>
  <si>
    <t>FGS-MSNC-F: KIT,FGS HINGED COVER,12" YEL</t>
  </si>
  <si>
    <t>FGS-MSHS-H</t>
  </si>
  <si>
    <t>FGS-MSHS-H: FGS 24" STRAIGHT S</t>
  </si>
  <si>
    <t>FGS-MSHS-F</t>
  </si>
  <si>
    <t>FGS-MSHS-F: STRAIGHT, 4X12X6 FT, FGS YEL</t>
  </si>
  <si>
    <t>884032314/10</t>
  </si>
  <si>
    <t>CS34Z3 WHT C6 4/24 U/UTP CPK 305M</t>
  </si>
  <si>
    <t>1-6536501-5</t>
  </si>
  <si>
    <t>FOSM LEAD 1.8MZ LC/PC-LC/PC DPX TUN 15M</t>
  </si>
  <si>
    <t>6536501-5</t>
  </si>
  <si>
    <t>FOSM LEAD 1.8MZ LC/PC-LC/PC DPX TUN 5M</t>
  </si>
  <si>
    <t>760053298</t>
  </si>
  <si>
    <t>D-024-LA-8W-F12NS</t>
  </si>
  <si>
    <t>760053843</t>
  </si>
  <si>
    <t>D-012-LN-8W-F12NS</t>
  </si>
  <si>
    <t>760053850</t>
  </si>
  <si>
    <t>D-024-LN-8W-F12NS</t>
  </si>
  <si>
    <t>760053892</t>
  </si>
  <si>
    <t>D-072-LN-8W-F12NS</t>
  </si>
  <si>
    <t>FFXLCLC42-MXF017</t>
  </si>
  <si>
    <t>JUMPER,LSZH,LS,1.6MM,DPLX,LC/LC,AQ,FT017</t>
  </si>
  <si>
    <t>A14037-000</t>
  </si>
  <si>
    <t>OC-ADP-L1-L1-NNCD</t>
  </si>
  <si>
    <t>760246284</t>
  </si>
  <si>
    <t>SINGLE GANG,L, 2 PORT OUTDOOR COVER</t>
  </si>
  <si>
    <t>CC0872-000</t>
  </si>
  <si>
    <t>OCP-L2-02MASEN-XX</t>
  </si>
  <si>
    <t>CO15542-01F005</t>
  </si>
  <si>
    <t>PCOSP-6U-BK-5FT</t>
  </si>
  <si>
    <t>CV6320-000</t>
  </si>
  <si>
    <t>TENIO-B6-S12-12-N</t>
  </si>
  <si>
    <t>CW3858-000</t>
  </si>
  <si>
    <t>BUDI-2S-T-04L1ES</t>
  </si>
  <si>
    <t>CW6616-000</t>
  </si>
  <si>
    <t>TENIO-SKG4-3/6</t>
  </si>
  <si>
    <t>CW6617-000</t>
  </si>
  <si>
    <t>TENIO-SKG2-9/12</t>
  </si>
  <si>
    <t>EM2982-001</t>
  </si>
  <si>
    <t>HFTP-N0-LN00-E</t>
  </si>
  <si>
    <t>760244933</t>
  </si>
  <si>
    <t>CTU-L</t>
  </si>
  <si>
    <t>FFWLCLC42-JXF035</t>
  </si>
  <si>
    <t>JUMPER,LSZH,TS,1.6MM,DPLX,LC/LC,YL,FT035</t>
  </si>
  <si>
    <t>1-6536501-0</t>
  </si>
  <si>
    <t>FOSM LEAD 1.8MZ LC/PC-LC/PC DPX TUN 10M</t>
  </si>
  <si>
    <t>CO11192-01F005</t>
  </si>
  <si>
    <t>PCOSP-6AS-BK-5FT</t>
  </si>
  <si>
    <t>CPCSSZ2-03F003</t>
  </si>
  <si>
    <t>360GS10E-L-DG-3FT</t>
  </si>
  <si>
    <t>CPCSSZ2-08F003</t>
  </si>
  <si>
    <t>360GS10E-L-WH-3FT</t>
  </si>
  <si>
    <t>760188243</t>
  </si>
  <si>
    <t>LF81 WHITE-262</t>
  </si>
  <si>
    <t>760187195</t>
  </si>
  <si>
    <t>360-E-MOD-2U-48</t>
  </si>
  <si>
    <t>CW8862-000</t>
  </si>
  <si>
    <t>TENIO-SKG-DUMMY</t>
  </si>
  <si>
    <t>760083980</t>
  </si>
  <si>
    <t>LR Kit, Ret. Post CRRP-8H</t>
  </si>
  <si>
    <t>FGS-MH4E-H</t>
  </si>
  <si>
    <t>FGS-MH4E-H: FGS 24" HORZ 45 DEG ELBOW</t>
  </si>
  <si>
    <t>FGS-MDSA-HF</t>
  </si>
  <si>
    <t>FGS-MDSA-HF: FGS 24" TO 12" REDUCER ADAP</t>
  </si>
  <si>
    <t>FGS-FDSA-HF</t>
  </si>
  <si>
    <t>FGS-FDSA-HF: FGS 24" COVER, 24" TO 12" R</t>
  </si>
  <si>
    <t>FGS-MH9E-F</t>
  </si>
  <si>
    <t>FGS-MH9E-F: ELBOW,90 HORIZ,4X12,YEL,FGS</t>
  </si>
  <si>
    <t>FGS-MEXP-E-A/B/F</t>
  </si>
  <si>
    <t>FGS-MEXP-E-A/B/F: KIT, DWNSPT EXP EXIT 2</t>
  </si>
  <si>
    <t>FGS-KT03-A</t>
  </si>
  <si>
    <t>FGS-KT03-A: KIT,ADAPTER,4X4 TO DUAL 2</t>
  </si>
  <si>
    <t>FGS-MEXP-A/B/F</t>
  </si>
  <si>
    <t>FGS-MEXP-A/B/F: KIT,2X2 EXPRESS EXIT YLW</t>
  </si>
  <si>
    <t>FGS-MHRT-F</t>
  </si>
  <si>
    <t>FGS-MHRT-F: TEE,HORIZ,4X12,YEL,FGS</t>
  </si>
  <si>
    <t>FGS-MHXP-H</t>
  </si>
  <si>
    <t>FGS-MHXP-H: FGS 24" HORZ CROSS YELLOW</t>
  </si>
  <si>
    <t>FGS-SHRT-F</t>
  </si>
  <si>
    <t>FGS-SHRT-F: COVER, TEE, 4X12, FGS</t>
  </si>
  <si>
    <t>FGS-SH9E-F</t>
  </si>
  <si>
    <t>FGS-SH9E-F: COVER, ELBOW, 4X12,90 HORI</t>
  </si>
  <si>
    <t>FGS-MFAW-F</t>
  </si>
  <si>
    <t>FGS-MFAW-H: FGS 24" JUNCTION S</t>
  </si>
  <si>
    <t>FGS-MFAW-H</t>
  </si>
  <si>
    <t>FGS-MFAW-F: JUNCTION,SNAP-FIT,4X12,YEL</t>
  </si>
  <si>
    <t>760109470</t>
  </si>
  <si>
    <t>360G2 Cartridge 12-LC-LS-AQ-Pigtails</t>
  </si>
  <si>
    <t>FGS-HNTP-F-12MM</t>
  </si>
  <si>
    <t>FGS-HNTP-F-12MM: KIT,TRPZ BRKT,12FGS</t>
  </si>
  <si>
    <t>FGS-MHRT-H</t>
  </si>
  <si>
    <t>FGS-MHRT-H: TEE,HORIZONTAL,FGS,24" YELLO</t>
  </si>
  <si>
    <t>760046649</t>
  </si>
  <si>
    <t>Z-004-DS-5L-FSUBK/D</t>
  </si>
  <si>
    <t>FFXLCLC42-MXF007</t>
  </si>
  <si>
    <t>JUMPER,LSZH,LS,1.6MM,DPLX,LC/LC,AQ,FT007</t>
  </si>
  <si>
    <t>760084046</t>
  </si>
  <si>
    <t>LR Kit, T-Junct. Splice CRTJSK</t>
  </si>
  <si>
    <t>CS2725-000</t>
  </si>
  <si>
    <t>OC-ADP-L5-L5-NNCD-AQUA</t>
  </si>
  <si>
    <t>760244932</t>
  </si>
  <si>
    <t>CTU-S</t>
  </si>
  <si>
    <t>CPCSSZ2-04F003</t>
  </si>
  <si>
    <t>360GS10E-L-GN-3FT</t>
  </si>
  <si>
    <t>760039875</t>
  </si>
  <si>
    <t>G2-SRF(Small-Diameter-Cbl Fitting-1Kit)</t>
  </si>
  <si>
    <t>COP1KZ2-88F003</t>
  </si>
  <si>
    <t>ECO SCCA-CAT6A-L-WH-3FT</t>
  </si>
  <si>
    <t>CPCSSZ2-04F010</t>
  </si>
  <si>
    <t>360GS10E-L-GN-10FT</t>
  </si>
  <si>
    <t>CPCSSZ2-06F010</t>
  </si>
  <si>
    <t>360GS10E-L-OR-10FT</t>
  </si>
  <si>
    <t>760053868</t>
  </si>
  <si>
    <t>D-036-LN-8W-F12NS</t>
  </si>
  <si>
    <t>760092437</t>
  </si>
  <si>
    <t>MGS600 OUTLET-GRAY</t>
  </si>
  <si>
    <t>CPCSSZ2-06F003</t>
  </si>
  <si>
    <t>360GS10E-L-OR-3FT</t>
  </si>
  <si>
    <t>760085662</t>
  </si>
  <si>
    <t>Ladder Rack, 10'L x 24" W, CR-SLR-10L24W</t>
  </si>
  <si>
    <t>760109124</t>
  </si>
  <si>
    <t>Kit, Grnd Strap, Ladder Rk (CRGND)</t>
  </si>
  <si>
    <t>760083923</t>
  </si>
  <si>
    <t>LR Kit, Support Brkt. CRSBK5-8TR</t>
  </si>
  <si>
    <t>FGS-FH4E-H</t>
  </si>
  <si>
    <t>FGS-FH4E-H: FGS 24" COVER, 45DEG</t>
  </si>
  <si>
    <t>760083899</t>
  </si>
  <si>
    <t>LR Kit, Butt Splice CRBSK</t>
  </si>
  <si>
    <t>FGS-MHRT-H/F-VS</t>
  </si>
  <si>
    <t>FGS-MHRT-H/F-VS: KIT FGS 24" T</t>
  </si>
  <si>
    <t>CPCSSZ2-03F010</t>
  </si>
  <si>
    <t>360GS10E-L-DG-10FT</t>
  </si>
  <si>
    <t>CPCSSZ2-03F017</t>
  </si>
  <si>
    <t>360GS10E-L-DG-17FT</t>
  </si>
  <si>
    <t>CPCSSZ2-03F020</t>
  </si>
  <si>
    <t>360GS10E-L-DG-20FT</t>
  </si>
  <si>
    <t>CPCSSZ2-03F033</t>
  </si>
  <si>
    <t>360GS10E-L-DG-33FT</t>
  </si>
  <si>
    <t>FFWLCLC42-JXF007</t>
  </si>
  <si>
    <t>JUMPER,LSZH,TS,1.6MM,DPLX,LC/LC,YL,FT007</t>
  </si>
  <si>
    <t>FFWLCLC42-JXF066</t>
  </si>
  <si>
    <t>JUMPER,LSZH,TS,1.6MM,DPLX,LC/LC,YL,FT066</t>
  </si>
  <si>
    <t>FGS-KT03-CA1</t>
  </si>
  <si>
    <t>FGS-KT03-CA1 SINGLE FLEX TUBE EXIT</t>
  </si>
  <si>
    <t>FGS-FHXP-H</t>
  </si>
  <si>
    <t>FGS-FHXP-H: FGS 24" COVER, 24" CROSS</t>
  </si>
  <si>
    <t>CPCSSZ2-03F007</t>
  </si>
  <si>
    <t>360GS10E-L Modular Patch Cord</t>
  </si>
  <si>
    <t>FGS-HNTP-H-5/8</t>
  </si>
  <si>
    <t>FGS-HNTP-H-5/8: FGS 24" TRAPEZE BRKT KIT</t>
  </si>
  <si>
    <t>FFWLCLC42-JXF017</t>
  </si>
  <si>
    <t>JUMPER,LSZH,TS,1.6MM,DPLX,LC/LC,YL,FT017</t>
  </si>
  <si>
    <t>FGS-FSFC-H</t>
  </si>
  <si>
    <t>FGS-FSFC-H: FGS 24" COVER, 6' STRAIGHT</t>
  </si>
  <si>
    <t>760107318</t>
  </si>
  <si>
    <t>3091B WHT C6A 4/23 U/UTP W1000</t>
  </si>
  <si>
    <t>760092429</t>
  </si>
  <si>
    <t>MGS600 OUTLET-WHITE</t>
  </si>
  <si>
    <t>FFWLCLC42-JXF015</t>
  </si>
  <si>
    <t>JUMPER,LSZH,TS,1.6MM,DPLX,LC/UPC, Fiber Patch</t>
  </si>
  <si>
    <t>760139600</t>
  </si>
  <si>
    <t>D-004-LN-8W-F04NS</t>
  </si>
  <si>
    <t>760092403</t>
  </si>
  <si>
    <t>MGS600 OUTLET-GREEN</t>
  </si>
  <si>
    <t>CPCSSZ2-0ZF003</t>
  </si>
  <si>
    <t>360GS10E-L-BL-3FT</t>
  </si>
  <si>
    <t>760109462</t>
  </si>
  <si>
    <t>360G2 MOD Panel Blank</t>
  </si>
  <si>
    <t>760095554</t>
  </si>
  <si>
    <t>307 1E SLT C64/23 U/UTP W1000</t>
  </si>
  <si>
    <t>760207274</t>
  </si>
  <si>
    <t>CPP-UDDM-M-1U-24</t>
  </si>
  <si>
    <t>FGS-FHRT-H</t>
  </si>
  <si>
    <t>FGS-FHRT-H: FGS 24" COVER, 24" TO 24"TE</t>
  </si>
  <si>
    <t>1-1375055-3</t>
  </si>
  <si>
    <t>JACK,SL110,RJ45,CAT6,A.WHT</t>
  </si>
  <si>
    <t>418280-000</t>
  </si>
  <si>
    <t>SMOUV-1120-02-PK</t>
  </si>
  <si>
    <t>CW6618-000</t>
  </si>
  <si>
    <t>TENIO-SKG2-13/16</t>
  </si>
  <si>
    <t>CV6799-000</t>
  </si>
  <si>
    <t>TENIO-SKG3-5/8</t>
  </si>
  <si>
    <t>FFWLCLC42-JXF033</t>
  </si>
  <si>
    <t>JUMPER,LSZH,TS,1.6MM,DPLX,LC/LC,YL,FT033</t>
  </si>
  <si>
    <t>FFWLCLC42-JXF050</t>
  </si>
  <si>
    <t>JUMPER,LSZH,TS,1.6MM,DPLX,LC/LC,YL,FT050</t>
  </si>
  <si>
    <t>FFWLCLC42-JXF003</t>
  </si>
  <si>
    <t>JUMPER,LSZH,TS,1.6MM,DPLX,LC/LC,YL,FT003</t>
  </si>
  <si>
    <t>FFXLCLC42-MXF010</t>
  </si>
  <si>
    <t>JUMPER,LSZH,LS,1.6MM,DPLX,LC/LC,AQ,FT010</t>
  </si>
  <si>
    <t>FFWLCLC42-JXF065</t>
  </si>
  <si>
    <t>JUMPER,LSZH,TS,1.6mm,DPLX,LC/LC,YL,FT065</t>
  </si>
  <si>
    <t>FFWLCLC42-JXF010</t>
  </si>
  <si>
    <t>JUMPER,LSZH,TS,1.6MM,DPLX,LC/LC,YL,FT010</t>
  </si>
  <si>
    <t>EH6496-000</t>
  </si>
  <si>
    <t>760249249</t>
  </si>
  <si>
    <t>FPS-BS-1P-W, 1 PORT SHUTTERED WHITE</t>
  </si>
  <si>
    <t>760249251</t>
  </si>
  <si>
    <t>FPS-BS-2P-W, 2 PORT SHUTTERED WHITE</t>
  </si>
  <si>
    <t>CPCSSZ2-07F010</t>
  </si>
  <si>
    <t>GigaSPEED X10D® 360GS10E Solid Low Smoke</t>
  </si>
  <si>
    <t>760234921</t>
  </si>
  <si>
    <t>CEILING CONNECTOR ASSEMBLY</t>
  </si>
  <si>
    <t>FGS-MHXP-P-H</t>
  </si>
  <si>
    <t>FGS-MHXP-P-H:FGS 24" HORZ CROSS YELLOW</t>
  </si>
  <si>
    <t>CPCSSZ2-0ZF005</t>
  </si>
  <si>
    <t>360GS10E-L-BL-5FT</t>
  </si>
  <si>
    <t>760253100</t>
  </si>
  <si>
    <t>FPUS-BS-1P-W,1 Port Unshuttered White</t>
  </si>
  <si>
    <t>760053330</t>
  </si>
  <si>
    <t>D-072-LA-8W-F12NS</t>
  </si>
  <si>
    <t>760053355</t>
  </si>
  <si>
    <t>D-144-LA-8W-F12NS</t>
  </si>
  <si>
    <t>760242980</t>
  </si>
  <si>
    <t>360DPiP-24LC-SM</t>
  </si>
  <si>
    <t>CA111K2-08F003</t>
  </si>
  <si>
    <t>G10SP-L-WH-3FT</t>
  </si>
  <si>
    <t>9-1592145-9</t>
  </si>
  <si>
    <t>C-012-DS-5K-MSUAQ/GY/C</t>
  </si>
  <si>
    <t>760168443</t>
  </si>
  <si>
    <t>360G2-IP-96F-LC-SD-KIT-5PK</t>
  </si>
  <si>
    <t>CK9477-000</t>
  </si>
  <si>
    <t> FIST-RSKG-4</t>
  </si>
  <si>
    <t>888118-000</t>
  </si>
  <si>
    <t>FIST-MOBRA4-FIX</t>
  </si>
  <si>
    <t>CA111K2-08F010</t>
  </si>
  <si>
    <t>G10SP-L-WH-10FT</t>
  </si>
  <si>
    <t>760098442</t>
  </si>
  <si>
    <t>D-004-LA-8W-F04NS</t>
  </si>
  <si>
    <t>810010171/DB</t>
  </si>
  <si>
    <t>B-288-LN-8W-M24NS/17T 200</t>
  </si>
  <si>
    <t>760117366</t>
  </si>
  <si>
    <t>360-PM-GS3-2U-48 Panel</t>
  </si>
  <si>
    <t>760102244</t>
  </si>
  <si>
    <t>360-PM-GS3-2U-24 Panel</t>
  </si>
  <si>
    <t>64201013-00</t>
  </si>
  <si>
    <t>6420 1 013-00: FRAME DISTRIBUTION 108A</t>
  </si>
  <si>
    <t>60891120-02</t>
  </si>
  <si>
    <t>6089 1 120-02: LSA PROFIL CONN.MOD 2/10</t>
  </si>
  <si>
    <t>60891121-02</t>
  </si>
  <si>
    <t>6089 1 121-02: TRENNMODUL 2/10-PRF-1/0</t>
  </si>
  <si>
    <t>64690001-17</t>
  </si>
  <si>
    <t>6469 0 001-17: ARRESTOR 3YVJ-230J1Q10</t>
  </si>
  <si>
    <t>64172055-11</t>
  </si>
  <si>
    <t>6417 2 055-11: LSA-PLUS INSERTION TOOLS</t>
  </si>
  <si>
    <t>60892023-01</t>
  </si>
  <si>
    <t>6089 2 023-01: 10-PAIR GAS TUBE.PROTECTI</t>
  </si>
  <si>
    <t>PFC-S04L16</t>
  </si>
  <si>
    <t>PFC,SINGLEMODE,4F,I/O,16AWG,METER/D</t>
  </si>
  <si>
    <t>760105122</t>
  </si>
  <si>
    <t>3091B WH 4/23 R1000</t>
  </si>
  <si>
    <t>760231514</t>
  </si>
  <si>
    <t>HD-2U-SP SPLICING FIBER SHELF</t>
  </si>
  <si>
    <t>CU5172-000</t>
  </si>
  <si>
    <t>FIST-OSKG20</t>
  </si>
  <si>
    <t>760105148</t>
  </si>
  <si>
    <t>360 IPATCH UPG KIT G2 LC - 5EA</t>
  </si>
  <si>
    <t>103897-000</t>
  </si>
  <si>
    <t>SMOUV-1120-02</t>
  </si>
  <si>
    <t>760152801</t>
  </si>
  <si>
    <t>HGS620 Shielded Outlet</t>
  </si>
  <si>
    <t>760249256</t>
  </si>
  <si>
    <t>FPUS-BS-2P-W, 2 PORT UNSHUTTERED WHITE</t>
  </si>
  <si>
    <t>760200428</t>
  </si>
  <si>
    <t>M10CF Faceplate, 1-port, White</t>
  </si>
  <si>
    <t>760209965</t>
  </si>
  <si>
    <t>HD-4U</t>
  </si>
  <si>
    <t>CPC3392-03F017</t>
  </si>
  <si>
    <t>GigaSPEED XL GS8E Stranded Low Smoke Zer</t>
  </si>
  <si>
    <t>760209957</t>
  </si>
  <si>
    <t>HD-2U Sliding Fiber Shelf</t>
  </si>
  <si>
    <t>CPC3392-03F003</t>
  </si>
  <si>
    <t>GS8E-L-DG-3FT                          </t>
  </si>
  <si>
    <t>CPC3392-03F010</t>
  </si>
  <si>
    <t>GS8E-L-DG-10FT                         </t>
  </si>
  <si>
    <t>760205401</t>
  </si>
  <si>
    <t>D-008-LA-8W-F08NS</t>
  </si>
  <si>
    <t>153396-000</t>
  </si>
  <si>
    <t>FIST-GCO2-BD16-GV</t>
  </si>
  <si>
    <t>760201194</t>
  </si>
  <si>
    <t>360 iPatch FTP Evolve 24P Panel, Blank</t>
  </si>
  <si>
    <t>760201145</t>
  </si>
  <si>
    <t>360 iPatch 1100 GS6 Evolve 24P Panel</t>
  </si>
  <si>
    <t>760152561</t>
  </si>
  <si>
    <t>360-IPR-1100-E-GS3-1U-24</t>
  </si>
  <si>
    <t>700206725</t>
  </si>
  <si>
    <t>MGS400 WHITE OUTLET</t>
  </si>
  <si>
    <t>FFXLCLC42-MXF003</t>
  </si>
  <si>
    <t>JUMPER,LSZH,LS,1.6MM,DPLX,LC/LC,AQ,FT003</t>
  </si>
  <si>
    <t>810010117/DB</t>
  </si>
  <si>
    <t>B-004-CN-8F-M04BK/30G</t>
  </si>
  <si>
    <t>760244986</t>
  </si>
  <si>
    <t>B-024-LN-8 W-M 1 2NS/l SCJ</t>
  </si>
  <si>
    <t>760244990</t>
  </si>
  <si>
    <t>B-072-LN-8W-M12NS/150</t>
  </si>
  <si>
    <t>760244991</t>
  </si>
  <si>
    <t>B-096-LN-8W-M 12NS/15G</t>
  </si>
  <si>
    <t>760189597</t>
  </si>
  <si>
    <t>3296A WHT C6A 4/23 F/FTP R1640</t>
  </si>
  <si>
    <t>2160852-2</t>
  </si>
  <si>
    <t>OCP-LF-02MASEN-XX</t>
  </si>
  <si>
    <t>2-2160565-0</t>
  </si>
  <si>
    <t>OCP-SF-20MASIA-XX</t>
  </si>
  <si>
    <t>488880-000</t>
  </si>
  <si>
    <t>FIST-SOSA2-2SE-S</t>
  </si>
  <si>
    <t>760244985</t>
  </si>
  <si>
    <t>B-012-LN-8W-M12NS/15G</t>
  </si>
  <si>
    <t>760254800</t>
  </si>
  <si>
    <t>C-006-DS-8W-MSUBK/GY/C</t>
  </si>
  <si>
    <t>760254801</t>
  </si>
  <si>
    <t>C-012-DS-8W-MSUBK/GY/C</t>
  </si>
  <si>
    <t>9-1594455-9</t>
  </si>
  <si>
    <t>C-024-DS-5K-MSUAQ/GY/C</t>
  </si>
  <si>
    <t>760244992</t>
  </si>
  <si>
    <t>B-144-LN-8W-M 12NS/15G</t>
  </si>
  <si>
    <t>760244988</t>
  </si>
  <si>
    <t>B-048-LN-8W-M 12NS/1 5G</t>
  </si>
  <si>
    <t>FGS-KT03-CAI</t>
  </si>
  <si>
    <t xml:space="preserve">FGS-KT03-CA1 SINGLE FLEX TUBE :EXIT </t>
  </si>
  <si>
    <t>760256175</t>
  </si>
  <si>
    <t>HFTP-AM-LN00-E</t>
  </si>
  <si>
    <t>CK9475-000</t>
  </si>
  <si>
    <t>FIST-RSKG-1</t>
  </si>
  <si>
    <t>760107326</t>
  </si>
  <si>
    <t>760206047</t>
  </si>
  <si>
    <t>3091B SLT C6A 4/23 U/UTP R1000</t>
  </si>
  <si>
    <t>CPC3392-07F010</t>
  </si>
  <si>
    <t>GS8E-L-RD-10FT</t>
  </si>
  <si>
    <t>CPC3392-09F010</t>
  </si>
  <si>
    <t>GS8E-L-YL-10FT</t>
  </si>
  <si>
    <t>5-1933433-3</t>
  </si>
  <si>
    <t>KIT,8P,MP,.310 ,CAT6/6A,SHIELDED 100PC</t>
  </si>
  <si>
    <t>FFXLCLC42-MXF164</t>
  </si>
  <si>
    <t>JUMPER,LSZH,LS,1.6MM,DPLX,LC/LC,AQ,FT164</t>
  </si>
  <si>
    <t>FFXLCLC42-MXF328</t>
  </si>
  <si>
    <t>JUMPER,LSZH,LS,1.6mm,DPX,LC/LC, FT328</t>
  </si>
  <si>
    <t>FJXMPMPAD-MBF017</t>
  </si>
  <si>
    <t>FOA LS 550 MP(f)-MP(f) 12f IPD LSZH</t>
  </si>
  <si>
    <t>EM1613-001</t>
  </si>
  <si>
    <t>SCIL-B-TRAY-24A-KIT-S</t>
  </si>
  <si>
    <t>FJXMPMPAD-MBF050</t>
  </si>
  <si>
    <t>FJXMPMPAD-MBF010</t>
  </si>
  <si>
    <t>760201202</t>
  </si>
  <si>
    <t>360 iPatch FTP Evolve 48P Panel, Blank</t>
  </si>
  <si>
    <t>108168543</t>
  </si>
  <si>
    <t>M14L-262 FACEPLATE KIT</t>
  </si>
  <si>
    <t>760244890</t>
  </si>
  <si>
    <t>O-024-LN-8W-M l 2NS/20G/HTS</t>
  </si>
  <si>
    <t>760244889</t>
  </si>
  <si>
    <t>O-012-LN-8W-M12NS/20G/HTS</t>
  </si>
  <si>
    <t>760241058</t>
  </si>
  <si>
    <t>O-048-LN-8W-M12BK/20G</t>
  </si>
  <si>
    <t>760241059</t>
  </si>
  <si>
    <t>O-072-LN-8W-M12BK/20G</t>
  </si>
  <si>
    <t>760241060</t>
  </si>
  <si>
    <t>O-096-LN-8W-M12BK/20G</t>
  </si>
  <si>
    <t>FFXLCLC42-MXF066</t>
  </si>
  <si>
    <t>Commscope LC-LC MM OM4 66Feet 20Mtr</t>
  </si>
  <si>
    <t>760193755</t>
  </si>
  <si>
    <t>360MP-1U-PANEL</t>
  </si>
  <si>
    <t>FBWLCUC11-JXF005</t>
  </si>
  <si>
    <t>PIGTAIL,RISR,SBJ,TS,0.9MM,LC/UC,YL,FT005</t>
  </si>
  <si>
    <t>6-2111984-3</t>
  </si>
  <si>
    <t>MP-6AS-C-1:6A SHD 5.7-7.0, 100</t>
  </si>
  <si>
    <t>760245495</t>
  </si>
  <si>
    <t>G2-SP-12LC</t>
  </si>
  <si>
    <t>760172908</t>
  </si>
  <si>
    <t>HTK-19-SS-1U-SILVER</t>
  </si>
  <si>
    <t>FFWLCLC42-JXF005</t>
  </si>
  <si>
    <t>JUMPER,LSZH,TS,1.6MM,DPLX,LC/LC,YL,FT005</t>
  </si>
  <si>
    <t>760172288</t>
  </si>
  <si>
    <t>WBE-EMT-BK-1P-PNL</t>
  </si>
  <si>
    <t>884016558/16</t>
  </si>
  <si>
    <t>CS54ZC WHT C7 4/23 F/FTP RL 500M</t>
  </si>
  <si>
    <t>760207282</t>
  </si>
  <si>
    <t>Discrete Distribution Module Panel, M-se</t>
  </si>
  <si>
    <t>CPC3392-03F001</t>
  </si>
  <si>
    <t>GS8E-L-DG-1FT</t>
  </si>
  <si>
    <t>760200451</t>
  </si>
  <si>
    <t>M12CFS Modular Shuttered Faceplate, two</t>
  </si>
  <si>
    <t>760187187</t>
  </si>
  <si>
    <t>360 Evolve 1U 24 Port ModularPanel</t>
  </si>
  <si>
    <t>6-2843007-1</t>
  </si>
  <si>
    <t>MP-6AU-PLUG-A-1: PLUGW/LB 0.99, 100 BAG</t>
  </si>
  <si>
    <t>760172882</t>
  </si>
  <si>
    <t>1 RU Patchcord Management, silver</t>
  </si>
  <si>
    <t>760242982</t>
  </si>
  <si>
    <t>360DPiP-24LCA-SM</t>
  </si>
  <si>
    <t>FFXLCLC42-MXF188</t>
  </si>
  <si>
    <t>JUMPER,LSZH,LS,1.6MM,DPLX,LC-STD/LC-STD</t>
  </si>
  <si>
    <t>FFWLCLC42-JXF328</t>
  </si>
  <si>
    <t>JUMPER,LSZH,TS,1.6MM,DPLX,LC/LC,YL,FT328</t>
  </si>
  <si>
    <t>CS1927-000</t>
  </si>
  <si>
    <t>FOSC-OSKG</t>
  </si>
  <si>
    <t>FFWLCLC42-JXF188</t>
  </si>
  <si>
    <t>JUMPER,LSZH,TS,1.6MM,DPLX,LC-STD/LC-STD</t>
  </si>
  <si>
    <t>760239822</t>
  </si>
  <si>
    <t>WBE-1P-DIN-KIT: ACCESSORY, MTG BRKT</t>
  </si>
  <si>
    <t>760148254</t>
  </si>
  <si>
    <t>PNL-BK-012-SFA-LC12-BL</t>
  </si>
  <si>
    <t>760070276</t>
  </si>
  <si>
    <t>TeraSPEED® Indoor/Outdoor Low Smoke Zero</t>
  </si>
  <si>
    <t>760192260</t>
  </si>
  <si>
    <t>N-008-DS-5K-FSUAQ/D</t>
  </si>
  <si>
    <t>760109256</t>
  </si>
  <si>
    <t>360G2 Cartridge 12-LC-LS-AQ</t>
  </si>
  <si>
    <t>FBXLCUC11-MXF005</t>
  </si>
  <si>
    <t>PIGTAIL,RISR,SBJ,LS,0.9MM,LC/UC,AQ,FT005</t>
  </si>
  <si>
    <t>760092379</t>
  </si>
  <si>
    <t>MGS600 OUTLET-ORANGE</t>
  </si>
  <si>
    <t>760246246</t>
  </si>
  <si>
    <t>G2iP-SP-12LC</t>
  </si>
  <si>
    <t>CPCSSZ2-0ZF017</t>
  </si>
  <si>
    <t>360GS10E-L-BL-17FT</t>
  </si>
  <si>
    <t>CPCSSZ2-0ZC050</t>
  </si>
  <si>
    <t>360GS10E-L-BL-50CM</t>
  </si>
  <si>
    <t>1933943-2</t>
  </si>
  <si>
    <t>BOOT ,HOODED, 0.310 GRAY</t>
  </si>
  <si>
    <t>760249554</t>
  </si>
  <si>
    <t>FIELD TERM RJ45 MP C6A LARGE WIRE 100PK</t>
  </si>
  <si>
    <t>845110-000</t>
  </si>
  <si>
    <t>FIST-GCO2-BC6-GV</t>
  </si>
  <si>
    <t>760072959</t>
  </si>
  <si>
    <t>Horizontal Trough Kit, 2 RU, 19 in, sing</t>
  </si>
  <si>
    <t>CV6797-000</t>
  </si>
  <si>
    <t>TENIO-SKG3-7/10</t>
  </si>
  <si>
    <t>CK9322-000</t>
  </si>
  <si>
    <t>FOSC-RSKG-2</t>
  </si>
  <si>
    <t>CK9476-000</t>
  </si>
  <si>
    <t>FIST-RSKG-2</t>
  </si>
  <si>
    <t>100438-000</t>
  </si>
  <si>
    <t>FIST-UNI-MOUNT-W</t>
  </si>
  <si>
    <t>CK9321-000</t>
  </si>
  <si>
    <t>FOSC-RSKG-1</t>
  </si>
  <si>
    <t>FFXLCLC42-MXF085</t>
  </si>
  <si>
    <t>JUMPER,LSZH,LS,1.6MM,DPLX,LC/LC,AQ,FT085</t>
  </si>
  <si>
    <t>032054-000</t>
  </si>
  <si>
    <t>FOSC-A-TRAY-S24-1</t>
  </si>
  <si>
    <t>CV6800-000</t>
  </si>
  <si>
    <t>TENIO-B6-S12-12-V</t>
  </si>
  <si>
    <t>760227306</t>
  </si>
  <si>
    <t>UD-2U SLIDING SHELF</t>
  </si>
  <si>
    <t>CS6464-000</t>
  </si>
  <si>
    <t>FOSC-400BG-NT-0-NV</t>
  </si>
  <si>
    <t>760237876</t>
  </si>
  <si>
    <t>imVision Controller X</t>
  </si>
  <si>
    <t>760242971</t>
  </si>
  <si>
    <t>360DMiP-24LC-LS</t>
  </si>
  <si>
    <t>FJWMPMPAF-JBF080</t>
  </si>
  <si>
    <t>FOA TS MP(F)-MP(F) 24F IPD LSZH FT080</t>
  </si>
  <si>
    <t>FJWMPMPAF-JBF120</t>
  </si>
  <si>
    <t>FOA TS MP(f)-MP(f) 24f IPD LSZH 120FT</t>
  </si>
  <si>
    <t>FJXMPMPAF-MBF090</t>
  </si>
  <si>
    <t>FOA LS550 MP(F)-MP(F) 24F LSZH FT090</t>
  </si>
  <si>
    <t>FJXMPMPAF-MBF100</t>
  </si>
  <si>
    <t>FOA LS550 MP(f)-MP(f) 24f IPDLSZH, FT100</t>
  </si>
  <si>
    <t>760155739</t>
  </si>
  <si>
    <t>360-E-KIT-1U</t>
  </si>
  <si>
    <t>760158592</t>
  </si>
  <si>
    <t>Overhead 4U Rack with VCM</t>
  </si>
  <si>
    <t>CCRRB-11HA0ZF025</t>
  </si>
  <si>
    <t>IP6A-06LUTP-1100E-1100E</t>
  </si>
  <si>
    <t>CCRRB-11HA0ZF035</t>
  </si>
  <si>
    <t>CPCSSZ2-03F005</t>
  </si>
  <si>
    <t>FFXLCLC42-MXF004</t>
  </si>
  <si>
    <t>JUMPER,LSZH,LS,1.6MM,DPLX,LC/LC,AQ,FT004</t>
  </si>
  <si>
    <t>FJXMPMPAF-MBF020</t>
  </si>
  <si>
    <t>FOA LS550 MP(F)-MP(F) 24F LSZH FT020</t>
  </si>
  <si>
    <t>FJXMPMPAF-MBF025</t>
  </si>
  <si>
    <t>FOA LS550 MP(F)-MP(F) 24F LSZH FT025</t>
  </si>
  <si>
    <t>FJXMPMPAF-MBF030</t>
  </si>
  <si>
    <t>FOA LS550 MP(F)-MP(F) 24F LSZH FT030</t>
  </si>
  <si>
    <t>FJXMPMPAF-MBF040</t>
  </si>
  <si>
    <t>FOA LS550 MP(F)-MP(F) 24F LSZH FT040</t>
  </si>
  <si>
    <t>760249049</t>
  </si>
  <si>
    <t>G2iP-SP-24LC</t>
  </si>
  <si>
    <t>760242979</t>
  </si>
  <si>
    <t>360DPiP-24LC-LS</t>
  </si>
  <si>
    <t>FBXLCUC11-MXF003</t>
  </si>
  <si>
    <t>PIGTAIL,RISR,SBJ,LS,0.9MM,LC/ UC,AQ,FT003</t>
  </si>
  <si>
    <t>FFXLCLC42-MXM002</t>
  </si>
  <si>
    <t>JUMPER,LSZH,LS,1.6MM,DPLX,LC/ LC,AQ,MT002</t>
  </si>
  <si>
    <t>FFWLCLC42-JXM002</t>
  </si>
  <si>
    <t>JUMPER,LSZH,TS,1.6MM,DPLX,LC/ LC,YL,MT002</t>
  </si>
  <si>
    <t>921013-000</t>
  </si>
  <si>
    <t>FOSC-A/B-UNI-MOUNT-P</t>
  </si>
  <si>
    <t>1711658-2</t>
  </si>
  <si>
    <t>END COVER SET(L_R) FOR DIN RAIL ADAPTERS</t>
  </si>
  <si>
    <t>1933943-1</t>
  </si>
  <si>
    <t>BOOT, HOODED, 0.310 WHITE</t>
  </si>
  <si>
    <t>9-1592141-9</t>
  </si>
  <si>
    <t>C-006-DS-5K-M06AQ/GY/C</t>
  </si>
  <si>
    <t>760152827</t>
  </si>
  <si>
    <t>HGS-A-KS-BK ADAPTER</t>
  </si>
  <si>
    <t>760258386</t>
  </si>
  <si>
    <t>O-004-LN-8W-M04NS/20T/HTS</t>
  </si>
  <si>
    <t>760249308</t>
  </si>
  <si>
    <t>CPP-IP-6A-STP-1U-24</t>
  </si>
  <si>
    <t>2843018-3</t>
  </si>
  <si>
    <t>MP-6AU-BOOT-71-1: BOOT 7.4-6.8MM, 100 BA</t>
  </si>
  <si>
    <t>TK046PD0088-00</t>
  </si>
  <si>
    <t>Splicer T-72C+ kit, Contains: T-72C+ mai</t>
  </si>
  <si>
    <t>DYMO</t>
  </si>
  <si>
    <t>Dymo Label Maker LT-100H Letra TAG</t>
  </si>
  <si>
    <t>760242972</t>
  </si>
  <si>
    <t>360DMiP-24LC-SM</t>
  </si>
  <si>
    <t>760157800</t>
  </si>
  <si>
    <t>Overhead 4U Rack</t>
  </si>
  <si>
    <t>FFXLCLC42-MXF005</t>
  </si>
  <si>
    <t>JUMPER,LSZH,LS,1.6MM,DPLX,LC/LC,AQ,FT005</t>
  </si>
  <si>
    <t>FFWLCSA42-JXF033</t>
  </si>
  <si>
    <t>UMPER,LSZH,TS,1.6mm,DPLX,LC-STD/SA-APC</t>
  </si>
  <si>
    <t>FJXMPMPAF-MBF035</t>
  </si>
  <si>
    <t>FOA LS550 MP(F)-MP(F) 24F LSZH FT035</t>
  </si>
  <si>
    <t>FJXMPMPAF-MBF065</t>
  </si>
  <si>
    <t>FOA LS550 MP(F)-MP(F) 24F LSZH FT065</t>
  </si>
  <si>
    <t>FJWMPMPAF-JBF100</t>
  </si>
  <si>
    <t>FOA TS MP(F)-MP(F) 24F IPD LSZH FT100</t>
  </si>
  <si>
    <t>F3XMPMPAD-MBF025</t>
  </si>
  <si>
    <t>FOA LS 550 MP(F)-MP(F) 12F IPD LSZH/B2</t>
  </si>
  <si>
    <t>F3XMPMPAD-MBF040</t>
  </si>
  <si>
    <t>F3XMPMPAD-MBF020</t>
  </si>
  <si>
    <t>F3XMPMPAD-MBF030</t>
  </si>
  <si>
    <t>FJXMPMPAF-MBF075</t>
  </si>
  <si>
    <t>FOA LS550 MP(F)-MP(F) 24F LSZH FT075</t>
  </si>
  <si>
    <t>F3XMPMPAD-MBF035</t>
  </si>
  <si>
    <t>760242628</t>
  </si>
  <si>
    <t>FIST-MSC-E8-V</t>
  </si>
  <si>
    <t>760242585</t>
  </si>
  <si>
    <t>MSC-SKG2-13/19</t>
  </si>
  <si>
    <t>760244934</t>
  </si>
  <si>
    <t>CTU-G</t>
  </si>
  <si>
    <t>FFWLCLC42-JXF164</t>
  </si>
  <si>
    <t>JUMPER,LSZH,TS,1.6MM,DPLX,LC/LC,YL,FT164</t>
  </si>
  <si>
    <t>760242597</t>
  </si>
  <si>
    <t>MSC-EXT/CF</t>
  </si>
  <si>
    <t>760248821</t>
  </si>
  <si>
    <t>FIST-SOSA2-6SLE-S</t>
  </si>
  <si>
    <t>760242580</t>
  </si>
  <si>
    <t>MSC-SKG-DUMMY</t>
  </si>
  <si>
    <t>760009753</t>
  </si>
  <si>
    <t>Z-006-DS-8W-FSUBK/D</t>
  </si>
  <si>
    <t>760175919</t>
  </si>
  <si>
    <t>360 1100-E-FCM</t>
  </si>
  <si>
    <t>760150490</t>
  </si>
  <si>
    <t>Z-002-DS-8W-FSUBK/D</t>
  </si>
  <si>
    <t>810008823/DB</t>
  </si>
  <si>
    <t>O-288-LN-8W-F12NS/25T</t>
  </si>
  <si>
    <t>760092361</t>
  </si>
  <si>
    <t>MGS600 OUTLET-BLACK</t>
  </si>
  <si>
    <t>760109272</t>
  </si>
  <si>
    <t>360G2 Cartridge 12-LC-SM-BL</t>
  </si>
  <si>
    <t>760244929</t>
  </si>
  <si>
    <t>G2-SP-24LCG-PT</t>
  </si>
  <si>
    <t>760249250</t>
  </si>
  <si>
    <t>FPS-BS-1P-B, 1 PORT SHUTTERED BLACK</t>
  </si>
  <si>
    <t>760250917</t>
  </si>
  <si>
    <t>FPS-OCM-K-F-BLK</t>
  </si>
  <si>
    <t>1-2153449-3</t>
  </si>
  <si>
    <t>AMP-TWIST SLX.6AS,A.WHT</t>
  </si>
  <si>
    <t>1711897-1</t>
  </si>
  <si>
    <t>DIN RAIL KIT, SL/AMP-TWIST Ser</t>
  </si>
  <si>
    <t>2153365-4</t>
  </si>
  <si>
    <t>AMP-TWIST SLX,6AS W/DC,GY</t>
  </si>
  <si>
    <t>860646620/DB</t>
  </si>
  <si>
    <t>O-024-LN-8W-M12BK/20G</t>
  </si>
  <si>
    <t>CPC3392-03F004</t>
  </si>
  <si>
    <t>GigaSPEED XL® GS8E</t>
  </si>
  <si>
    <t>CA111K2-0ZF017</t>
  </si>
  <si>
    <t>G10SP-L-BL-17FT</t>
  </si>
  <si>
    <t>CP7685-000</t>
  </si>
  <si>
    <t>OC-ADP-L1-L1-NFCD</t>
  </si>
  <si>
    <t>CU4156-000</t>
  </si>
  <si>
    <t>FIST-GCO2-BC8-NN</t>
  </si>
  <si>
    <t>CZ3625-000</t>
  </si>
  <si>
    <t>BUDI-2S-T-00NNES</t>
  </si>
  <si>
    <t>760152579</t>
  </si>
  <si>
    <t>IPR-1100-E-GS3-2U-48-360</t>
  </si>
  <si>
    <t>558637-1</t>
  </si>
  <si>
    <t>PNL ASSY,XCONN, WRG BLK,200 PR</t>
  </si>
  <si>
    <t>760161067</t>
  </si>
  <si>
    <t>LF80-262 Shut'd Faceplate Clip,1-port,Wh</t>
  </si>
  <si>
    <t>2153449-2</t>
  </si>
  <si>
    <t>AMP-TWIST SLX,6AS,BLK</t>
  </si>
  <si>
    <t>760245961</t>
  </si>
  <si>
    <t>G2-SP-24LAG-PT</t>
  </si>
  <si>
    <t>CP7686-000</t>
  </si>
  <si>
    <t>OC-ADP-L2-L2-NFCD</t>
  </si>
  <si>
    <t>2153365-2</t>
  </si>
  <si>
    <t>AMP-TWIST SLX,6AS W/DC,BLK</t>
  </si>
  <si>
    <t>760242595</t>
  </si>
  <si>
    <t>MSC-MOBRA</t>
  </si>
  <si>
    <t>760260195</t>
  </si>
  <si>
    <t>O-004-LN-8W-M04BK/20G</t>
  </si>
  <si>
    <t>LX1SSP1208002</t>
  </si>
  <si>
    <t>LGX SPLTR MOD (2) 2X8 APC/LC</t>
  </si>
  <si>
    <t>LX1SSP1204004</t>
  </si>
  <si>
    <t>LGX SPLTR MOD (4) 2X4 APC/LC</t>
  </si>
  <si>
    <t>CC0871-000</t>
  </si>
  <si>
    <t>OCP-L1-02MASEN-XX</t>
  </si>
  <si>
    <t>FFWLCLC42-JXF100</t>
  </si>
  <si>
    <t>JUMPER,LSZH,TS,1.6MM,DPLX,LC/LC,YL,FT100</t>
  </si>
  <si>
    <t>Patchcord Management 2U - Silver</t>
  </si>
  <si>
    <t>FJXMPMPAD-MBF135</t>
  </si>
  <si>
    <t>NPC6ASZDB-RD003M</t>
  </si>
  <si>
    <t>NPC, Cat 6A, Shielded, LSZH, Red, 3M</t>
  </si>
  <si>
    <t>NPC6ASZDB-YL003M</t>
  </si>
  <si>
    <t>NPC, Cat 6A, Shielded, LSZH, Yellow, 3M</t>
  </si>
  <si>
    <t>NPC6ASZDB-GN003M</t>
  </si>
  <si>
    <t>NPC, Cat 6A, Shielded, LSZH, Green, 3M</t>
  </si>
  <si>
    <t>860646619/DB</t>
  </si>
  <si>
    <t>O-012-LN-8W-M12BK/20G</t>
  </si>
  <si>
    <t>760072942</t>
  </si>
  <si>
    <t>HTK-19-SS-1U (1KIT)</t>
  </si>
  <si>
    <t>760227314</t>
  </si>
  <si>
    <t>UD-4U SLIDING SHELF</t>
  </si>
  <si>
    <t>760209940</t>
  </si>
  <si>
    <t>HD-1U Sliding Fiber Shelf</t>
  </si>
  <si>
    <t>CO199K2-08F003</t>
  </si>
  <si>
    <t>MINO6A-WH-3FT</t>
  </si>
  <si>
    <t>CO199K2-08F005</t>
  </si>
  <si>
    <t>MINO6A-WH-5FT</t>
  </si>
  <si>
    <t>CO199K2-08F007</t>
  </si>
  <si>
    <t>MINO6A-WH-7FT</t>
  </si>
  <si>
    <t>CO199K2-08F016</t>
  </si>
  <si>
    <t>MINO6A-WH-16FT</t>
  </si>
  <si>
    <t>760236118</t>
  </si>
  <si>
    <t>DM12iP-24LC-LS-ULL</t>
  </si>
  <si>
    <t>CCRRD-11HA0CF025</t>
  </si>
  <si>
    <t>IP6A-12LUTP-1100E-1100E</t>
  </si>
  <si>
    <t>CCRRD-11HA0CF035</t>
  </si>
  <si>
    <t>CCRRD-11HA0CF045</t>
  </si>
  <si>
    <t>CCRRD-11HA0CF055</t>
  </si>
  <si>
    <t>CCRRD-11HA0CF080</t>
  </si>
  <si>
    <t>CCRRD-11HA0CF065</t>
  </si>
  <si>
    <t>CCRRD-11HA0CF075</t>
  </si>
  <si>
    <t>CCRRD-11HA0CF070</t>
  </si>
  <si>
    <t>760031856</t>
  </si>
  <si>
    <t>RoloSplice Kit with 4 fusion splice tray</t>
  </si>
  <si>
    <t>760193854</t>
  </si>
  <si>
    <t>360G2-2U-MOD-SD</t>
  </si>
  <si>
    <t>FFWLALA21-JXF003</t>
  </si>
  <si>
    <t>JUMPER,LSZH,TS,1.6MM,SPLX,LA/LA FT003</t>
  </si>
  <si>
    <t>CCRRD-11HA0CF020</t>
  </si>
  <si>
    <t>CCRRD-11HA0CF030</t>
  </si>
  <si>
    <t>CCRRD-11HA0CF040</t>
  </si>
  <si>
    <t>CCRRD-11HA0CF050</t>
  </si>
  <si>
    <t>CCRRD-11HA0CF060</t>
  </si>
  <si>
    <t>760152785</t>
  </si>
  <si>
    <t>360-A-E-KIT-1U</t>
  </si>
  <si>
    <t>UJXMXMXAF-MBF020</t>
  </si>
  <si>
    <t>ULL,MPO12,M/M,LSZH,OM4,24f,AQUA</t>
  </si>
  <si>
    <t>UJXMXMXAF-MBF025</t>
  </si>
  <si>
    <t>UJXMXMXAF-MBF030</t>
  </si>
  <si>
    <t>UJXMXMXAF-MBF035</t>
  </si>
  <si>
    <t>UJXMXMXAF-MBF040</t>
  </si>
  <si>
    <t>UJXMXMXAF-MBF045</t>
  </si>
  <si>
    <t>UJXMXMXAF-MBF050</t>
  </si>
  <si>
    <t>UJXMXMXAF-MBF055</t>
  </si>
  <si>
    <t>UJXMXMXAF-MBF060</t>
  </si>
  <si>
    <t>UJXMXMXAF-MBF080</t>
  </si>
  <si>
    <t>UJXMXMXAF-MBF065</t>
  </si>
  <si>
    <t>UJXMXMXAF-MBF075</t>
  </si>
  <si>
    <t>UJXMXMXAF-MBF070</t>
  </si>
  <si>
    <t>FGS-MH4E-H-VS</t>
  </si>
  <si>
    <t>FGS-MH4E-H-VS: KIT FGS 24" 45ELBOW VARI</t>
  </si>
  <si>
    <t>FGS-HTHR-5/8-72</t>
  </si>
  <si>
    <t>FGS-HTHR-5/8-72: THREADED ROD</t>
  </si>
  <si>
    <t>CO11192-01F002</t>
  </si>
  <si>
    <t>PCOSP-6AS-BK-2FT</t>
  </si>
  <si>
    <t>760244295</t>
  </si>
  <si>
    <t>C-012-CN-8W,M12BK/ 28D/GY/D</t>
  </si>
  <si>
    <t>FFWLASA21-JXF017</t>
  </si>
  <si>
    <t>UMPER, LSZH, TS, 1.6mm, SPLX, LA/SA</t>
  </si>
  <si>
    <t>FGS-KT03-A10F</t>
  </si>
  <si>
    <t>FGS-KT03-A10F: KIT,ADAPTER,4X4 TO DUAL 2</t>
  </si>
  <si>
    <t>FFXLCLC42-MXF016</t>
  </si>
  <si>
    <t>JUMPER,LSZH,LS,1.6MM,DPLX,LC/LC,AQ,FT016</t>
  </si>
  <si>
    <t>CPC3392-03F020</t>
  </si>
  <si>
    <t>CPC3392-03F030</t>
  </si>
  <si>
    <t>CPCSSZ2-03F004</t>
  </si>
  <si>
    <t>760254805</t>
  </si>
  <si>
    <t>C-024-DS-8W-MSUBK/GY/C</t>
  </si>
  <si>
    <t>CA111K2-0ZF010</t>
  </si>
  <si>
    <t>G10SP-L-BL-10FT</t>
  </si>
  <si>
    <t>760154252</t>
  </si>
  <si>
    <t>HGS-A-MS-318 ADAPTER (BLUE)</t>
  </si>
  <si>
    <t>1933943-6</t>
  </si>
  <si>
    <t>BOOT, HOODED, 0.310 YELLOW</t>
  </si>
  <si>
    <t>760251046</t>
  </si>
  <si>
    <t>EPX-2U-MOD-ENC-FX</t>
  </si>
  <si>
    <t>760248900</t>
  </si>
  <si>
    <t>WB2-EMT-BK-1P-MOD</t>
  </si>
  <si>
    <t>760252669</t>
  </si>
  <si>
    <t>C-048-LN-8W-M12BK/25D/E</t>
  </si>
  <si>
    <t>CA111K2-06F010</t>
  </si>
  <si>
    <t>G10SP-L-OR-10FT</t>
  </si>
  <si>
    <t>1933433-1</t>
  </si>
  <si>
    <t>KIT,8P,MP,.310 ,CAT6/6A,SHIELDED</t>
  </si>
  <si>
    <t>NPC6ASZDB-GY050C</t>
  </si>
  <si>
    <t>NPC, Cat 6A, Shielded, LSZH, Gray, 50C</t>
  </si>
  <si>
    <t>1594559-6</t>
  </si>
  <si>
    <t>C-024-DS-8W-MSUYL/GY/C</t>
  </si>
  <si>
    <t>FFVLCLC42-NXF005</t>
  </si>
  <si>
    <t>JUMPER,LSZH,LS550-WB,DPLX,LC/LC 5FT</t>
  </si>
  <si>
    <t>FFVLCLC42-NXF007</t>
  </si>
  <si>
    <t>JUMPER,LSZH,LS550-WB,DPLX,LC/LC 7FT</t>
  </si>
  <si>
    <t>FFVLCLC42-NXF010</t>
  </si>
  <si>
    <t>JUMPER,LSZH,LS550-WB,DPLX,LC/LC 10FT</t>
  </si>
  <si>
    <t>FFVLCLC42-NXF015</t>
  </si>
  <si>
    <t>JUMPER,LSZH,LS550-WB,DPLX,LC/LC 15FT</t>
  </si>
  <si>
    <t>760241378</t>
  </si>
  <si>
    <t>EPX-SPLICE-48</t>
  </si>
  <si>
    <t>760154229</t>
  </si>
  <si>
    <t>HGS-A-MS-112 ADAPTER (ORANGE)</t>
  </si>
  <si>
    <t>1933943-4</t>
  </si>
  <si>
    <t>BOOT, HOODED, 0.310 BLUE</t>
  </si>
  <si>
    <t>760189506</t>
  </si>
  <si>
    <t>LF82-262 Shutt Faceplate Clip, 1-port Wh</t>
  </si>
  <si>
    <t>2-1716363-4</t>
  </si>
  <si>
    <t>C-004-DS-8W-MSUYL/GY/C</t>
  </si>
  <si>
    <t>FFXLCLC42-MXF082</t>
  </si>
  <si>
    <t>JUMPER,LSZH,LS,1.6MM,DPLX,LC/LC,AQ,FT082</t>
  </si>
  <si>
    <t>700206667</t>
  </si>
  <si>
    <t>MGS400 BLACK OUTLET</t>
  </si>
  <si>
    <t>760159988</t>
  </si>
  <si>
    <t xml:space="preserve">3297B WHT C7 4/23 S/FTP R1640 </t>
  </si>
  <si>
    <t>884072754/16</t>
  </si>
  <si>
    <t>CS41ZB BLU C6A 4/24 U/UTP RL 500M</t>
  </si>
  <si>
    <t>1594770-6</t>
  </si>
  <si>
    <t>C-006-DS-8W-MSUYL/GY/C</t>
  </si>
  <si>
    <t>76004184</t>
  </si>
  <si>
    <t>Z-012-DS-8W-FSUBK/D</t>
  </si>
  <si>
    <t>760249003</t>
  </si>
  <si>
    <t>Crimp Tool 8P, Sentinel 900020</t>
  </si>
  <si>
    <t>URXQPLUF8-MDF050</t>
  </si>
  <si>
    <t>ARRAY,ULL,LSZH,OM4,- MPO8F,LU,8F,2MM</t>
  </si>
  <si>
    <t>760053272</t>
  </si>
  <si>
    <t>D-006-LA-8W-F06NS</t>
  </si>
  <si>
    <t>CPCSSZ2-03F066</t>
  </si>
  <si>
    <t>360GS10E-L-DG-66FT</t>
  </si>
  <si>
    <t>CPCSSZ2-03F082</t>
  </si>
  <si>
    <t>GigaSPEED X10D Patch Cord 82ft</t>
  </si>
  <si>
    <t>760110957</t>
  </si>
  <si>
    <t>MGS600 Outlet Black Bulk Pack</t>
  </si>
  <si>
    <t>CZ9129-000</t>
  </si>
  <si>
    <t>BUDI-2S-T-12L1ES</t>
  </si>
  <si>
    <t>760150144</t>
  </si>
  <si>
    <t>360-IPR-MFTP-E-HD6B-1U-24</t>
  </si>
  <si>
    <t>760003954</t>
  </si>
  <si>
    <t>O-024-CA-8W-F12NS</t>
  </si>
  <si>
    <t>FGS-MSHS-H10</t>
  </si>
  <si>
    <t>24" FGS TROUGH KJT !OFT YELL</t>
  </si>
  <si>
    <t>FGS-MEX1-C-5F</t>
  </si>
  <si>
    <t>FGS-MEX1-C-5F: KIT, ADAPTER, 2X2 TO2"F</t>
  </si>
  <si>
    <t>760241056</t>
  </si>
  <si>
    <t>760243327</t>
  </si>
  <si>
    <t>C-024-LN-8W-M12BK/20G/HTS/D</t>
  </si>
  <si>
    <t>285A,301C,227A,288A New WH</t>
  </si>
  <si>
    <t>229A New WH</t>
  </si>
  <si>
    <t>306B</t>
  </si>
  <si>
    <t>286B,228A,306A,284C,286A,284C New WH</t>
  </si>
  <si>
    <t>294B</t>
  </si>
  <si>
    <t>ZONEF,264B,288A,291C,290C</t>
  </si>
  <si>
    <t>284B,268C,289C</t>
  </si>
  <si>
    <t xml:space="preserve"> New WH</t>
  </si>
  <si>
    <t>293A,B New WH</t>
  </si>
  <si>
    <t>291A,290A,289A,300B,301B,302B,295A,296A,297A,298A,ZoneB,267B,273B,273B,296A,290A,291C,290C,228A</t>
  </si>
  <si>
    <t>285B</t>
  </si>
  <si>
    <t>287B</t>
  </si>
  <si>
    <t>299B New WH</t>
  </si>
  <si>
    <t>294B,289B New WH</t>
  </si>
  <si>
    <t>291B New WH</t>
  </si>
  <si>
    <t>286B</t>
  </si>
  <si>
    <t>290B</t>
  </si>
  <si>
    <t>287A</t>
  </si>
  <si>
    <t>284A</t>
  </si>
  <si>
    <t>288B</t>
  </si>
  <si>
    <t>297B,305B New WH</t>
  </si>
  <si>
    <t>291B</t>
  </si>
  <si>
    <t>294C</t>
  </si>
  <si>
    <t>305B</t>
  </si>
  <si>
    <t>293A,288A,288C,299C,292C New WH</t>
  </si>
  <si>
    <t>288B,291B New WH</t>
  </si>
  <si>
    <t>302B,300A</t>
  </si>
  <si>
    <t>293A</t>
  </si>
  <si>
    <t>299C,295C New WH</t>
  </si>
  <si>
    <t>228B,297C</t>
  </si>
  <si>
    <t>272A,438TO455A,B,C New WH</t>
  </si>
  <si>
    <t>294A,C New WH</t>
  </si>
  <si>
    <t>271A,285C,201A New WH</t>
  </si>
  <si>
    <t>290B,451B New WH</t>
  </si>
  <si>
    <t>289A</t>
  </si>
  <si>
    <t>303A</t>
  </si>
  <si>
    <t>304B,288C,304C,228C,275B,261B</t>
  </si>
  <si>
    <t>268B,ZoneE,288C,272A,228C,272A</t>
  </si>
  <si>
    <t>270B,269B</t>
  </si>
  <si>
    <t>285B,451B New WH</t>
  </si>
  <si>
    <t>293BC</t>
  </si>
  <si>
    <t>WH3</t>
  </si>
  <si>
    <t>ZONEF New WH (18 meter differecne showing)</t>
  </si>
  <si>
    <t>295A</t>
  </si>
  <si>
    <t>291B,297B</t>
  </si>
  <si>
    <t>285A_1PCS,300C</t>
  </si>
  <si>
    <t>ZoneE</t>
  </si>
  <si>
    <t>ZoneB,268C,297B,289C</t>
  </si>
  <si>
    <t>288B,294B,410C,292A,450C</t>
  </si>
  <si>
    <t>ZoneE,292B,227B,451B New WH</t>
  </si>
  <si>
    <t>WH3,292B,450B,441C,448A,C,438B,433C,434C New WH</t>
  </si>
  <si>
    <t>240B,284B</t>
  </si>
  <si>
    <t>228B,304B</t>
  </si>
  <si>
    <t>269A,304B,285B</t>
  </si>
  <si>
    <t>227A</t>
  </si>
  <si>
    <t>304A,271B,269A</t>
  </si>
  <si>
    <t>294A,WH3,408C,405A,411C,298B,299B,450C</t>
  </si>
  <si>
    <t>411C,405A,409C,228A New WH</t>
  </si>
  <si>
    <t>285A,291B</t>
  </si>
  <si>
    <t>228B</t>
  </si>
  <si>
    <t>303B,280A,296B</t>
  </si>
  <si>
    <t>285A</t>
  </si>
  <si>
    <t>289B,305B</t>
  </si>
  <si>
    <t>292A</t>
  </si>
  <si>
    <t>286B New WH</t>
  </si>
  <si>
    <t>286B,287B,292A</t>
  </si>
  <si>
    <t>301C,228A,304B</t>
  </si>
  <si>
    <t>300B,306B,299B</t>
  </si>
  <si>
    <t>292B,304B New WH</t>
  </si>
  <si>
    <t>ZONEF</t>
  </si>
  <si>
    <t>283B,286B,294B,295B</t>
  </si>
  <si>
    <t>285A,303A</t>
  </si>
  <si>
    <t>303B</t>
  </si>
  <si>
    <t>226A</t>
  </si>
  <si>
    <t>296B</t>
  </si>
  <si>
    <t>299B</t>
  </si>
  <si>
    <t>290A,289A,ZONEF,297A,290C</t>
  </si>
  <si>
    <t>285B,304B,289B</t>
  </si>
  <si>
    <t>306C,284A</t>
  </si>
  <si>
    <t>289A New WH</t>
  </si>
  <si>
    <t>288A,287A,286A</t>
  </si>
  <si>
    <t>302A,303A</t>
  </si>
  <si>
    <t>304B,285B</t>
  </si>
  <si>
    <t>272C,271C,303A,301A</t>
  </si>
  <si>
    <t>288A,303B,304B,305B,306B,301A</t>
  </si>
  <si>
    <t>288A,303A</t>
  </si>
  <si>
    <t>267A,285A New WH</t>
  </si>
  <si>
    <t>285B,299B</t>
  </si>
  <si>
    <t>289B</t>
  </si>
  <si>
    <t>278A,298A</t>
  </si>
  <si>
    <t>269B,296B</t>
  </si>
  <si>
    <t>282B,287A</t>
  </si>
  <si>
    <t>282A,298A</t>
  </si>
  <si>
    <t>304B,305A</t>
  </si>
  <si>
    <t>New</t>
  </si>
  <si>
    <t>304A</t>
  </si>
  <si>
    <t>285B,306B</t>
  </si>
  <si>
    <t>264A,263A</t>
  </si>
  <si>
    <t>267A,304B,285B</t>
  </si>
  <si>
    <t>284B</t>
  </si>
  <si>
    <t>228A</t>
  </si>
  <si>
    <t>298B</t>
  </si>
  <si>
    <t>0 FT = 1 DRUM</t>
  </si>
  <si>
    <t xml:space="preserve">2592 FT = 01 DRUM
</t>
  </si>
  <si>
    <t>1250 Meter = 1 Drum</t>
  </si>
  <si>
    <t>25000 FT = 1 DRUM
25000 FT = 1 DRUM
1240 FT = 1 DRUM</t>
  </si>
  <si>
    <t>2721 Meter = 1 Drum</t>
  </si>
  <si>
    <t>6888 FT = 1 Drum</t>
  </si>
  <si>
    <t xml:space="preserve">
22 M = 1 Drum</t>
  </si>
  <si>
    <t>13126 FT = 01 DRUM
12138 FT = 01 DRUM</t>
  </si>
  <si>
    <t xml:space="preserve">0M = 01 Drum
</t>
  </si>
  <si>
    <t>1412 FT = 01 DRUM
590 FT = 01 DRUM
13600 FT = 01 DRUM
6674 FT = 01 DRUM
13778 FT = 01 DRUM
13778 FT = 01 DRUM
13778 FT = 01 DRUM
13562 FT = 01 DRUM
13700 FT = 01 DRUM
13549 FT = 01 DRUM
13572 FT = 01 DRUM
10280 FT = 01 DRUM
13180 FT = 01 DRUM
13672 FT = 01 DRUM
13386 FT = 01 DRUM
13588 FT = 01 DRUM
13344 FT = 01 DRUM
14086 FT = 01 DRUM
13820 FT = 01 DRUM
13262 FT = 01 DRUM
13259 FT = 01 DRUM
13200 FT = 01 DRUM</t>
  </si>
  <si>
    <t>17480 FT = 01 DRUM</t>
  </si>
  <si>
    <t>25000 FT = 01 DRUM
25000 FT = 01 DRUM</t>
  </si>
  <si>
    <t xml:space="preserve">86 M = 01 DRUM
4080 M = 01 DRUM
1645 M = 01 DRUM
1319 M = 01 DRUM
500 M = 01 DRUM
2017 M = 01 DRUM
</t>
  </si>
  <si>
    <t xml:space="preserve">
7965 FT = 01 Drum</t>
  </si>
  <si>
    <t xml:space="preserve">6041 M = 01 Drum
</t>
  </si>
  <si>
    <t>0 M = 1 Drum</t>
  </si>
  <si>
    <t xml:space="preserve">
0 FT = 01 Drum</t>
  </si>
  <si>
    <t>0 M = 1 DRUM</t>
  </si>
  <si>
    <t xml:space="preserve">0 M = 1 DRUM
</t>
  </si>
  <si>
    <t xml:space="preserve">2536 M = 1 DRUM
2639 M = 1 DRUM
1030 M = 1 DRUM
</t>
  </si>
  <si>
    <t>4200 M = 1 DRUM
2500 M = 1 DRUM
3300 M = 1 DRUM
1233 M = 1 DRUM</t>
  </si>
  <si>
    <t>1640 FT = 1 DRUM
1640 FT = 1 DRUM</t>
  </si>
  <si>
    <t xml:space="preserve">3059 M = 1 DRUM         2022 M = 1 DRUM 
48932 M = 1 DRUM
2083 M = 1 DRUM             </t>
  </si>
  <si>
    <t>360 M = 01 DRUM
4020 M = 01 DRUM
4050 M = 01 DRUM
4040 M = 01 DRUM
2020 M = 01 DRUM
4040 M = 01 DRUM
4053 M = 01 DRUM
4082 M = 01 DRUM
4020 M = 01 DRUM
4052 M = 01 DRUM
4001 M = 01 DRUM
4070 M = 01 DRUM
4100 M = 01 DRUM
4100 M = 01 DRUM</t>
  </si>
  <si>
    <t>4048 M = 1 DRUM
3133M = 1 DRUM
4099 M = 1 DRUM
4094 M = 1 DRUM</t>
  </si>
  <si>
    <t>278 M = 1 DRUM
520 M = 1 DRUM</t>
  </si>
  <si>
    <t>1067 M = 1 DRUM
2009 M = 1 DRUM</t>
  </si>
  <si>
    <t>701 M = 1 DRUM</t>
  </si>
  <si>
    <t>367 M = 1 DRUM</t>
  </si>
  <si>
    <t xml:space="preserve">
564 M = 1 DRUM</t>
  </si>
  <si>
    <t>460 M = 1 DRUM</t>
  </si>
  <si>
    <t xml:space="preserve">269 M = 1 DRUM               </t>
  </si>
  <si>
    <t>3280 FT = 1 DRUM
14760 FT = 1 DRUM</t>
  </si>
  <si>
    <t>749  M = 1 DRUM</t>
  </si>
  <si>
    <t>1079 M = 1 DRUM</t>
  </si>
  <si>
    <t>4100 M = 1 DRUM       
2038 M = 1 DRUM 
4104 M = 1 DRUM</t>
  </si>
  <si>
    <t xml:space="preserve">201 M = 1 DRUM
</t>
  </si>
  <si>
    <t>4920 M = 1 DRUM</t>
  </si>
  <si>
    <t xml:space="preserve">9380 FT = 1 DRUM
</t>
  </si>
  <si>
    <t>0 FT = 01 DRUM</t>
  </si>
  <si>
    <t>SMV1000I-MSX</t>
  </si>
  <si>
    <t>DATE</t>
  </si>
  <si>
    <t>PO</t>
  </si>
  <si>
    <t xml:space="preserve">CUSTOMER PO </t>
  </si>
  <si>
    <t>Invoice No.</t>
  </si>
  <si>
    <t>Invoice</t>
  </si>
  <si>
    <t xml:space="preserve">Customer Name </t>
  </si>
  <si>
    <t>Delivery Address</t>
  </si>
  <si>
    <t>GPS</t>
  </si>
  <si>
    <t>Sold Qty</t>
  </si>
  <si>
    <t>Date</t>
  </si>
  <si>
    <t>Batch/Vendor Name</t>
  </si>
  <si>
    <t>PO Number</t>
  </si>
  <si>
    <t>Received Qty</t>
  </si>
  <si>
    <t>1</t>
  </si>
  <si>
    <t>241A</t>
  </si>
  <si>
    <t>C25F3TM250C</t>
  </si>
  <si>
    <t>8</t>
  </si>
  <si>
    <t>-</t>
  </si>
  <si>
    <t>2</t>
  </si>
  <si>
    <t>C16F32D160</t>
  </si>
  <si>
    <t>15</t>
  </si>
  <si>
    <t>3</t>
  </si>
  <si>
    <t>C10F3TM100C</t>
  </si>
  <si>
    <t>25</t>
  </si>
  <si>
    <t>4</t>
  </si>
  <si>
    <t>C25F32D250</t>
  </si>
  <si>
    <t>11</t>
  </si>
  <si>
    <t>5</t>
  </si>
  <si>
    <t>29450</t>
  </si>
  <si>
    <t>6</t>
  </si>
  <si>
    <t>LAD4CM</t>
  </si>
  <si>
    <t>40</t>
  </si>
  <si>
    <t>7</t>
  </si>
  <si>
    <t>A9F54232</t>
  </si>
  <si>
    <t>13</t>
  </si>
  <si>
    <t>A9F54225</t>
  </si>
  <si>
    <t>42</t>
  </si>
  <si>
    <t>9</t>
  </si>
  <si>
    <t>A9F54220</t>
  </si>
  <si>
    <t>10</t>
  </si>
  <si>
    <t>EVB4S22NC0MG</t>
  </si>
  <si>
    <t>210A</t>
  </si>
  <si>
    <t>55</t>
  </si>
  <si>
    <t>12</t>
  </si>
  <si>
    <t>C63F32D630</t>
  </si>
  <si>
    <t>50</t>
  </si>
  <si>
    <t>211A</t>
  </si>
  <si>
    <t>14</t>
  </si>
  <si>
    <t>30</t>
  </si>
  <si>
    <t>16</t>
  </si>
  <si>
    <t>56</t>
  </si>
  <si>
    <t>432 B</t>
  </si>
  <si>
    <t>NBES0303</t>
  </si>
  <si>
    <t>17</t>
  </si>
  <si>
    <t>EPDU-TH3</t>
  </si>
  <si>
    <t>433 B</t>
  </si>
  <si>
    <t>AP8714S</t>
  </si>
  <si>
    <t>AR8425A</t>
  </si>
  <si>
    <t>429 B</t>
  </si>
  <si>
    <t>LC1G400KUEN</t>
  </si>
  <si>
    <t>LC1D25F7</t>
  </si>
  <si>
    <t>LV432641</t>
  </si>
  <si>
    <t>SRT96BP</t>
  </si>
  <si>
    <t>427 B</t>
  </si>
  <si>
    <t>SRV72RLBP-9A</t>
  </si>
  <si>
    <t>SRT1000XLI</t>
  </si>
  <si>
    <t>SRT1500XLI</t>
  </si>
  <si>
    <t>426 B</t>
  </si>
  <si>
    <t>SRV240RLBP-9A</t>
  </si>
  <si>
    <t>SRT5KXLI</t>
  </si>
  <si>
    <t>425 B</t>
  </si>
  <si>
    <t>431 B</t>
  </si>
  <si>
    <t>SRTG192XLBP4</t>
  </si>
  <si>
    <t>18</t>
  </si>
  <si>
    <t>SRV72RLBP_9A</t>
  </si>
  <si>
    <t>19</t>
  </si>
  <si>
    <t>424 B</t>
  </si>
  <si>
    <t>SRV240RLBP_9A</t>
  </si>
  <si>
    <t>20</t>
  </si>
  <si>
    <t>SRVPM10KRIL</t>
  </si>
  <si>
    <t>21</t>
  </si>
  <si>
    <t>423 B</t>
  </si>
  <si>
    <t>22</t>
  </si>
  <si>
    <t>SRT8KXLI</t>
  </si>
  <si>
    <t>23</t>
  </si>
  <si>
    <t>APCRBC141</t>
  </si>
  <si>
    <t>24</t>
  </si>
  <si>
    <t>422 B</t>
  </si>
  <si>
    <t>SRVRK1</t>
  </si>
  <si>
    <t>SRVPM3KRIL</t>
  </si>
  <si>
    <t>26</t>
  </si>
  <si>
    <t>SRVPM6KRIL</t>
  </si>
  <si>
    <t>27</t>
  </si>
  <si>
    <t>421 B</t>
  </si>
  <si>
    <t>BX1200MI_MS</t>
  </si>
  <si>
    <t>28</t>
  </si>
  <si>
    <t>420 B</t>
  </si>
  <si>
    <t>29</t>
  </si>
  <si>
    <t>AR8105BLK</t>
  </si>
  <si>
    <t>SMT1000RMI2UC</t>
  </si>
  <si>
    <t>31</t>
  </si>
  <si>
    <t>32</t>
  </si>
  <si>
    <t>430 B</t>
  </si>
  <si>
    <t>AR112</t>
  </si>
  <si>
    <t>263A</t>
  </si>
  <si>
    <t>c63F32D630</t>
  </si>
  <si>
    <t>c10F32D100</t>
  </si>
  <si>
    <t>54</t>
  </si>
  <si>
    <t>47353</t>
  </si>
  <si>
    <t>47363</t>
  </si>
  <si>
    <t>GV2L14</t>
  </si>
  <si>
    <t>GV2L10</t>
  </si>
  <si>
    <t>GV2L32</t>
  </si>
  <si>
    <t>EVA2PBs1</t>
  </si>
  <si>
    <t>207A</t>
  </si>
  <si>
    <t>C40F32D400</t>
  </si>
  <si>
    <t>33911</t>
  </si>
  <si>
    <t>237A</t>
  </si>
  <si>
    <t>80</t>
  </si>
  <si>
    <t>LV563505</t>
  </si>
  <si>
    <t>C40H32D400</t>
  </si>
  <si>
    <t>LR9G115</t>
  </si>
  <si>
    <t>400A</t>
  </si>
  <si>
    <t>16000</t>
  </si>
  <si>
    <t>401A</t>
  </si>
  <si>
    <t>402A</t>
  </si>
  <si>
    <t>403A</t>
  </si>
  <si>
    <t>404A</t>
  </si>
  <si>
    <t>405A</t>
  </si>
  <si>
    <t>406A</t>
  </si>
  <si>
    <t>407A</t>
  </si>
  <si>
    <t>SRT6KXLI</t>
  </si>
  <si>
    <t>SRT2200XLI</t>
  </si>
  <si>
    <t>408A</t>
  </si>
  <si>
    <t>216</t>
  </si>
  <si>
    <t>412A</t>
  </si>
  <si>
    <t>AR8442</t>
  </si>
  <si>
    <t>413A</t>
  </si>
  <si>
    <t>SBP5000RMI2U</t>
  </si>
  <si>
    <t>414A</t>
  </si>
  <si>
    <t>NBHN125</t>
  </si>
  <si>
    <t>67</t>
  </si>
  <si>
    <t>E3SOPT008</t>
  </si>
  <si>
    <t>416A</t>
  </si>
  <si>
    <t>EPDU2232M</t>
  </si>
  <si>
    <t>417A</t>
  </si>
  <si>
    <t>ER6422</t>
  </si>
  <si>
    <t>418A</t>
  </si>
  <si>
    <t>419A</t>
  </si>
  <si>
    <t>8000</t>
  </si>
  <si>
    <t>420A</t>
  </si>
  <si>
    <t>421A</t>
  </si>
  <si>
    <t>SMT1500RMI2UC</t>
  </si>
  <si>
    <t>SMC1000IC</t>
  </si>
  <si>
    <t>422A</t>
  </si>
  <si>
    <t>33</t>
  </si>
  <si>
    <t>SRT3000XLI</t>
  </si>
  <si>
    <t>423A</t>
  </si>
  <si>
    <t>BX1200MI-MS</t>
  </si>
  <si>
    <t>424A</t>
  </si>
  <si>
    <t>SMT1000RM12UC</t>
  </si>
  <si>
    <t>SRVPMSKRIL</t>
  </si>
  <si>
    <t>426A</t>
  </si>
  <si>
    <t>34</t>
  </si>
  <si>
    <t>427A</t>
  </si>
  <si>
    <t>35</t>
  </si>
  <si>
    <t>428A</t>
  </si>
  <si>
    <t>36</t>
  </si>
  <si>
    <t>37</t>
  </si>
  <si>
    <t>429A</t>
  </si>
  <si>
    <t>90</t>
  </si>
  <si>
    <t>38</t>
  </si>
  <si>
    <t>430A</t>
  </si>
  <si>
    <t>SRTRK4</t>
  </si>
  <si>
    <t>72</t>
  </si>
  <si>
    <t>39</t>
  </si>
  <si>
    <t>AR7723</t>
  </si>
  <si>
    <t>62</t>
  </si>
  <si>
    <t>431A</t>
  </si>
  <si>
    <t>E3SOPT007</t>
  </si>
  <si>
    <t>41</t>
  </si>
  <si>
    <t>432A</t>
  </si>
  <si>
    <t>43</t>
  </si>
  <si>
    <t>3419</t>
  </si>
  <si>
    <t>Madar Informatics Computer Networks</t>
  </si>
  <si>
    <t>Makkah - Jeddah Hwy, Al Hamra Umm Al Jud, Mecca 24321</t>
  </si>
  <si>
    <t>https://goo.gl/maps/fse5y7Gtr44fSBed6</t>
  </si>
  <si>
    <t>UNLOADED LJ6C SNAP IN MODULE</t>
  </si>
  <si>
    <t>C779-C788</t>
  </si>
  <si>
    <t>C757</t>
  </si>
  <si>
    <t>Saudi Business Machine Ltd. (SBM)</t>
  </si>
  <si>
    <t>SBM Riyadh Warehouse, Istanbul Street, Al Mashael, Riyadh, KSA</t>
  </si>
  <si>
    <t>https://goo.gl/maps/NGqAcBDEZce8REiy6</t>
  </si>
  <si>
    <t>Power cord,Britain AC Power 250V10A,3.0m,PGAM,H05VV-F-1.0mm^2(3C),C13SF,250V,10A,Black-Only for Saudi Arabia,Split from 04040890</t>
  </si>
  <si>
    <t>C:\Users\deepa\OneDrive - Gulf Applications\Warehouse Files\CommScope  Related\CommScope Stock.xlsm</t>
  </si>
  <si>
    <t>C:\Users\deepa\OneDrive - Gulf Applications\Warehouse Files\Dahua Tech\Dahua Tech Stock.xlsx</t>
  </si>
  <si>
    <t xml:space="preserve">GAPP PO </t>
  </si>
  <si>
    <t>C:\Users\deepa\OneDrive - Gulf Applications\Warehouse Files\Huawei Tech\All Stock list - Huawei.xlsx</t>
  </si>
  <si>
    <t>Gulf Applications</t>
  </si>
  <si>
    <t>C:\Users\deepa\OneDrive - Gulf Applications\Warehouse Files\Hanwha Vision\Hanwha Stock - New.xlsx</t>
  </si>
  <si>
    <t>Apartment 5001, 50th Floor, Kingdom Tower</t>
  </si>
  <si>
    <t>OUTBOUND</t>
  </si>
  <si>
    <t>C:\Users\deepa\OneDrive - Gulf Applications\Warehouse Files\Huawei Tech\POC\POC Used Stock New file..xlsx</t>
  </si>
  <si>
    <t>P.O Box 89098, Riyadh, Saudi Arabia</t>
  </si>
  <si>
    <t>INVOICE</t>
  </si>
  <si>
    <t>C:\Users\deepa\OneDrive - Gulf Applications\Warehouse Files\Schneider Electric APC\Schneider stock.xlsx</t>
  </si>
  <si>
    <t>Tel.:+966 11 47 28 256</t>
  </si>
  <si>
    <t>Fax: +966 11 47 81 503</t>
  </si>
  <si>
    <t>https://www.gapp.sa</t>
  </si>
  <si>
    <t xml:space="preserve"> </t>
  </si>
  <si>
    <t>SPO</t>
  </si>
  <si>
    <t>Tuwaiq, Riyadh</t>
  </si>
  <si>
    <t>Contact Person:-</t>
  </si>
  <si>
    <t>UOM</t>
  </si>
  <si>
    <t>Serial No.</t>
  </si>
  <si>
    <t xml:space="preserve"> Condition</t>
  </si>
  <si>
    <t>Total:</t>
  </si>
  <si>
    <t xml:space="preserve"> gross weight(KG): 00   volume(CBM):00</t>
  </si>
  <si>
    <t>Delivered by:</t>
  </si>
  <si>
    <t>Pickup</t>
  </si>
  <si>
    <t>Checked by:</t>
  </si>
  <si>
    <t>Name          :</t>
  </si>
  <si>
    <t>Amjad Ali</t>
  </si>
  <si>
    <t>Deepak Sharma</t>
  </si>
  <si>
    <t>Mobile         :</t>
  </si>
  <si>
    <t>+966 54 146 1529</t>
  </si>
  <si>
    <t>Carrier        :</t>
  </si>
  <si>
    <t>Below fields are mandatory to be filled by the Receiver.</t>
  </si>
  <si>
    <t>NAME         :</t>
  </si>
  <si>
    <t>…............................................................................</t>
  </si>
  <si>
    <t>Mobile no. :</t>
  </si>
  <si>
    <t>SIGN           :</t>
  </si>
  <si>
    <t>DATE          :</t>
  </si>
  <si>
    <t>Ahmed M. Hachicho</t>
  </si>
  <si>
    <t>STAMP       :</t>
  </si>
  <si>
    <t>COMMSCOPE STOCK</t>
  </si>
  <si>
    <t>Customer Number</t>
  </si>
  <si>
    <t>Company Name</t>
  </si>
  <si>
    <t>City Name</t>
  </si>
  <si>
    <t>Address</t>
  </si>
  <si>
    <t>Contact Person Name 1</t>
  </si>
  <si>
    <t>ContactPersonNumber1</t>
  </si>
  <si>
    <t>Email 1</t>
  </si>
  <si>
    <t>Designation / Job title</t>
  </si>
  <si>
    <t xml:space="preserve">2nd Name </t>
  </si>
  <si>
    <t>2ndNumber</t>
  </si>
  <si>
    <t>2nd Email</t>
  </si>
  <si>
    <t>Designation / Job title2</t>
  </si>
  <si>
    <t> Durrah Aghizat Alhaseb Company</t>
  </si>
  <si>
    <t>120592</t>
  </si>
  <si>
    <t>3ANET - Abdulrahman A.Al-Moussa Trading Co.</t>
  </si>
  <si>
    <t>121460</t>
  </si>
  <si>
    <t>42 for Information Technology</t>
  </si>
  <si>
    <t>Al Khalidiyyah Al Janubiyyah, Dammam 32225</t>
  </si>
  <si>
    <t>https://maps.app.goo.gl/S4UY3sdefoPzZeMu8</t>
  </si>
  <si>
    <t>Noorah ALKheliwi</t>
  </si>
  <si>
    <t>+966539645442</t>
  </si>
  <si>
    <t>120666</t>
  </si>
  <si>
    <t>46 Technology Co.</t>
  </si>
  <si>
    <t>Riyadh</t>
  </si>
  <si>
    <t>Al Imam Saud Ibn Abdul Aziz Branch Rd, Al Mursilat, Riyadh 12463</t>
  </si>
  <si>
    <t>https://goo.gl/maps/xLvDEeMYWxF7zH5a8</t>
  </si>
  <si>
    <t>Noori Saleh</t>
  </si>
  <si>
    <t>+966502553219</t>
  </si>
  <si>
    <t>121225</t>
  </si>
  <si>
    <t>4FRONT Solutions Ltd</t>
  </si>
  <si>
    <t>Olaya St, As Sahafah, Menassat Building, 2nd Floor, Office 13 6231, Riyadh 13321</t>
  </si>
  <si>
    <t>https://maps.app.goo.gl/89hZ2sh5cTCDPWSq9</t>
  </si>
  <si>
    <t xml:space="preserve">Mr. Mahmoud </t>
  </si>
  <si>
    <t>+966551879305</t>
  </si>
  <si>
    <t>120496</t>
  </si>
  <si>
    <t>5th Generation for IT - 5G</t>
  </si>
  <si>
    <t>5G Store, Al Malaz, Riyadh</t>
  </si>
  <si>
    <t>https://maps.app.goo.gl/Yg8f5BYo7q6ekMb76</t>
  </si>
  <si>
    <t xml:space="preserve">Akram Al-Hakimy </t>
  </si>
  <si>
    <t>+966532096264</t>
  </si>
  <si>
    <t>akram@5gtch.com</t>
  </si>
  <si>
    <t xml:space="preserve">Saeed Al farei </t>
  </si>
  <si>
    <t>+966555093620</t>
  </si>
  <si>
    <t>saeed@5gtch.com</t>
  </si>
  <si>
    <t>120952</t>
  </si>
  <si>
    <t>AAFAQ Advanced Solutions</t>
  </si>
  <si>
    <t>120726</t>
  </si>
  <si>
    <t>AAMAL AL MOUNTAHA CONTRACTING - AMCO</t>
  </si>
  <si>
    <t>Riyadh - Office</t>
  </si>
  <si>
    <t>AMCO Office, Al Malaz, Riyadh, Saudi Arabia</t>
  </si>
  <si>
    <t>Tamer Eid</t>
  </si>
  <si>
    <t>+966 58 013 0600</t>
  </si>
  <si>
    <t>tamer@amco-est.com</t>
  </si>
  <si>
    <t>Haitham</t>
  </si>
  <si>
    <t>+966554249960</t>
  </si>
  <si>
    <t>haitham.sharawy@amco-est.com</t>
  </si>
  <si>
    <t>120565</t>
  </si>
  <si>
    <t xml:space="preserve">AB Tech For IT Co. </t>
  </si>
  <si>
    <t>King Saud University Campus, Building 7873, Floor 1 Riyadh</t>
  </si>
  <si>
    <t>Kashif Zahoor</t>
  </si>
  <si>
    <t>+966593336246</t>
  </si>
  <si>
    <t>kashifz@alasila.com</t>
  </si>
  <si>
    <t>Anoof Marzooque</t>
  </si>
  <si>
    <t>+966541375068</t>
  </si>
  <si>
    <t>anoof@alasila.com</t>
  </si>
  <si>
    <t>120534</t>
  </si>
  <si>
    <t>ABANA Enterprises Group co.</t>
  </si>
  <si>
    <t>Abana Warehouse, Tuwaiq District, Riyadh, KSA</t>
  </si>
  <si>
    <t>https://goo.gl/maps/9KeFHaf91wxrn34Y7</t>
  </si>
  <si>
    <t>Abdul Hakkim K Naha</t>
  </si>
  <si>
    <t>+966501558510</t>
  </si>
  <si>
    <t>Afatab F. Ahmeda</t>
  </si>
  <si>
    <t>+966571307718</t>
  </si>
  <si>
    <t>Abdulrahman A.Al- Moussa Trading Co.</t>
  </si>
  <si>
    <t>As Sulay, Riyadh</t>
  </si>
  <si>
    <t>https://maps.app.goo.gl/HJSaBAj8TuxWoJ55A</t>
  </si>
  <si>
    <t>Abdulaziz</t>
  </si>
  <si>
    <t>+966505469857</t>
  </si>
  <si>
    <t>Abdulrahman Ahmed Abdulrahman Al Harithy Est. - Nits Arabia</t>
  </si>
  <si>
    <t>Jeddah</t>
  </si>
  <si>
    <t>Al Safa Dist, Near Jarir Book Store, Jeddah</t>
  </si>
  <si>
    <t>https://maps.app.goo.gl/RTPPxuTMd8joHAwp8</t>
  </si>
  <si>
    <t>Mohamed Shabeer Ali</t>
  </si>
  <si>
    <t>+966506609481</t>
  </si>
  <si>
    <t>shabeerc@nitsarabia.com</t>
  </si>
  <si>
    <t>Zaid Alavi MK</t>
  </si>
  <si>
    <t>+966572097483</t>
  </si>
  <si>
    <t>zaidalavi@nitsarabia.com</t>
  </si>
  <si>
    <t>120316</t>
  </si>
  <si>
    <t>Abdulrahman Al shareef. EST</t>
  </si>
  <si>
    <t>120938</t>
  </si>
  <si>
    <t>Ace solutions</t>
  </si>
  <si>
    <t>Acesolutions</t>
  </si>
  <si>
    <t>+966558883468</t>
  </si>
  <si>
    <t>121444</t>
  </si>
  <si>
    <t>ADB SAFEGATE SAUDI LIMITED</t>
  </si>
  <si>
    <t>WPM9+CVF, King Khalid International Airport, Riyadh 13455</t>
  </si>
  <si>
    <t>https://maps.app.goo.gl/x1bTXSCNGgx5SM1U7</t>
  </si>
  <si>
    <t>Danish</t>
  </si>
  <si>
    <t>+966598027913</t>
  </si>
  <si>
    <t>120708</t>
  </si>
  <si>
    <t>Adowa Alshamel Cumputer limited Co.</t>
  </si>
  <si>
    <t>Riyadh - WH</t>
  </si>
  <si>
    <t>https://maps.app.goo.gl/1sM7RXhs2Yn6ngJU7</t>
  </si>
  <si>
    <t>Salah Fawzi</t>
  </si>
  <si>
    <t>+966580948947</t>
  </si>
  <si>
    <t>stoer@adowaalshamel.com.sa</t>
  </si>
  <si>
    <t>Abdalrazaq Al Sohly</t>
  </si>
  <si>
    <t>+966580950117</t>
  </si>
  <si>
    <t>abd-s@adowaalshamel.com.sa</t>
  </si>
  <si>
    <t>ADVANCED  CONTROL  SYSTEMS</t>
  </si>
  <si>
    <t>121382</t>
  </si>
  <si>
    <t>Advanced Calibration Laboratory</t>
  </si>
  <si>
    <t>Abbas Khan</t>
  </si>
  <si>
    <t>+966577420383</t>
  </si>
  <si>
    <t>120222</t>
  </si>
  <si>
    <t>Advanced Communications &amp; Electroni</t>
  </si>
  <si>
    <t> MRFX+855, As Sulay, Riyadh 14266</t>
  </si>
  <si>
    <t>https://maps.app.goo.gl/D9SEKrmzcn7jXqp46</t>
  </si>
  <si>
    <t>Mohammad Mutalib</t>
  </si>
  <si>
    <t>+966538017223</t>
  </si>
  <si>
    <t>Advanced Communications &amp; Electronics System - ACES</t>
  </si>
  <si>
    <t>ACES warehouse, As Sulay, Riyadh</t>
  </si>
  <si>
    <t>https://goo.gl/maps/5AeSwL41Lxin8MEd6</t>
  </si>
  <si>
    <t>Zubbed Mohiuddin</t>
  </si>
  <si>
    <t>+966501360708</t>
  </si>
  <si>
    <t>zmohiuddin@aces-co.com</t>
  </si>
  <si>
    <t>121108</t>
  </si>
  <si>
    <t>ADVANCED CONTROL SYSTEMS</t>
  </si>
  <si>
    <t>120927</t>
  </si>
  <si>
    <t>Advanced Data Systems Co.</t>
  </si>
  <si>
    <t>120319</t>
  </si>
  <si>
    <t>Advanced IT Consultant - AIC</t>
  </si>
  <si>
    <t>AIC warehouse, Yathrib street Sulay, Riyadh, KSA</t>
  </si>
  <si>
    <t>https://goo.gl/maps/RWMCJEMaiTf2WiSZA</t>
  </si>
  <si>
    <t>Taher Pervaiz</t>
  </si>
  <si>
    <t>+966 59 881 4478</t>
  </si>
  <si>
    <t>Assaf moh. Alkhuzam</t>
  </si>
  <si>
    <t>+966502558879</t>
  </si>
  <si>
    <t>121409</t>
  </si>
  <si>
    <t>Advanced Memory Trading Est .</t>
  </si>
  <si>
    <t xml:space="preserve">Saleh Mohamed </t>
  </si>
  <si>
    <t>+966564642379</t>
  </si>
  <si>
    <t>120232</t>
  </si>
  <si>
    <t>Advanced Micro Technologies Co. - AMT</t>
  </si>
  <si>
    <t>Khobar</t>
  </si>
  <si>
    <t>Al-Aziziya Area, Behind Nissan AlHamrani Service Center, Al-Khobar, Saudi Arabia</t>
  </si>
  <si>
    <t>https://goo.gl/maps/L8i5kUkqL6yfxxfX8</t>
  </si>
  <si>
    <t xml:space="preserve">Shahid khan </t>
  </si>
  <si>
    <t>+966591841841</t>
  </si>
  <si>
    <t xml:space="preserve">s.khan@amt-arabia.com </t>
  </si>
  <si>
    <t>120498</t>
  </si>
  <si>
    <t>Advanced Performance Trading Company - APT</t>
  </si>
  <si>
    <t>Riyadh, KSA</t>
  </si>
  <si>
    <t>Moawia Babiker</t>
  </si>
  <si>
    <t>0507869200/0567127381</t>
  </si>
  <si>
    <t>moawia@advanceperformance.net</t>
  </si>
  <si>
    <t>Musaab Babiker</t>
  </si>
  <si>
    <t>+966551734298</t>
  </si>
  <si>
    <t>121292</t>
  </si>
  <si>
    <t>Advanced power Technology Contracti</t>
  </si>
  <si>
    <t>RDAA9368, 9368 King Khalid Br Rd, 5010، حي العاصمة، Diriyah 13714</t>
  </si>
  <si>
    <t>https://maps.app.goo.gl/C9ZVV4Ae8SULgs9q9</t>
  </si>
  <si>
    <t>Mohamed Mustafa   </t>
  </si>
  <si>
    <t>+966541723261</t>
  </si>
  <si>
    <t>Advanced power Technology Contracting-APT</t>
  </si>
  <si>
    <t>QH89+QQC Diriyah</t>
  </si>
  <si>
    <t>https://maps.app.goo.gl/vQXuomrLJJvrYVdF7</t>
  </si>
  <si>
    <t>Ahmed Abd Elslam</t>
  </si>
  <si>
    <t>+966511460391</t>
  </si>
  <si>
    <t>121481</t>
  </si>
  <si>
    <t>Advanced semicondutor chips compan</t>
  </si>
  <si>
    <t>Al Faisaliyyah, Jeddah</t>
  </si>
  <si>
    <t>https://maps.app.goo.gl/pVHxm4vmydvu3qtn6</t>
  </si>
  <si>
    <t>Abdullah Alharbi</t>
  </si>
  <si>
    <t>+966530451500</t>
  </si>
  <si>
    <t>121351</t>
  </si>
  <si>
    <t>Advanced systems joint company</t>
  </si>
  <si>
    <t>Jeddah 22429</t>
  </si>
  <si>
    <t>https://maps.app.goo.gl/J6cGDktcx4beT1ym7</t>
  </si>
  <si>
    <t>JOMEL</t>
  </si>
  <si>
    <t>+966580915805</t>
  </si>
  <si>
    <t>121311</t>
  </si>
  <si>
    <t>ADVANCED TECHNOLOGY SOLUTIONS CO</t>
  </si>
  <si>
    <t>~ATSCO</t>
  </si>
  <si>
    <t xml:space="preserve">A </t>
  </si>
  <si>
    <t>Ishsan Yousef</t>
  </si>
  <si>
    <t>+966569545806</t>
  </si>
  <si>
    <t>121092</t>
  </si>
  <si>
    <t>Advanced water systems co.</t>
  </si>
  <si>
    <t>Jeddah </t>
  </si>
  <si>
    <t xml:space="preserve">Amin Abu Ahmed  </t>
  </si>
  <si>
    <t>+966569074742</t>
  </si>
  <si>
    <t>120804</t>
  </si>
  <si>
    <t>Aesthetix  Technology FZCo.</t>
  </si>
  <si>
    <t>120519</t>
  </si>
  <si>
    <t>Aflak Solutions for Communications &amp; IT</t>
  </si>
  <si>
    <t>Said Ibn Zayd Road, District Qurtabah, Qurtabah Plaza, Riyadh</t>
  </si>
  <si>
    <t xml:space="preserve">https://goo.gl/maps/DngTbH1aFSzJC5pQ6 </t>
  </si>
  <si>
    <t>Ayaz Khan</t>
  </si>
  <si>
    <t>+966592242120</t>
  </si>
  <si>
    <t>makhan@aflaksolutions.com</t>
  </si>
  <si>
    <t>121124</t>
  </si>
  <si>
    <t>AHMAD ABED ALNMARI EST</t>
  </si>
  <si>
    <t>AHMED AL AMERI TRADING</t>
  </si>
  <si>
    <t>GAPP Swap Center</t>
  </si>
  <si>
    <t>121000</t>
  </si>
  <si>
    <t>AI Mayssan Technical Services Co</t>
  </si>
  <si>
    <t>Riyadh - office</t>
  </si>
  <si>
    <t>AlHayat Building A- First Floor, Al Muruj district, Riyadh</t>
  </si>
  <si>
    <t>Fahad Kazmi</t>
  </si>
  <si>
    <t>+966507786532</t>
  </si>
  <si>
    <t>f.kazmi@almayssan.com</t>
  </si>
  <si>
    <t>120736</t>
  </si>
  <si>
    <t>Al ATKAAL COMPANY LTD.</t>
  </si>
  <si>
    <t>Dammam</t>
  </si>
  <si>
    <t>Al ATKAAL warehouse, 1st industrial City, Al Khalidiyah Ash Shamaliyah, Dammam</t>
  </si>
  <si>
    <t>https://maps.app.goo.gl/oB2ZdeZF3ifdyXwZA</t>
  </si>
  <si>
    <t>Sagheer Ahmed</t>
  </si>
  <si>
    <t>+966505566719</t>
  </si>
  <si>
    <t>Unni Sabu</t>
  </si>
  <si>
    <t>+966555601595</t>
  </si>
  <si>
    <t>unni@atkaal.com.sa</t>
  </si>
  <si>
    <t>121315</t>
  </si>
  <si>
    <t>AL BAHLAQ TRADING COMPANY</t>
  </si>
  <si>
    <t>Prince Turkey Street, Corniche District,1st Floor, Fahad Center, Office 105 &amp; 106 Next to Rawabi Holding Tower</t>
  </si>
  <si>
    <t>Salman Ahmed</t>
  </si>
  <si>
    <t>+966509353281</t>
  </si>
  <si>
    <t>121077</t>
  </si>
  <si>
    <t>AL ESHRAQAT GOLD EST</t>
  </si>
  <si>
    <t>Jeddah – Hira street with Al Malik road</t>
  </si>
  <si>
    <t>https://maps.app.goo.gl/4ufaGofb6p6dArph7?g_st=aw</t>
  </si>
  <si>
    <t>Muhammad Qazi</t>
  </si>
  <si>
    <t>+966574800106</t>
  </si>
  <si>
    <t>120248</t>
  </si>
  <si>
    <t>Al FANAR Electrical Systems</t>
  </si>
  <si>
    <t>Alfanar Electrical System, SG Store, Alkharj Road, Riyadh K.S.A.</t>
  </si>
  <si>
    <t>https://maps.app.goo.gl/Qm4UHrs2vpX3TCBg8</t>
  </si>
  <si>
    <t xml:space="preserve">Faiz Husain Khan </t>
  </si>
  <si>
    <t>(+966)536037868//(+966)573041725</t>
  </si>
  <si>
    <t>120743</t>
  </si>
  <si>
    <t>Al Jabr General Contracting</t>
  </si>
  <si>
    <t>120442</t>
  </si>
  <si>
    <t>AL Matbouli sound &amp; communications</t>
  </si>
  <si>
    <t>Ad Dar Al Baida, Riyadh, KSA</t>
  </si>
  <si>
    <t>https://goo.gl/maps/L3Lxfa4dyP7Tp3E6A</t>
  </si>
  <si>
    <t>Mohammad Metwalli</t>
  </si>
  <si>
    <t>+966591036086</t>
  </si>
  <si>
    <t>Jawad Al-Habashi</t>
  </si>
  <si>
    <t>+966545098203</t>
  </si>
  <si>
    <t>Alkhumra, Jeddah, KSA</t>
  </si>
  <si>
    <t>Ali Jamali</t>
  </si>
  <si>
    <t>+966564177534</t>
  </si>
  <si>
    <t>AL Matbouli sound &amp;communications</t>
  </si>
  <si>
    <t xml:space="preserve">Khomrah dist- Jeddah </t>
  </si>
  <si>
    <t>121059</t>
  </si>
  <si>
    <t>AL MESPAR CONTRACTING GROUP</t>
  </si>
  <si>
    <t>120013</t>
  </si>
  <si>
    <t>AL Moammar Information systems</t>
  </si>
  <si>
    <t>JV39+7G4 Al Mashael, Riyadh</t>
  </si>
  <si>
    <t>https://maps.app.goo.gl/pWT38ZUAZt7dH17t8</t>
  </si>
  <si>
    <t>~Lokesh.V</t>
  </si>
  <si>
    <t>+966563119916</t>
  </si>
  <si>
    <t>~Proconnect Logistics</t>
  </si>
  <si>
    <t>+966546180833</t>
  </si>
  <si>
    <t>Al Moammar information systems - MIS</t>
  </si>
  <si>
    <t xml:space="preserve">PROCONNECT SAUDI LLC Warehouse, Istanbul Street, Riyadh, </t>
  </si>
  <si>
    <t>https://goo.gl/maps/uoq5L3Zh1KeT6VibA</t>
  </si>
  <si>
    <t>Prasanth Teddy</t>
  </si>
  <si>
    <t>+966 57 269 3580</t>
  </si>
  <si>
    <t>Lokesh</t>
  </si>
  <si>
    <t>MIS Office, Al Thoumamah Rd, Al Sahafa district، Riyadh</t>
  </si>
  <si>
    <t>https://maps.app.goo.gl/P6pCr5S2em6oy1LW6</t>
  </si>
  <si>
    <t>Tarek Youness </t>
  </si>
  <si>
    <t>+966563748015</t>
  </si>
  <si>
    <t>tarek.youness@mis.com.sa</t>
  </si>
  <si>
    <t>121046</t>
  </si>
  <si>
    <t>Al Netaq Al Awhad</t>
  </si>
  <si>
    <t>120791</t>
  </si>
  <si>
    <t>Al Netaq Al Mowahd For IT Co - Tech Zone</t>
  </si>
  <si>
    <t>121346</t>
  </si>
  <si>
    <t>Al Rabwat Al Mutatawarah Trading Co</t>
  </si>
  <si>
    <t>JVGJ+R4C Al Mashael, Riyadh</t>
  </si>
  <si>
    <t>https://maps.app.goo.gl/m4R14qyj9ptxGkn36</t>
  </si>
  <si>
    <t xml:space="preserve">Yasser Abdulhadi </t>
  </si>
  <si>
    <t>+966542152530</t>
  </si>
  <si>
    <t>121424</t>
  </si>
  <si>
    <t>Al Ramsat Contracting Company</t>
  </si>
  <si>
    <t>ABHA</t>
  </si>
  <si>
    <t>https://maps.app.goo.gl/fTTeFDsfLSn5DixU9</t>
  </si>
  <si>
    <t>Engr. Ali</t>
  </si>
  <si>
    <t>+966597891319</t>
  </si>
  <si>
    <t>120712</t>
  </si>
  <si>
    <t>Al Sada - Echo Serve</t>
  </si>
  <si>
    <t>120717</t>
  </si>
  <si>
    <t>Al Wefaq Al Arabia For Trading and IT LLC</t>
  </si>
  <si>
    <t>5th Floor, 6947, Al Wefaq Tower Al Yasmin, Olaya Street, Riyadh</t>
  </si>
  <si>
    <t xml:space="preserve">https://goo.gl/maps/tTXaL3rAs5g91GCD8 </t>
  </si>
  <si>
    <t>Ghazi Al Tamimi</t>
  </si>
  <si>
    <t>+966544984567</t>
  </si>
  <si>
    <t>121132</t>
  </si>
  <si>
    <t>Alanesoon Trading Company</t>
  </si>
  <si>
    <t>Zawar Ali</t>
  </si>
  <si>
    <t>+966583680583</t>
  </si>
  <si>
    <t>zawar.ali@alanesoon.com</t>
  </si>
  <si>
    <t>Procurement dept.</t>
  </si>
  <si>
    <t>Farrukh Humayun</t>
  </si>
  <si>
    <t>+966506493548</t>
  </si>
  <si>
    <t>farrukh_humayun@alanesoon.com</t>
  </si>
  <si>
    <t>Project Engineer</t>
  </si>
  <si>
    <t>120450</t>
  </si>
  <si>
    <t>AlAyuni Investment And Contracting Company</t>
  </si>
  <si>
    <t>Jubail - Site Office</t>
  </si>
  <si>
    <t>Alayuni Jubail Site office, Mutrafiyah, Al Jubail 35822</t>
  </si>
  <si>
    <t>https://goo.gl/maps/eLgwHEvSAcjjtoF69</t>
  </si>
  <si>
    <t>Vipin</t>
  </si>
  <si>
    <t>+966 55 492 8784</t>
  </si>
  <si>
    <t>K.Vipin@alayuni.com</t>
  </si>
  <si>
    <t>Azizur Rehman</t>
  </si>
  <si>
    <t>+966504192095</t>
  </si>
  <si>
    <t>a.rahman@alayuni.com</t>
  </si>
  <si>
    <t>120235</t>
  </si>
  <si>
    <t>Al-Eatesam Modern Marketing Co., Ltd - Secutronic</t>
  </si>
  <si>
    <t>Alec KSA &amp; El Seif JV (ESSA)</t>
  </si>
  <si>
    <t xml:space="preserve">Al Moqbel Palaces, Water theme park </t>
  </si>
  <si>
    <t>https://maps.app.goo.gl/6mCZUovNZKVgF2X1A</t>
  </si>
  <si>
    <t xml:space="preserve">Eng. Mahmoud </t>
  </si>
  <si>
    <t> 054-166-8971</t>
  </si>
  <si>
    <t>Shabeer Av</t>
  </si>
  <si>
    <t>+966599694422</t>
  </si>
  <si>
    <t>121134</t>
  </si>
  <si>
    <t>Al-FAHD Contracting</t>
  </si>
  <si>
    <t>4XMP+RF8 Unaizah</t>
  </si>
  <si>
    <t>https://maps.app.goo.gl/Rba1Xb33ipUxteSy7</t>
  </si>
  <si>
    <t>Mohamed Adel</t>
  </si>
  <si>
    <t>+966534769992</t>
  </si>
  <si>
    <t>AL-FAHDcontracting</t>
  </si>
  <si>
    <t xml:space="preserve"> Unaizah</t>
  </si>
  <si>
    <t>https://maps.app.goo.gl/N7oNimdj4XxLusLv5</t>
  </si>
  <si>
    <t>Mohammed Adel</t>
  </si>
  <si>
    <t>120339</t>
  </si>
  <si>
    <t>Al-Falak Electronic Equipment &amp; Supplies Co.</t>
  </si>
  <si>
    <t>120527</t>
  </si>
  <si>
    <t>Alfaneyah Electromechanical Company Ltd.</t>
  </si>
  <si>
    <t>121004</t>
  </si>
  <si>
    <t>Ali Alherbish establishments</t>
  </si>
  <si>
    <t>120273</t>
  </si>
  <si>
    <t>Ali Zaid Al-Quraishi &amp; Partners Electrical Services of S.A (AQESA)</t>
  </si>
  <si>
    <t>MEENA WAREHOUSE # 4, KING ABDULAZEES SEA PORT AREA, DAMMAM</t>
  </si>
  <si>
    <t>Moheuddin Akbar</t>
  </si>
  <si>
    <t>+966555737902</t>
  </si>
  <si>
    <t>m.akbar@aqesa.com</t>
  </si>
  <si>
    <t>121502</t>
  </si>
  <si>
    <t>ALIBTIKAR WALHULUL ALMUMTAZAH</t>
  </si>
  <si>
    <t>Momen Ramzy</t>
  </si>
  <si>
    <t>+966563399970</t>
  </si>
  <si>
    <t>120170</t>
  </si>
  <si>
    <t>Al-Khalijiah for Consulting &amp; IT Co.</t>
  </si>
  <si>
    <t>120547</t>
  </si>
  <si>
    <t>Alkhiyoll Althalathah Security &amp; Safety Contracting Co.</t>
  </si>
  <si>
    <t>Ali Abdulsalam Al Raiyes St, Al Qirawan, Riyadh</t>
  </si>
  <si>
    <t>https://goo.gl/maps/NtEhWAP2aHgwR1oq6</t>
  </si>
  <si>
    <t>Eric Lei Baraoidans</t>
  </si>
  <si>
    <t>+966558810342</t>
  </si>
  <si>
    <t>branch.support@khiyoll.com</t>
  </si>
  <si>
    <t>120820</t>
  </si>
  <si>
    <t>Allied Solutions for IT &amp; Security</t>
  </si>
  <si>
    <t>Istanbul street, Near Al-fozan mosque , Warehouse no 129, Al Mashael, Riyadh</t>
  </si>
  <si>
    <t>https://maps.app.goo.gl/YSAe3arRr3rGYz9dA</t>
  </si>
  <si>
    <t xml:space="preserve">Abdul Hadi Ahmad </t>
  </si>
  <si>
    <t>0501404856/O593682453</t>
  </si>
  <si>
    <t>a.ahmed@zkteco-sa.com</t>
  </si>
  <si>
    <t>Warehouse Manager</t>
  </si>
  <si>
    <t xml:space="preserve">Mohammad Jamaluddin </t>
  </si>
  <si>
    <t>+966580013643</t>
  </si>
  <si>
    <t>m.jamaluddin@aictec.com</t>
  </si>
  <si>
    <t>Purchasing Manager</t>
  </si>
  <si>
    <t>: Jeddah</t>
  </si>
  <si>
    <t>Muhammad Surur</t>
  </si>
  <si>
    <t>+966583402800</t>
  </si>
  <si>
    <t>120890</t>
  </si>
  <si>
    <t>ALMA Technologies Co. W.L.L.</t>
  </si>
  <si>
    <t>Muhammad Usman</t>
  </si>
  <si>
    <t>97335416334</t>
  </si>
  <si>
    <t>m.usman@amt-arabia.net</t>
  </si>
  <si>
    <t>120800</t>
  </si>
  <si>
    <t xml:space="preserve">ALMada Smart for Communication </t>
  </si>
  <si>
    <t>Dar Al Hijaz 2 building, 5th Floor, Office 30, Al Faisaliyyah, Jeddah</t>
  </si>
  <si>
    <t>Majed Masarani</t>
  </si>
  <si>
    <t>+966507638977</t>
  </si>
  <si>
    <t>majed@almada.net.sa</t>
  </si>
  <si>
    <t>Purchasing Officer</t>
  </si>
  <si>
    <t>Alaa Osama</t>
  </si>
  <si>
    <t>+966533967733</t>
  </si>
  <si>
    <t>AL-MASS AL- DHAHABI ForInformation</t>
  </si>
  <si>
    <t>Khalid Bin Al Waleed street, Al sharafiyyah,</t>
  </si>
  <si>
    <t xml:space="preserve"> Jeddah</t>
  </si>
  <si>
    <t>Nazeer</t>
  </si>
  <si>
    <t>+9665566471620</t>
  </si>
  <si>
    <t>120018</t>
  </si>
  <si>
    <t>AL-Moja AL-Wasia Trading Co.</t>
  </si>
  <si>
    <t>Al Moja Al Wasia Co. Ltd. 3rd Floor, Office No. 29, Sulimaniah, Riyadh</t>
  </si>
  <si>
    <t>https://goo.gl/maps/uxXvNstmka9qtPVh7</t>
  </si>
  <si>
    <t>Zeeshan Sarwar</t>
  </si>
  <si>
    <t>+966593536207</t>
  </si>
  <si>
    <t>Riyadh - Warehouse</t>
  </si>
  <si>
    <t>Ash Shifa, Al Marwah, Riyadh, Saudi Arabia</t>
  </si>
  <si>
    <t>https://goo.gl/maps/QJgzvSgY5TFmdq8u6</t>
  </si>
  <si>
    <t>120957</t>
  </si>
  <si>
    <t>ALMousa for Technology and Security - MTS</t>
  </si>
  <si>
    <t>MTS Warehouse, Ad Dirah, Riyadh</t>
  </si>
  <si>
    <t>https://maps.app.goo.gl/sSQEYomwnHtSrLWi9</t>
  </si>
  <si>
    <t xml:space="preserve">Mureed  </t>
  </si>
  <si>
    <t>+966557813104</t>
  </si>
  <si>
    <t>Warehouse Guy</t>
  </si>
  <si>
    <t xml:space="preserve">Obada Sinjab                                                             </t>
  </si>
  <si>
    <t>+966530443670</t>
  </si>
  <si>
    <t>omuaffaq@almousa-tec.com</t>
  </si>
  <si>
    <t>Technical Manager</t>
  </si>
  <si>
    <t>120250</t>
  </si>
  <si>
    <t>AL-MUTLAQ UNITED COMPANY</t>
  </si>
  <si>
    <t>120646</t>
  </si>
  <si>
    <t>Al-Othman Holding Company</t>
  </si>
  <si>
    <t>120840</t>
  </si>
  <si>
    <t>Alpha Limit Trading &amp; Contracting Company</t>
  </si>
  <si>
    <t>Yazan Samahan</t>
  </si>
  <si>
    <t>+966501973331</t>
  </si>
  <si>
    <t>Sales</t>
  </si>
  <si>
    <t>Mohamed Eissa</t>
  </si>
  <si>
    <t>+966560812494</t>
  </si>
  <si>
    <t>Store</t>
  </si>
  <si>
    <t>ALPHA LIMITTrading &amp; Contracting L</t>
  </si>
  <si>
    <t>121402</t>
  </si>
  <si>
    <t>AlRagheedah international trading c</t>
  </si>
  <si>
    <t>Building# 8808 Industrial Area, 35714 Jubail</t>
  </si>
  <si>
    <t xml:space="preserve">Mr. Chalesh  </t>
  </si>
  <si>
    <t>+966573037221</t>
  </si>
  <si>
    <t>120709</t>
  </si>
  <si>
    <t>AlRajhi Telecom</t>
  </si>
  <si>
    <t>2806 Shamayl, 7627, As Sulay, Riyadh 14263</t>
  </si>
  <si>
    <t>https://goo.gl/maps/C6kiTnPD4TDyqBfW7</t>
  </si>
  <si>
    <t>Syed Zaky</t>
  </si>
  <si>
    <t>+966502876573</t>
  </si>
  <si>
    <t>120303</t>
  </si>
  <si>
    <t>AL-TALL AL-AWAL EST FOR TRADING</t>
  </si>
  <si>
    <t>120993</t>
  </si>
  <si>
    <t>American Express Saudi Arabia</t>
  </si>
  <si>
    <t>King Abdullah Street</t>
  </si>
  <si>
    <t>https://maps.app.goo.gl/FtqrfHeZRKNNeDYJ8</t>
  </si>
  <si>
    <t>Mohammed Shakeeb</t>
  </si>
  <si>
    <t>+966550811804</t>
  </si>
  <si>
    <t>120019</t>
  </si>
  <si>
    <t>ANAZEEM TECHNOLOGY CO.</t>
  </si>
  <si>
    <t>Mohammed Bassam</t>
  </si>
  <si>
    <t>+966555390385</t>
  </si>
  <si>
    <t>mbassam@anazeem.com</t>
  </si>
  <si>
    <t>121054</t>
  </si>
  <si>
    <t>Anmar Saudi Tech. And Trading</t>
  </si>
  <si>
    <t>Al Haeer, Riyadh</t>
  </si>
  <si>
    <t>https://maps.app.goo.gl/h3x7f2WjPGfmCWoy7</t>
  </si>
  <si>
    <t xml:space="preserve">Hesham </t>
  </si>
  <si>
    <t>+966540858932</t>
  </si>
  <si>
    <t>hesham_abdulghani@anmarit.com</t>
  </si>
  <si>
    <t>121407</t>
  </si>
  <si>
    <t>ANWAR ALWESSAM TRADING CO.</t>
  </si>
  <si>
    <t>7451 Asad Ibn Al Fourat, Al Amal، 2614, Riyadh 12643</t>
  </si>
  <si>
    <t>https://maps.app.goo.gl/QbdzbB4LT8jgoQXi9</t>
  </si>
  <si>
    <t xml:space="preserve">Basem </t>
  </si>
  <si>
    <t>+966505143149</t>
  </si>
  <si>
    <t>121457</t>
  </si>
  <si>
    <t>Arab Gulf United Company limited</t>
  </si>
  <si>
    <t>Riyadh Warehouse</t>
  </si>
  <si>
    <t>HVX9+JG8 Al Mashael, Riyadh</t>
  </si>
  <si>
    <t>https://maps.app.goo.gl/h48wKrBtQP99sLPBA</t>
  </si>
  <si>
    <t>Mr. Abdullah</t>
  </si>
  <si>
    <t>+966581436892</t>
  </si>
  <si>
    <t>12 to 1 pm Break</t>
  </si>
  <si>
    <t xml:space="preserve">Mr. Saadullah </t>
  </si>
  <si>
    <t>+9660594939157</t>
  </si>
  <si>
    <t>120782</t>
  </si>
  <si>
    <t>Arabian Development &amp; Marketing Co. LTD</t>
  </si>
  <si>
    <t>Arabian Internet and Communication Service (STC)</t>
  </si>
  <si>
    <t>FWMX+Q7H Makkah</t>
  </si>
  <si>
    <t>https://maps.app.goo.gl/d1q6XN6pLXnxWxfR6</t>
  </si>
  <si>
    <t xml:space="preserve">Umar </t>
  </si>
  <si>
    <t>+966555072495</t>
  </si>
  <si>
    <t>Arabian Internet and Communication Services Co.Ltd. - STC Solutions</t>
  </si>
  <si>
    <t>WR24+MWW Ar Rimal, Riyadh</t>
  </si>
  <si>
    <t>https://maps.app.goo.gl/k8iGrH9YcKcTgFVy7</t>
  </si>
  <si>
    <t>Omar</t>
  </si>
  <si>
    <t>PQ3V+VV3 Ar Rawabi, Riyadh</t>
  </si>
  <si>
    <t>https://maps.app.goo.gl/3LFS9n8hmPeVyMxT6</t>
  </si>
  <si>
    <t>Jaime</t>
  </si>
  <si>
    <t>+966559628037</t>
  </si>
  <si>
    <t>Khurais DC in Riyadh</t>
  </si>
  <si>
    <t>https://maps.app.goo.gl/8wVMYEwbeqiuzR1ZA</t>
  </si>
  <si>
    <t xml:space="preserve">Mr. NISHAD </t>
  </si>
  <si>
    <t>0537993213/0508633213</t>
  </si>
  <si>
    <t>PQ4V+F9V Ar Rawabi, Riyadh</t>
  </si>
  <si>
    <t>https://maps.app.goo.gl/nv39drfpkSNzmKHN7</t>
  </si>
  <si>
    <t>Omar @ BMT</t>
  </si>
  <si>
    <t>Arabian Internet andCommunication Services Co.Ltd.</t>
  </si>
  <si>
    <t>3407 اسحاق بن مخلد, Al Mursilat، 7946, Riyadh 12464</t>
  </si>
  <si>
    <t>https://maps.app.goo.gl/EPWZ3NnFWA4cYGE39</t>
  </si>
  <si>
    <t xml:space="preserve">Yasir </t>
  </si>
  <si>
    <t>+966536438827</t>
  </si>
  <si>
    <t>Moaz A Shehada</t>
  </si>
  <si>
    <t>+966532921802</t>
  </si>
  <si>
    <t>120529</t>
  </si>
  <si>
    <t>Arabian projects Company</t>
  </si>
  <si>
    <t>PP53+XR7, Abdulrahman Ibn Ali Al Ash Shaikh, As Sulimaniyah, Riyadh 12243</t>
  </si>
  <si>
    <t>https://goo.gl/maps/GZPkZ51RwHo1QbsL8</t>
  </si>
  <si>
    <t>Reda Saleh</t>
  </si>
  <si>
    <t>+966547771016</t>
  </si>
  <si>
    <t>reda@apcksa.com</t>
  </si>
  <si>
    <t>General Manager</t>
  </si>
  <si>
    <t>120793</t>
  </si>
  <si>
    <t>Arabian Security Systems</t>
  </si>
  <si>
    <t>An Narjis, Riyadh 13346</t>
  </si>
  <si>
    <t>https://goo.gl/maps/TbLGbXujEj4TXviF7</t>
  </si>
  <si>
    <t>Murad bahamood+966 50 414 2501</t>
  </si>
  <si>
    <t>+966545173287</t>
  </si>
  <si>
    <t>120925</t>
  </si>
  <si>
    <t>Ard Alhassob Trading Co.</t>
  </si>
  <si>
    <t>Computer market, Olaya, Riyadh</t>
  </si>
  <si>
    <t>https://maps.app.goo.gl/y2fMXJS7SnQf9NB6A</t>
  </si>
  <si>
    <t>Mohamed Sobhy</t>
  </si>
  <si>
    <t>+966539162811</t>
  </si>
  <si>
    <t>m.sobhy@pclandstore.com</t>
  </si>
  <si>
    <t>120928</t>
  </si>
  <si>
    <t>ARMOR Integrated Co.</t>
  </si>
  <si>
    <t>120675</t>
  </si>
  <si>
    <t>Art of information Technology - AOIT</t>
  </si>
  <si>
    <t xml:space="preserve">An Nahdah Dist., Dammam </t>
  </si>
  <si>
    <t>https://maps.app.goo.gl/TwGPh8FRfmth5B7B7</t>
  </si>
  <si>
    <t>Sadathullah Khan</t>
  </si>
  <si>
    <t>+966537462502</t>
  </si>
  <si>
    <t>khan@aoit.com.sa</t>
  </si>
  <si>
    <t xml:space="preserve">Business Development Manager </t>
  </si>
  <si>
    <t>Artificial Intelligence Global Company - AIGC</t>
  </si>
  <si>
    <t>18th Floor, Adeer Tower, Prince Turkey Street, Al Khobar, KSA</t>
  </si>
  <si>
    <t>https://maps.app.goo.gl/9LVP3SnKPcLuFcCWA</t>
  </si>
  <si>
    <t>Abdullah AlSaber</t>
  </si>
  <si>
    <t>+966567445690</t>
  </si>
  <si>
    <t>120661</t>
  </si>
  <si>
    <t>Artkom Trading Company</t>
  </si>
  <si>
    <t>Mohammed Ishaq</t>
  </si>
  <si>
    <t>+966-557728849</t>
  </si>
  <si>
    <t>120346</t>
  </si>
  <si>
    <t>Asari Trading Est.</t>
  </si>
  <si>
    <t>Electronics store, Computer Market, Al Olaya, Riyadh</t>
  </si>
  <si>
    <t>https://maps.app.goo.gl/5P9CRLbGLPQME6Z7A</t>
  </si>
  <si>
    <t>Ahmed Khawaja</t>
  </si>
  <si>
    <t>+966504268397</t>
  </si>
  <si>
    <t>ahmad@asariest.com</t>
  </si>
  <si>
    <t>Ghouse Mohiuddin</t>
  </si>
  <si>
    <t>+966 56 535 8240</t>
  </si>
  <si>
    <t>ghouse@asariest.com</t>
  </si>
  <si>
    <t>Asari warehouse Exit 16, As Sulay, Riyadh, Saudi Arabia</t>
  </si>
  <si>
    <t>https://goo.gl/maps/AYJmLokob6MnFc9fA</t>
  </si>
  <si>
    <t>Asari trading EST.</t>
  </si>
  <si>
    <t>Riyadh Show room</t>
  </si>
  <si>
    <t xml:space="preserve">Olaya Computer Market </t>
  </si>
  <si>
    <t>https://maps.app.goo.gl/uZnmPXNqTruT7NC36</t>
  </si>
  <si>
    <t>Moustafa</t>
  </si>
  <si>
    <t>+966568581610</t>
  </si>
  <si>
    <t>Ascend Advanced Health Care</t>
  </si>
  <si>
    <t>121102</t>
  </si>
  <si>
    <t>Asdiqa Altadawul Commercial company</t>
  </si>
  <si>
    <t>Mozum Bashir                                                      </t>
  </si>
  <si>
    <t>+966595835173   </t>
  </si>
  <si>
    <t>120389</t>
  </si>
  <si>
    <t>Aseel Gulf for Information Technoloy</t>
  </si>
  <si>
    <t>121017</t>
  </si>
  <si>
    <t>Aspiring Technologies Co. Ltd.</t>
  </si>
  <si>
    <t>120819</t>
  </si>
  <si>
    <t>Atlanta Network Computers Est.</t>
  </si>
  <si>
    <t>Wadi Ad Dawasir,Riyadh, KSA</t>
  </si>
  <si>
    <t>https://goo.gl/maps/EoFzeYskQfMrnFHV9</t>
  </si>
  <si>
    <t xml:space="preserve">Noorudheen </t>
  </si>
  <si>
    <t>+966 56 405 0363</t>
  </si>
  <si>
    <t>Nooru@atlantasaudi.com</t>
  </si>
  <si>
    <t>120981</t>
  </si>
  <si>
    <t>Australian Laboratory Services Arab</t>
  </si>
  <si>
    <t>120725</t>
  </si>
  <si>
    <t>Automation Detection Technology - ADT</t>
  </si>
  <si>
    <t>ADT Office, Northern Ring Rd, Al Muruj, Riyadh 12284</t>
  </si>
  <si>
    <t>https://goo.gl/maps/jF2bBtiMfXnWMnaP9</t>
  </si>
  <si>
    <t>Tamer</t>
  </si>
  <si>
    <t>+966 56 271 5487</t>
  </si>
  <si>
    <t>121257</t>
  </si>
  <si>
    <t>AVANCEON ARABIA FOR INFORMTION</t>
  </si>
  <si>
    <t>94RV+746, Industrial Area No 1, Dammam 32234</t>
  </si>
  <si>
    <t>https://maps.app.goo.gl/HBvdEKkcyAMX5c938</t>
  </si>
  <si>
    <t>Usama Alam</t>
  </si>
  <si>
    <t>+966575839708</t>
  </si>
  <si>
    <t>120611</t>
  </si>
  <si>
    <t>Avaya International Sales Ltd.</t>
  </si>
  <si>
    <t>King Abdul Aziz Road-Mursalat, Riyadh, Saudi Arabia</t>
  </si>
  <si>
    <t>Mazhar Ullah Baig</t>
  </si>
  <si>
    <t>+966545627415</t>
  </si>
  <si>
    <t>121194</t>
  </si>
  <si>
    <t>AXONTEC INTERNATIONAL SECURITY</t>
  </si>
  <si>
    <t>JM6Q+VGM, Sultanah, Riyadh 12772</t>
  </si>
  <si>
    <t>https://maps.app.goo.gl/bQmFTjVz3oWzKted9</t>
  </si>
  <si>
    <t>Ajmal</t>
  </si>
  <si>
    <t>+966575464163</t>
  </si>
  <si>
    <t xml:space="preserve">Ayser Kayal Trading Est </t>
  </si>
  <si>
    <t>Tahlia street near al jazerah bank, Al Andalus, Jeddah</t>
  </si>
  <si>
    <t>https://maps.app.goo.gl/XjGsCdY6Q8mQ2Dh2A</t>
  </si>
  <si>
    <t>Tariq Amairah</t>
  </si>
  <si>
    <t>+966565411133</t>
  </si>
  <si>
    <t>tareq@ayskayalest.com</t>
  </si>
  <si>
    <t>Sales &amp; Projects Manager</t>
  </si>
  <si>
    <t>120825</t>
  </si>
  <si>
    <t>Bahar Al-Malomat for Trading Est.</t>
  </si>
  <si>
    <t>Computer Market, Olaya, Riyadh</t>
  </si>
  <si>
    <t>https://goo.gl/maps/7bwL9CeDQs7FCRe28</t>
  </si>
  <si>
    <t>Abas</t>
  </si>
  <si>
    <t>+966597048451</t>
  </si>
  <si>
    <t>120593</t>
  </si>
  <si>
    <t xml:space="preserve">Barq System for Technical Trading </t>
  </si>
  <si>
    <t>Al Howaishel Tower A, 1st Floor, Al Olaya St., Riyadh</t>
  </si>
  <si>
    <t>Mohamed AbdelRasheed</t>
  </si>
  <si>
    <t>+966545686907</t>
  </si>
  <si>
    <t>Mohamed.AbdelRasheed@barqsystems.com</t>
  </si>
  <si>
    <t>121438</t>
  </si>
  <si>
    <t>Baseline contracting company</t>
  </si>
  <si>
    <t>Aurang Zaib Khan</t>
  </si>
  <si>
    <t>+966561474538</t>
  </si>
  <si>
    <t>120515</t>
  </si>
  <si>
    <t>BASIC ELECTRONICS COMPANY</t>
  </si>
  <si>
    <t>120258</t>
  </si>
  <si>
    <t>Baud Telecom Company - BTC</t>
  </si>
  <si>
    <t>BTC Riyadh warehouse, Istanbul St, As Sulay, Riyadh, KSA</t>
  </si>
  <si>
    <t>https://goo.gl/maps/yJuanY52ytAZn5vf6</t>
  </si>
  <si>
    <t>Ahmed Jalal</t>
  </si>
  <si>
    <t>+966500029089</t>
  </si>
  <si>
    <t>AJalal@btc.com.sa</t>
  </si>
  <si>
    <t>Store Supervisor</t>
  </si>
  <si>
    <t>Shahid Abbas</t>
  </si>
  <si>
    <t>+966558901115</t>
  </si>
  <si>
    <t>sghulam@btc.com.sa</t>
  </si>
  <si>
    <t>Store Keeper</t>
  </si>
  <si>
    <t>BTC Jeddah WH, Khalid Bin Yazeed St Al Nakheel District, Opposite DJ Auto Parts, Jeddah</t>
  </si>
  <si>
    <t>https://goo.gl/maps/ocr4dnSwDfMXWnAT6</t>
  </si>
  <si>
    <t>Nayeem Osman Khan</t>
  </si>
  <si>
    <t>+966 53 484 7236/+966500193220</t>
  </si>
  <si>
    <t>nkhan@btc.com.sa</t>
  </si>
  <si>
    <t>BTC Khobar, Sinaiya Al Baghlaf,GCC Road,KHOBAR</t>
  </si>
  <si>
    <t>https://maps.app.goo.gl/D6RXP4JN2g3iTdSN9</t>
  </si>
  <si>
    <t>Jahirul Islam</t>
  </si>
  <si>
    <t>+966555216198</t>
  </si>
  <si>
    <t>KhobarStores@btc.com.sa</t>
  </si>
  <si>
    <t>120213</t>
  </si>
  <si>
    <t>Bayt Al Egada for Trading &amp; Technology - Mastery House</t>
  </si>
  <si>
    <t>Al Mashael, Riyadh</t>
  </si>
  <si>
    <t>https://goo.gl/maps/uvnmLY9QBDvi5Vnx9</t>
  </si>
  <si>
    <t>Ali Gonzaga</t>
  </si>
  <si>
    <t>+966594645070</t>
  </si>
  <si>
    <t>ali@mhtt.sa</t>
  </si>
  <si>
    <t>Masood Shah</t>
  </si>
  <si>
    <t>+966597580320</t>
  </si>
  <si>
    <t>120447</t>
  </si>
  <si>
    <t>Bazy Trading And Contracting Co. Ltd</t>
  </si>
  <si>
    <t>Bazy warehouse, As Sulay, Riyadh</t>
  </si>
  <si>
    <t>https://maps.app.goo.gl/1r5vWFicwck1p8659</t>
  </si>
  <si>
    <t>Shahbaz Nasir</t>
  </si>
  <si>
    <t>+966501316089/+966508302609</t>
  </si>
  <si>
    <t>s.rahmat@baz.com.sa</t>
  </si>
  <si>
    <t>121214</t>
  </si>
  <si>
    <t>Benchmark Technology</t>
  </si>
  <si>
    <t>JV83+M8P Al Mashael, Riyadh</t>
  </si>
  <si>
    <t>https://maps.app.goo.gl/QMVFqvfPoH7bCKoz8</t>
  </si>
  <si>
    <t>Shanu Adil</t>
  </si>
  <si>
    <t>+966539062023</t>
  </si>
  <si>
    <t>120032</t>
  </si>
  <si>
    <t>Best InfoTech Solutions</t>
  </si>
  <si>
    <t>120797</t>
  </si>
  <si>
    <t>BEST SOLUTIONS FOR ICT</t>
  </si>
  <si>
    <t>120259</t>
  </si>
  <si>
    <t>Bin Zoumah Tech Company - Binzomah</t>
  </si>
  <si>
    <t>Shuman Mumtaz</t>
  </si>
  <si>
    <t>+966508380308</t>
  </si>
  <si>
    <t>shuman@binzomah.com</t>
  </si>
  <si>
    <t>120900</t>
  </si>
  <si>
    <t>BioNetworks</t>
  </si>
  <si>
    <t xml:space="preserve">Jeddah – Al Sharafiyah District – Al Toubah street – Al Aseel tower – 3rd floor – office 303 </t>
  </si>
  <si>
    <t>https://maps.app.goo.gl/1CTKPKLY7egsGUeU9</t>
  </si>
  <si>
    <t>Anas Fehail</t>
  </si>
  <si>
    <t>+966554599202</t>
  </si>
  <si>
    <t>anasf@bionetworks-sa.com</t>
  </si>
  <si>
    <t>120946</t>
  </si>
  <si>
    <t>Blue Tag Company for Information Technology</t>
  </si>
  <si>
    <t xml:space="preserve">Ashraf Alshihab </t>
  </si>
  <si>
    <t>+966599945674</t>
  </si>
  <si>
    <t>a.shihab@btcict.com</t>
  </si>
  <si>
    <t>120657</t>
  </si>
  <si>
    <t>BMB International Saudi Arabia</t>
  </si>
  <si>
    <t>Al Hodaithi Center, King Abdul Aziz  Street, AlMuruj, Riyadh</t>
  </si>
  <si>
    <t>Nayeem Seyed</t>
  </si>
  <si>
    <t>+966509239054</t>
  </si>
  <si>
    <t>Nayeem.Seyed@bmbgroup.com</t>
  </si>
  <si>
    <t>Mujahid</t>
  </si>
  <si>
    <t>+966 57 039 2439</t>
  </si>
  <si>
    <t>mujahed.basheer@bmbgroup.com</t>
  </si>
  <si>
    <t>120944</t>
  </si>
  <si>
    <t>BNAN for Information Technology</t>
  </si>
  <si>
    <t>Amr Samak</t>
  </si>
  <si>
    <t>+966545119929</t>
  </si>
  <si>
    <t>samak@bnansa.com</t>
  </si>
  <si>
    <t>BSS Joint Venture- JV Al Bawani- Webu</t>
  </si>
  <si>
    <t>RIYADH</t>
  </si>
  <si>
    <t>Business Management Network Company (BMNC)</t>
  </si>
  <si>
    <t>BMNC Warehouse, As Sulay, Riyadh</t>
  </si>
  <si>
    <t>https://maps.app.goo.gl/PqTifdkM35TBtGma9</t>
  </si>
  <si>
    <t>Sayed Shujauddin Ahmed</t>
  </si>
  <si>
    <t>+966571290676</t>
  </si>
  <si>
    <t>sahmed@bmc.com.sa</t>
  </si>
  <si>
    <t>Misbah Uddin</t>
  </si>
  <si>
    <t>+966590836098</t>
  </si>
  <si>
    <t>121195</t>
  </si>
  <si>
    <t>Business Space Company .</t>
  </si>
  <si>
    <t xml:space="preserve"> Al Olaya, Riyadh</t>
  </si>
  <si>
    <t>https://maps.app.goo.gl/D8vb1R1GounC4jqU7</t>
  </si>
  <si>
    <t>Abdulelah Bassam</t>
  </si>
  <si>
    <t>+966500081019</t>
  </si>
  <si>
    <t>120877</t>
  </si>
  <si>
    <t>Business tracks</t>
  </si>
  <si>
    <t>AlMousa Center, 3rd Tower, 4th Floor, Office # 346 Riyadh, KSA</t>
  </si>
  <si>
    <t>https://maps.app.goo.gl/tqnVkHaemPw8pceL6</t>
  </si>
  <si>
    <t>Effat Sabbour</t>
  </si>
  <si>
    <t>+966505216383</t>
  </si>
  <si>
    <t xml:space="preserve">Kareem </t>
  </si>
  <si>
    <t>+966 54 453 8591</t>
  </si>
  <si>
    <t>120532</t>
  </si>
  <si>
    <t>Cegelec Network &amp; Security Systems</t>
  </si>
  <si>
    <t>Prince Nayef St, Al Khobar Al Shamalia, Al Khobar 34429</t>
  </si>
  <si>
    <t>https://goo.gl/maps/jF7xw5tU1DoerTSFA</t>
  </si>
  <si>
    <t>Faisal Alzahrani               0535011175</t>
  </si>
  <si>
    <t>Pasha0549155061</t>
  </si>
  <si>
    <t>120345</t>
  </si>
  <si>
    <t>China Saudi Communications Services ( CCS )</t>
  </si>
  <si>
    <t>CCS Warehouse number S 1-3-3, Al Mashael, Riyadh</t>
  </si>
  <si>
    <t>https://maps.app.goo.gl/6mMDzdxmiHmDkuXi7</t>
  </si>
  <si>
    <t>Waseem Akram</t>
  </si>
  <si>
    <t>+966500884323</t>
  </si>
  <si>
    <t>waseemakram@ccssaudi.com</t>
  </si>
  <si>
    <t>120841</t>
  </si>
  <si>
    <t>Clarity of Vision Information Tech</t>
  </si>
  <si>
    <t>Ahmad Ewaida</t>
  </si>
  <si>
    <t>+966556680051</t>
  </si>
  <si>
    <t xml:space="preserve">a.ewaida@cov.sa </t>
  </si>
  <si>
    <t>120589</t>
  </si>
  <si>
    <t>Cloud Consultancy for Digitalization &amp; Security - CCDS</t>
  </si>
  <si>
    <t>Alkhalifa Building, 2nd Floor, Al Olaya, Office 3B, Riyadh 12221</t>
  </si>
  <si>
    <t>https://maps.app.goo.gl/sfHrZ5JRyzXrkyw8A</t>
  </si>
  <si>
    <t>Samar Abughali</t>
  </si>
  <si>
    <t>+966542414771</t>
  </si>
  <si>
    <t>s.abughali@ccds.ws</t>
  </si>
  <si>
    <t>121249</t>
  </si>
  <si>
    <t>CLOUD DISTRIBUTION</t>
  </si>
  <si>
    <t>الحي، طويق،, Riyadh</t>
  </si>
  <si>
    <t>https://maps.app.goo.gl/Nkq3DfuaFbGEADS56</t>
  </si>
  <si>
    <t xml:space="preserve">Mohammed Al Ajou </t>
  </si>
  <si>
    <t>+966542651229</t>
  </si>
  <si>
    <t>121436</t>
  </si>
  <si>
    <t>Cloud Networks</t>
  </si>
  <si>
    <t>Service Road, Gulf Commercial Center,King Fahad, Riyadh</t>
  </si>
  <si>
    <t>https://maps.app.goo.gl/KFshV4t1HWg1WWSe9</t>
  </si>
  <si>
    <t>Mohammed Emmam</t>
  </si>
  <si>
    <t>+966 59 320 9959</t>
  </si>
  <si>
    <t>+966 59 320 9319 Ahmed</t>
  </si>
  <si>
    <t>Mohamed Soliman</t>
  </si>
  <si>
    <t>+966593208700</t>
  </si>
  <si>
    <t>120796</t>
  </si>
  <si>
    <t>Cloud Vision Trading Company</t>
  </si>
  <si>
    <t>121026</t>
  </si>
  <si>
    <t>Code Advanced Contracting Company</t>
  </si>
  <si>
    <t>Herman Huang</t>
  </si>
  <si>
    <t>+966531234340</t>
  </si>
  <si>
    <t>pm@bright-code.net</t>
  </si>
  <si>
    <t>120277</t>
  </si>
  <si>
    <t>Comatec SA Ltd Co.</t>
  </si>
  <si>
    <t>Haroon Al Rashed St., As Sulay, Riyadh</t>
  </si>
  <si>
    <t>https://goo.gl/maps/RqMbqqj31pBHwvJo6</t>
  </si>
  <si>
    <t xml:space="preserve">Ibrahim Abualhaija </t>
  </si>
  <si>
    <t>+966593022212</t>
  </si>
  <si>
    <t>Ibrahim.abualhaija@comatec.com.sa</t>
  </si>
  <si>
    <t>120818</t>
  </si>
  <si>
    <t>CommScope</t>
  </si>
  <si>
    <t>Prince Mamduh Bin Abdulaziz St, As Sulimaniyah, Riyadh 12242</t>
  </si>
  <si>
    <t>https://goo.gl/maps/UC4iwhS38bGdVEbr9</t>
  </si>
  <si>
    <t>Wessam Hassan Ali</t>
  </si>
  <si>
    <t>(+966)555610250</t>
  </si>
  <si>
    <t>Wessam.Hassan@commscope.com</t>
  </si>
  <si>
    <t>120512</t>
  </si>
  <si>
    <t>COMMTEL NETWORKS (FZC)</t>
  </si>
  <si>
    <t>121335</t>
  </si>
  <si>
    <t>Computer Data For Trading</t>
  </si>
  <si>
    <t>Mahmoud Samy</t>
  </si>
  <si>
    <t>+966542383906</t>
  </si>
  <si>
    <t>120677</t>
  </si>
  <si>
    <t>Connect Networks Trading Co.</t>
  </si>
  <si>
    <t>Istanbul Street, Exit - 17, Sulai, Behind Dalla Driving School, Near Aramex Warehouse</t>
  </si>
  <si>
    <t>https://goo.gl/maps/NdVAj19niFFePp418</t>
  </si>
  <si>
    <t>Noushad .M.K</t>
  </si>
  <si>
    <t>+966535088812</t>
  </si>
  <si>
    <t>Store Incharge</t>
  </si>
  <si>
    <t>Muhammed Junaid</t>
  </si>
  <si>
    <t>+966558528489</t>
  </si>
  <si>
    <t>junaid@connect.com.sa</t>
  </si>
  <si>
    <t>Local Purchasing Officer</t>
  </si>
  <si>
    <t>Al Khalidiyah Ash Shamaliyah, Dammam</t>
  </si>
  <si>
    <t>https://maps.app.goo.gl/AczRKeE1bLbsuFxK9</t>
  </si>
  <si>
    <t>Abdul Kareem</t>
  </si>
  <si>
    <t>+966530548882</t>
  </si>
  <si>
    <t>Khaled Bin Waleed Street, Jeddah</t>
  </si>
  <si>
    <t>Sudheer</t>
  </si>
  <si>
    <t>+966508886645</t>
  </si>
  <si>
    <t>Sales Incharge</t>
  </si>
  <si>
    <t>120522</t>
  </si>
  <si>
    <t>Connected Wave Communications &amp; Information Technology Co. Ltd.</t>
  </si>
  <si>
    <t>CONSOLIDATED TECHNIQUES CO.</t>
  </si>
  <si>
    <t>حي السلي, 7290 Ash Shabaniyah, RQYD7290, 3215, Riyadh 14266</t>
  </si>
  <si>
    <t>https://maps.app.goo.gl/ZtKCdNZiJHH2KGvx5</t>
  </si>
  <si>
    <t>Rifai Ahamed</t>
  </si>
  <si>
    <t>+966544775820</t>
  </si>
  <si>
    <t>Consolidated Techniques Co. Ltd. - CTC</t>
  </si>
  <si>
    <t>Ash Shabaniyah, Sulay, Riyadh</t>
  </si>
  <si>
    <t>https://maps.app.goo.gl/nZtXrYmZj4WcMGgW7</t>
  </si>
  <si>
    <t>Mohamed Rifai</t>
  </si>
  <si>
    <t>120233</t>
  </si>
  <si>
    <t>Consolidated Telecoms Co. Ltd.</t>
  </si>
  <si>
    <t>Jeddah – Mohammed Bin Abdulaziz Street</t>
  </si>
  <si>
    <t>Ahmed Al-Kaff</t>
  </si>
  <si>
    <t>+966580012672</t>
  </si>
  <si>
    <t>Consolidated Telecoms Co. Ltd. - CTELECOM</t>
  </si>
  <si>
    <t>120787</t>
  </si>
  <si>
    <t>Contractors Services Co. - CSC</t>
  </si>
  <si>
    <t>120239</t>
  </si>
  <si>
    <t>Converged Generation Communications Co. (CGC)</t>
  </si>
  <si>
    <t>CGC New Office, Ar Rabwah, Riyadh, KSA</t>
  </si>
  <si>
    <t>https://maps.app.goo.gl/8DMNoEFqpBKNQG1J6</t>
  </si>
  <si>
    <t>Ahmed Adam</t>
  </si>
  <si>
    <t>+966580262235</t>
  </si>
  <si>
    <t>ahmed.adam@cgc-sa.com</t>
  </si>
  <si>
    <t>Procurement</t>
  </si>
  <si>
    <t>Eltayeb Ahmed</t>
  </si>
  <si>
    <t>+966508195563</t>
  </si>
  <si>
    <t>Riyadh - Store</t>
  </si>
  <si>
    <t>CGC Store, Al Malaz, Riyadh</t>
  </si>
  <si>
    <t>https://maps.app.goo.gl/TmyA8wrjgEUGr151A</t>
  </si>
  <si>
    <t>altayib.ahmed@cgc-sa.com</t>
  </si>
  <si>
    <t>120043</t>
  </si>
  <si>
    <t>Convergent Technology</t>
  </si>
  <si>
    <t>PM5Q+7H3, As Sulimaniyah, Riyadh 12241</t>
  </si>
  <si>
    <t>https://goo.gl/maps/bjYj2fufSF4WKc7k8</t>
  </si>
  <si>
    <t>Mohammed Abdul Ali</t>
  </si>
  <si>
    <t>+966561778232</t>
  </si>
  <si>
    <t>mali@ctechsa.com</t>
  </si>
  <si>
    <t>120309</t>
  </si>
  <si>
    <t>Crescent East Business Est. - CEBE</t>
  </si>
  <si>
    <t>Al Muhammadiyah, Dammam</t>
  </si>
  <si>
    <t>Fahad</t>
  </si>
  <si>
    <t>+966546112030/+966507079065</t>
  </si>
  <si>
    <t>sales@cebe-tech.com</t>
  </si>
  <si>
    <t>120581</t>
  </si>
  <si>
    <t>Crystal Networks Saudi Arabia Ltd</t>
  </si>
  <si>
    <t>Cerecon bldg 15 – 4th floor – Office 403, Olaya, Riyadh, Saudi Arabia</t>
  </si>
  <si>
    <t>https://goo.gl/maps/wznE4cBubvHC8sGy7</t>
  </si>
  <si>
    <t xml:space="preserve">Jennifer Saad </t>
  </si>
  <si>
    <t>+966535454552</t>
  </si>
  <si>
    <t>jennifersaad@crystalnetworks.me</t>
  </si>
  <si>
    <t>Rosaline debes</t>
  </si>
  <si>
    <t>+966554052553</t>
  </si>
  <si>
    <t>RosalineDebes@crystalnetworks.me</t>
  </si>
  <si>
    <t>Khayat Center, 1st Floor Office 101, Jeddah, Saudi Arabia</t>
  </si>
  <si>
    <t>Balsam Saad</t>
  </si>
  <si>
    <t>+966500910878</t>
  </si>
  <si>
    <t>balsamsaad@crystalnetworks.me</t>
  </si>
  <si>
    <t>120394</t>
  </si>
  <si>
    <t>Danat Business for Information Technology</t>
  </si>
  <si>
    <t>Office No.3, Floor No.2, AL-RABIE Building, Ash Sharafiyah District، 8050، Jeddah</t>
  </si>
  <si>
    <t>https://goo.gl/maps/ibJKgBNchyhZxpos5</t>
  </si>
  <si>
    <t>Alaa Safieh</t>
  </si>
  <si>
    <t>+966566449392</t>
  </si>
  <si>
    <t>alaa@danatksa.com</t>
  </si>
  <si>
    <t>Dar Al Sulimaniah First IT</t>
  </si>
  <si>
    <t>DAS office, Prince Abdulaziz Ibn Musaid Ibn Jalawi St, Al Olaya, Riyadh</t>
  </si>
  <si>
    <t>https://maps.app.goo.gl/LYWNHXmeyKraPntj8</t>
  </si>
  <si>
    <t>Ashraf Alwaisy</t>
  </si>
  <si>
    <t>+966542900121</t>
  </si>
  <si>
    <t>Ahmed Alwaisy</t>
  </si>
  <si>
    <t>+966548993398</t>
  </si>
  <si>
    <t>Dar Al-Mubtaker Est.</t>
  </si>
  <si>
    <t>RAM International LTD.</t>
  </si>
  <si>
    <t>Imam Mohammed Bin Saud Road, An Nakheel, Riyadh 12382</t>
  </si>
  <si>
    <t>Bahaa Matar</t>
  </si>
  <si>
    <t>+966583564411</t>
  </si>
  <si>
    <t>Bahaa.Matar@ramintlco.com</t>
  </si>
  <si>
    <t>Dar AlSulimaniah First IT Company - DAS</t>
  </si>
  <si>
    <t>aal@das1-sa.com</t>
  </si>
  <si>
    <t>aalwaisy@das-sa.com</t>
  </si>
  <si>
    <t>121266</t>
  </si>
  <si>
    <t>DAR ALSULIMANIAH FOR TRADING</t>
  </si>
  <si>
    <t>Ausman</t>
  </si>
  <si>
    <t>+966580252940</t>
  </si>
  <si>
    <t>120046</t>
  </si>
  <si>
    <t>Dar Delta For Information Technolog</t>
  </si>
  <si>
    <t xml:space="preserve"> Valley, Al Malqa, Riyadh </t>
  </si>
  <si>
    <t>https://maps.app.goo.gl/BuGkcMgBCi5kkh3u6</t>
  </si>
  <si>
    <t>Salam Hilabi</t>
  </si>
  <si>
    <t>+966500370798</t>
  </si>
  <si>
    <t>Dar Delta For Information Technology</t>
  </si>
  <si>
    <t>Al Munsiyah District, An Najah St, Riyadh</t>
  </si>
  <si>
    <t>https://goo.gl/maps/KJPke2J2WLaEEejH7</t>
  </si>
  <si>
    <t>Moyaser Elfaki</t>
  </si>
  <si>
    <t>+966544975429</t>
  </si>
  <si>
    <t xml:space="preserve">moyaser@dardelta.com.sa </t>
  </si>
  <si>
    <t>Ar Rimal, Riyadh</t>
  </si>
  <si>
    <t>https://maps.app.goo.gl/296NQPKz6GRkQ3vF7</t>
  </si>
  <si>
    <t>Kashif Ahmad</t>
  </si>
  <si>
    <t>+966503548903</t>
  </si>
  <si>
    <t>kashif@dardelta.com.sa</t>
  </si>
  <si>
    <t>Store keeper</t>
  </si>
  <si>
    <t>120760</t>
  </si>
  <si>
    <t>Datacore Solutions</t>
  </si>
  <si>
    <t>120690</t>
  </si>
  <si>
    <t>Datalink Trading Company</t>
  </si>
  <si>
    <t>Exit-18 Sulay, Riyadh</t>
  </si>
  <si>
    <t>https://maps.app.goo.gl/Mr93BZDb5yezwj559</t>
  </si>
  <si>
    <t>Al Tayeb</t>
  </si>
  <si>
    <t>+966583494303</t>
  </si>
  <si>
    <t>Sameh Khalid</t>
  </si>
  <si>
    <t>+966590226997</t>
  </si>
  <si>
    <t>sameh.khaled@datalink.sa</t>
  </si>
  <si>
    <t xml:space="preserve">Procurement Specialist </t>
  </si>
  <si>
    <t>120785</t>
  </si>
  <si>
    <t>Delta Gulf</t>
  </si>
  <si>
    <t>121474</t>
  </si>
  <si>
    <t>DESERT FLOWERS TRADING</t>
  </si>
  <si>
    <t>Nizamodin</t>
  </si>
  <si>
    <t>+966592564104</t>
  </si>
  <si>
    <t>120879</t>
  </si>
  <si>
    <t>Desert Technologies Industries Co. Ltd - DT</t>
  </si>
  <si>
    <t>DT Warehouse, Ad Dahiah, Jeddah</t>
  </si>
  <si>
    <t>https://maps.app.goo.gl/6pyUberhM6WQNC1E8</t>
  </si>
  <si>
    <t xml:space="preserve">Eman </t>
  </si>
  <si>
    <t>+966544122040</t>
  </si>
  <si>
    <t>eman@desert-technologies.com</t>
  </si>
  <si>
    <t>120893</t>
  </si>
  <si>
    <t>Design and Build Contracting Company</t>
  </si>
  <si>
    <t>120049</t>
  </si>
  <si>
    <t>DETECON AL SAUDIA CO. LTD - DETASAD</t>
  </si>
  <si>
    <t>Detasad Warehouse BU-MS, Riyadh, KSA</t>
  </si>
  <si>
    <t>https://goo.gl/maps/UGAmxVn46eTZPj9N9</t>
  </si>
  <si>
    <t>Hasnain</t>
  </si>
  <si>
    <t>+966 50 016 8401</t>
  </si>
  <si>
    <t>Muhammad.Hasnain@detasad.com</t>
  </si>
  <si>
    <t>121345</t>
  </si>
  <si>
    <t>DGIT</t>
  </si>
  <si>
    <t>Imam Saud Bin Abdulaziz Bin Mohammed Rd, At Taawun, Riyadh 12473</t>
  </si>
  <si>
    <t>https://maps.app.goo.gl/kqKWxXECjZ1TwUgX9</t>
  </si>
  <si>
    <t>~Moneer</t>
  </si>
  <si>
    <t>‪+966555062177‬</t>
  </si>
  <si>
    <t>Anas AlQudsi</t>
  </si>
  <si>
    <t>‪+966 50 269 5895</t>
  </si>
  <si>
    <t>121283</t>
  </si>
  <si>
    <t>DHL Supply Chain Ltd</t>
  </si>
  <si>
    <t>121318</t>
  </si>
  <si>
    <t>Digital Myth Solutions</t>
  </si>
  <si>
    <t>Digital Vally - Al-Voip</t>
  </si>
  <si>
    <t>Digital Vally Office, King Khaled St, Al Tubayshi, Dammam</t>
  </si>
  <si>
    <t>https://maps.app.goo.gl/1Gnqmg4w4yiKDr4d9</t>
  </si>
  <si>
    <t>Mujtaba Alsaif</t>
  </si>
  <si>
    <t>+966546881027</t>
  </si>
  <si>
    <t>m.alsaif@al-voip.com</t>
  </si>
  <si>
    <t>120390</t>
  </si>
  <si>
    <t>DOLLOUNI Business Solutions Est.</t>
  </si>
  <si>
    <t>Tower-A Bin.Hadi Commercial Center Baladiah Street, Aziziah Dist. Jeddah</t>
  </si>
  <si>
    <t>GIZA OTHMAN</t>
  </si>
  <si>
    <t>+966544911110</t>
  </si>
  <si>
    <t>121051</t>
  </si>
  <si>
    <t>Dulaim Arabia Limited Company</t>
  </si>
  <si>
    <t>120860</t>
  </si>
  <si>
    <t>Dulb Trading &amp; Contracting Co. Ltd.</t>
  </si>
  <si>
    <t>120933</t>
  </si>
  <si>
    <t>Durrah Aghizat Alhaseeb</t>
  </si>
  <si>
    <t xml:space="preserve">Olaya computer market </t>
  </si>
  <si>
    <t>https://maps.app.goo.gl/PR4MtwSappWnLcYh8</t>
  </si>
  <si>
    <t xml:space="preserve"> Mohammed</t>
  </si>
  <si>
    <t>+966530157025</t>
  </si>
  <si>
    <t>Durrah Technology</t>
  </si>
  <si>
    <t>120580</t>
  </si>
  <si>
    <t>Easy Technology</t>
  </si>
  <si>
    <t>Omar Ibn Al Khattab Road Omar Ibn Al Khattab Rd, 8088, Al Malaz, Riyadh 12644</t>
  </si>
  <si>
    <t>https://maps.app.goo.gl/sqq82XbvETyk7b5v5</t>
  </si>
  <si>
    <t xml:space="preserve">Ahmad Gaber </t>
  </si>
  <si>
    <t>+966599338856</t>
  </si>
  <si>
    <t>Easy Technology - ETECHS</t>
  </si>
  <si>
    <t>Olaya avenue  2nd floor office number 4005, Riyadh, KSA</t>
  </si>
  <si>
    <t>24°42'45.1"N 46°40'21.1"E</t>
  </si>
  <si>
    <t>Mrs. Lama</t>
  </si>
  <si>
    <t>+966559393290</t>
  </si>
  <si>
    <t>lama@etech.sa.com</t>
  </si>
  <si>
    <t>121112</t>
  </si>
  <si>
    <t>Easylink Telecom And Information</t>
  </si>
  <si>
    <t>120224</t>
  </si>
  <si>
    <t>Ebttikar Technology Company Limited</t>
  </si>
  <si>
    <t>Istanbul Street, Next to Nadec Signal, Sulay, Riyadh, KSA</t>
  </si>
  <si>
    <t>https://maps.app.goo.gl/KhyW4efUt8P9Dgbq7</t>
  </si>
  <si>
    <t>Mohammed Yasin</t>
  </si>
  <si>
    <t>+966507976290</t>
  </si>
  <si>
    <t>yasin@ntg.com.sa</t>
  </si>
  <si>
    <t>Ahmed Mustafa</t>
  </si>
  <si>
    <t>+966570519757</t>
  </si>
  <si>
    <t>121079</t>
  </si>
  <si>
    <t>ECOTEL TELECOM CO</t>
  </si>
  <si>
    <t>121246</t>
  </si>
  <si>
    <t>EION WAVES EST.</t>
  </si>
  <si>
    <t>3137، 8974 الامير عبدالعزيز بن مساعد بن جلوي، المربع، الرياض 12631</t>
  </si>
  <si>
    <t>https://maps.app.goo.gl/Nmid8T3FxsjAreEy8</t>
  </si>
  <si>
    <t>Bander Al Sarmi</t>
  </si>
  <si>
    <t> +966554577070</t>
  </si>
  <si>
    <t>120941</t>
  </si>
  <si>
    <t>Ejada Systems LTD.</t>
  </si>
  <si>
    <t>El Seif Engineering Contracting Co</t>
  </si>
  <si>
    <t>https://maps.app.goo.gl/hoQARL6P9vkMiVW96</t>
  </si>
  <si>
    <t>120280</t>
  </si>
  <si>
    <t>EL-Ajou Group Trading Co.</t>
  </si>
  <si>
    <t xml:space="preserve">Diaa Ahmed </t>
  </si>
  <si>
    <t>+966535982326</t>
  </si>
  <si>
    <t>dalajou@elajougroup.com</t>
  </si>
  <si>
    <t>121122</t>
  </si>
  <si>
    <t>Electric Current Corporation EST.</t>
  </si>
  <si>
    <t xml:space="preserve"> Al-Manakh, Riyadh</t>
  </si>
  <si>
    <t>https://maps.app.goo.gl/sTcq4TVjXKkwj13H8</t>
  </si>
  <si>
    <t xml:space="preserve">Mohammed </t>
  </si>
  <si>
    <t>+966550031299</t>
  </si>
  <si>
    <t>120577</t>
  </si>
  <si>
    <t>Electric House Trading Company</t>
  </si>
  <si>
    <t>HV42+MF2, Taybah, Riyadh 14523</t>
  </si>
  <si>
    <t>https://maps.app.goo.gl/ijsb4avXvycujxw3A</t>
  </si>
  <si>
    <t>Ali Mustafa Salem</t>
  </si>
  <si>
    <t>+966547226484</t>
  </si>
  <si>
    <t>mustafa.salem@electric-house.com</t>
  </si>
  <si>
    <t>120099</t>
  </si>
  <si>
    <t>Electrical Automation Saudi Arabian</t>
  </si>
  <si>
    <t>16th Street, 2nd Industrial City, Dammam, Saudi Arabia</t>
  </si>
  <si>
    <t>https://goo.gl/maps/82JHiTp3C7hykXAPA</t>
  </si>
  <si>
    <t>Sunil Gupta</t>
  </si>
  <si>
    <t>+966562826948</t>
  </si>
  <si>
    <t>Sunil.Gupta@lntebg.com</t>
  </si>
  <si>
    <t>Alex</t>
  </si>
  <si>
    <t>+966546742359</t>
  </si>
  <si>
    <t>121435</t>
  </si>
  <si>
    <t>Electrical Engineering Solutions Es</t>
  </si>
  <si>
    <t>Rd 272, Industrial Area, Al Jubail 35721</t>
  </si>
  <si>
    <t>https://maps.app.goo.gl/tUc8AQGdgJKvW8S86</t>
  </si>
  <si>
    <t>Mahmoud Abdultawab</t>
  </si>
  <si>
    <t>+966544229659</t>
  </si>
  <si>
    <t>120642</t>
  </si>
  <si>
    <t>Electronic Company for High Technology - ALIA ICT</t>
  </si>
  <si>
    <t>120218</t>
  </si>
  <si>
    <t>Electronic Special Equipment Co. - ESE</t>
  </si>
  <si>
    <t>Al Bakriah Street, Said Ahmed Al Ajou (JVC) Warehouse - Exit 17, Al Faisaliyyah, Riyadh</t>
  </si>
  <si>
    <t>https://goo.gl/maps/HX2Y1d73bSnvoQtk8</t>
  </si>
  <si>
    <t>Mahmoud Alsaoudi</t>
  </si>
  <si>
    <t>+966542423245</t>
  </si>
  <si>
    <t>Mr. Waleed</t>
  </si>
  <si>
    <t>+966534682932</t>
  </si>
  <si>
    <t>120829</t>
  </si>
  <si>
    <t>Elite Pro Touch of Excellence</t>
  </si>
  <si>
    <t>Al Badiyah, Dammam, KSA</t>
  </si>
  <si>
    <t>0567563032</t>
  </si>
  <si>
    <t>121432</t>
  </si>
  <si>
    <t>Elm International Company Ltd</t>
  </si>
  <si>
    <t>Makkah Alawali</t>
  </si>
  <si>
    <t>https://maps.app.goo.gl/GBqU6PHCe2dEqyDx8</t>
  </si>
  <si>
    <t>Eng. Hussam Taimah</t>
  </si>
  <si>
    <t>0564541496-0550712330</t>
  </si>
  <si>
    <t>120227</t>
  </si>
  <si>
    <t>EMAAR Executives Contracting - EEC</t>
  </si>
  <si>
    <t>Riyadh - warehouse</t>
  </si>
  <si>
    <t>EEC Warehouse, Kafur, Al Murabba, Riyadh, Saudi Arabia</t>
  </si>
  <si>
    <t>https://goo.gl/maps/QXEZCRjnKjXahwpz9</t>
  </si>
  <si>
    <t>Mohamed Parwez</t>
  </si>
  <si>
    <t>‪+966 59 644 9134‬,0561471589</t>
  </si>
  <si>
    <t>Ahmed Shaltaf</t>
  </si>
  <si>
    <t>+966 59 978 8432</t>
  </si>
  <si>
    <t>a.shaltaf@eec-it.sa</t>
  </si>
  <si>
    <t>Riyadh - HO</t>
  </si>
  <si>
    <t>EEC Office, King Abdul Aziz Branch Rd, Al Muruj, Riyadh</t>
  </si>
  <si>
    <t>https://goo.gl/maps/5oyqDoBEk9f9GN48A</t>
  </si>
  <si>
    <t>Aldrin De Leon</t>
  </si>
  <si>
    <t>+966509192095</t>
  </si>
  <si>
    <t>aldrin@eec-it.sa</t>
  </si>
  <si>
    <t>Supply Chain Coordinator</t>
  </si>
  <si>
    <t>121145</t>
  </si>
  <si>
    <t>EMDAD DIGITAL</t>
  </si>
  <si>
    <t>XP43+323, King Khalid International Airport, Riyadh 13458</t>
  </si>
  <si>
    <t>https://maps.app.goo.gl/58R9rE8sMZecKgzm6</t>
  </si>
  <si>
    <t>Amr Saleh Sigma/Emdad DG</t>
  </si>
  <si>
    <t>+966562794631</t>
  </si>
  <si>
    <t>C-EMDAD</t>
  </si>
  <si>
    <t>Emdad Solutions for ICT Co.</t>
  </si>
  <si>
    <t>Emdad New Office, Al wurud, Riyadh</t>
  </si>
  <si>
    <t>https://maps.app.goo.gl/BiFwnVGeW5E624LA6</t>
  </si>
  <si>
    <t>Muzammil Sharief</t>
  </si>
  <si>
    <t>+966 54 418 0252</t>
  </si>
  <si>
    <t>msa@emdadsol.com</t>
  </si>
  <si>
    <t>Mohammed Irfan</t>
  </si>
  <si>
    <t>+966548102109</t>
  </si>
  <si>
    <t>mir@emdadsol.com</t>
  </si>
  <si>
    <t>Energy Assurance Trading Est.</t>
  </si>
  <si>
    <t>Enjaz Communication</t>
  </si>
  <si>
    <t>Enjaz office, Al Sulaymaniyah, Jeddah</t>
  </si>
  <si>
    <t>https://maps.app.goo.gl/vzhPpyTY9BPM6c699</t>
  </si>
  <si>
    <t>Ahmed Alghuzawi</t>
  </si>
  <si>
    <t>+966507257573</t>
  </si>
  <si>
    <t>a.alghuzawi@enjazcomm.com</t>
  </si>
  <si>
    <t xml:space="preserve">Projects Manager </t>
  </si>
  <si>
    <t>120896</t>
  </si>
  <si>
    <t xml:space="preserve">Enjaz Tech Trading </t>
  </si>
  <si>
    <t>120703</t>
  </si>
  <si>
    <t>Entashaar</t>
  </si>
  <si>
    <t>Al Raed, Urubah Rd, Riyadh</t>
  </si>
  <si>
    <t>https://maps.app.goo.gl/wAv3ALFJE4MRG1hs6</t>
  </si>
  <si>
    <t>Walid Saleh</t>
  </si>
  <si>
    <t>+966504497705</t>
  </si>
  <si>
    <t>w.saleh@entshaar.com</t>
  </si>
  <si>
    <t>Sharif Abdulaziz</t>
  </si>
  <si>
    <t>+966533415752</t>
  </si>
  <si>
    <t>sheref@entshaar.com</t>
  </si>
  <si>
    <t>120724</t>
  </si>
  <si>
    <t>ENTER TELECOM SERVICES</t>
  </si>
  <si>
    <t>120683</t>
  </si>
  <si>
    <t>Enwan Technology Co.</t>
  </si>
  <si>
    <t>Madinah</t>
  </si>
  <si>
    <t>Madinah, Saudi Arabia</t>
  </si>
  <si>
    <t>Nashat</t>
  </si>
  <si>
    <t>+966568699713</t>
  </si>
  <si>
    <t>Mahmoud ZainElDeen</t>
  </si>
  <si>
    <t>+966546994282</t>
  </si>
  <si>
    <t>ENZAR Operation &amp; Maintenance Co.L</t>
  </si>
  <si>
    <t>RHSA 8276, 8276 Taha Hussain, 3291، حي السليمانية، Riyadh 12223, Saudi Arabia</t>
  </si>
  <si>
    <t>https://maps.app.goo.gl/k9roizsFcrhL4z5x5</t>
  </si>
  <si>
    <t>abdulrhman</t>
  </si>
  <si>
    <t>+966593502914</t>
  </si>
  <si>
    <t>120951</t>
  </si>
  <si>
    <t>EQUIPMENT FORCE TRD EST.</t>
  </si>
  <si>
    <t>120648</t>
  </si>
  <si>
    <t>Ersal Contracting  Est.</t>
  </si>
  <si>
    <t>120756</t>
  </si>
  <si>
    <t>Eshraq Aljazeera Technologies-EJ TECH</t>
  </si>
  <si>
    <t>As Sulay، 8065، 3219, Riyadh 14275</t>
  </si>
  <si>
    <t>https://maps.app.goo.gl/Nqw2trsEzbWXrLjy9</t>
  </si>
  <si>
    <t>Abdulkarem </t>
  </si>
  <si>
    <t>+966550334123</t>
  </si>
  <si>
    <t>121372</t>
  </si>
  <si>
    <t>Est Abdalla Heba for security Surve</t>
  </si>
  <si>
    <t>QHCF+R64 Diriyah</t>
  </si>
  <si>
    <t>https://maps.app.goo.gl/cRo2ux6NCgmD7BmC7</t>
  </si>
  <si>
    <t>Mohammed Ibrahim</t>
  </si>
  <si>
    <t>+966549008929</t>
  </si>
  <si>
    <t>120894</t>
  </si>
  <si>
    <t>Establishment &amp; Finishing Company</t>
  </si>
  <si>
    <t>121404</t>
  </si>
  <si>
    <t>ESTABLISHMENT ALABAD ALMUKAABA ALF</t>
  </si>
  <si>
    <t>7632+VRQ Al Khobar</t>
  </si>
  <si>
    <t>https://maps.app.goo.gl/NHQeLvJLzrdUtzJb8</t>
  </si>
  <si>
    <t>Zohaib Aslam Malik</t>
  </si>
  <si>
    <t>+966501039324</t>
  </si>
  <si>
    <t xml:space="preserve">ESTABLISHMENT ALABAD ALMUKAABA ALFESTABLISHMENT </t>
  </si>
  <si>
    <t>Establishment ANZAMA AL- NAWAA MOUHD</t>
  </si>
  <si>
    <t xml:space="preserve"> Al Malqa, Riyadh</t>
  </si>
  <si>
    <t>https://maps.app.goo.gl/TApMxNqHJvCTkqMUA</t>
  </si>
  <si>
    <t>Abdulrahman</t>
  </si>
  <si>
    <t>+966538018617</t>
  </si>
  <si>
    <t>120795</t>
  </si>
  <si>
    <t>Etad Solutions</t>
  </si>
  <si>
    <t>QQVF+WFJ Al Yarmuk, Riyadh</t>
  </si>
  <si>
    <t>https://maps.app.goo.gl/ZWJBVvCCByTpP8Sf9</t>
  </si>
  <si>
    <t>Noor</t>
  </si>
  <si>
    <t>+966538791927</t>
  </si>
  <si>
    <t>120497</t>
  </si>
  <si>
    <t>Etesalat Innovation</t>
  </si>
  <si>
    <t xml:space="preserve">AS shati, King Abdul Aziz Rd, Amalkis Center, Jeddah, KSA </t>
  </si>
  <si>
    <t xml:space="preserve">https://goo.gl/maps/ntQvmdc4mFyRSxnE9 </t>
  </si>
  <si>
    <t>Hossam A. Saleh</t>
  </si>
  <si>
    <t>+966543000240</t>
  </si>
  <si>
    <t>hsaleh@etesalat-innovations.com</t>
  </si>
  <si>
    <t>Managing Director</t>
  </si>
  <si>
    <t>Kaber</t>
  </si>
  <si>
    <t>+966536004166</t>
  </si>
  <si>
    <t>Evolving Constellation Co. for Energy</t>
  </si>
  <si>
    <t>120866</t>
  </si>
  <si>
    <t>Ewan Human Resources Company</t>
  </si>
  <si>
    <t>Almuruj, Riyadh, KSA</t>
  </si>
  <si>
    <t>https://maps.app.goo.gl/tGP7QqF2m7dqymLk8</t>
  </si>
  <si>
    <t>121461</t>
  </si>
  <si>
    <t>Excellent Solutions</t>
  </si>
  <si>
    <t>PM7C+8WW Al Wurud, Riyadh</t>
  </si>
  <si>
    <t>https://maps.app.goo.gl/jyLMu8UTB3yQtdWPA</t>
  </si>
  <si>
    <t xml:space="preserve">Mr. Azam </t>
  </si>
  <si>
    <t>+966502841480</t>
  </si>
  <si>
    <t xml:space="preserve">Fazle Ahmed Danish </t>
  </si>
  <si>
    <t>+966569364950</t>
  </si>
  <si>
    <t>Executive Corner Trading Co. - Kangaroo Tools</t>
  </si>
  <si>
    <t>Prince Mamduh Bin Abdulaziz St, As Sulimaniyah, Riyadh</t>
  </si>
  <si>
    <t>https://maps.app.goo.gl/SE781BtEuWQZJwXy9</t>
  </si>
  <si>
    <t>Anas Wishah</t>
  </si>
  <si>
    <t>+966559614143</t>
  </si>
  <si>
    <t>+966509550053</t>
  </si>
  <si>
    <t>Ziad Jalal</t>
  </si>
  <si>
    <t>+966559389891</t>
  </si>
  <si>
    <t>ziad@kangarootools.com</t>
  </si>
  <si>
    <t>121095</t>
  </si>
  <si>
    <t>Expert Systems</t>
  </si>
  <si>
    <t>121324</t>
  </si>
  <si>
    <t>Experts Academy Trading Est</t>
  </si>
  <si>
    <t xml:space="preserve">Ahmed </t>
  </si>
  <si>
    <t>Mahmoud rizk</t>
  </si>
  <si>
    <t>+966568789292</t>
  </si>
  <si>
    <t>121454</t>
  </si>
  <si>
    <t>Fadera Information Technology</t>
  </si>
  <si>
    <t>Yousaf</t>
  </si>
  <si>
    <t>+966509446920</t>
  </si>
  <si>
    <t>120755</t>
  </si>
  <si>
    <t>Fast Computers Trading Co.</t>
  </si>
  <si>
    <t>Computer Market, Olaya St, Al Olaya, Riyadh</t>
  </si>
  <si>
    <t>https://maps.app.goo.gl/EZ8LFkZcKGHCPptKA</t>
  </si>
  <si>
    <t>Ali Gomaa</t>
  </si>
  <si>
    <t>+966563968357</t>
  </si>
  <si>
    <t>Mohamed Radwan</t>
  </si>
  <si>
    <t>+966549068568 </t>
  </si>
  <si>
    <t>radwan@fastcompu.com</t>
  </si>
  <si>
    <t>121070</t>
  </si>
  <si>
    <t>First Gulf Company</t>
  </si>
  <si>
    <t>Makkah Road, Opp. to King Fahad Medical City, Bld. 362 (2169) Gr Floor / 8047, Al Sulaymaniyah, Riyadh</t>
  </si>
  <si>
    <t>Khalid Walid</t>
  </si>
  <si>
    <t>+966554120715</t>
  </si>
  <si>
    <t>khalid.hussin@fgc.sa</t>
  </si>
  <si>
    <t>Senior Procurement Officer</t>
  </si>
  <si>
    <t>Irfan Khan</t>
  </si>
  <si>
    <t>+966551691157</t>
  </si>
  <si>
    <t>121362</t>
  </si>
  <si>
    <t>Forat electronic systems co.</t>
  </si>
  <si>
    <t>121274</t>
  </si>
  <si>
    <t>Forevision Trading Company</t>
  </si>
  <si>
    <t xml:space="preserve"> Makkah</t>
  </si>
  <si>
    <t>https://maps.app.goo.gl/3WoidmicLy9eBZsh9</t>
  </si>
  <si>
    <t xml:space="preserve">Engr. Mohamed Reda    </t>
  </si>
  <si>
    <t>+966543730993</t>
  </si>
  <si>
    <t>121316</t>
  </si>
  <si>
    <t>Fouj Tech</t>
  </si>
  <si>
    <t>G59P+383, Khaled Ibn Al Walid، شارع عقبة بن نافع, Jeddah</t>
  </si>
  <si>
    <t>https://maps.app.goo.gl/J34mVKTn9yTqA22Z9</t>
  </si>
  <si>
    <t> Shahab Khan</t>
  </si>
  <si>
    <t> +966500592523   /  +966555922896</t>
  </si>
  <si>
    <t>120898</t>
  </si>
  <si>
    <t>Four Links Trading Est Co.</t>
  </si>
  <si>
    <t>Khalid Bin Walid St. Al Sharfiyah District, Jeddah</t>
  </si>
  <si>
    <t>Mohsin Khan Ghori</t>
  </si>
  <si>
    <t>+966546741666</t>
  </si>
  <si>
    <t>mghori@frlinks.com</t>
  </si>
  <si>
    <t>120722</t>
  </si>
  <si>
    <t>Front Line Business Solutions</t>
  </si>
  <si>
    <t>Kuwaiti Askan Building No.12, Dabbab Street, AL Olayya, Riyadh, KSA</t>
  </si>
  <si>
    <t>https://maps.app.goo.gl/CGJwvXfQWQ62t7eB8</t>
  </si>
  <si>
    <t>Muhammed Abdullah</t>
  </si>
  <si>
    <t>+966566362291</t>
  </si>
  <si>
    <t>m.abdullah@frontline.sa</t>
  </si>
  <si>
    <t>Procurement Manager</t>
  </si>
  <si>
    <t>Shahid Parvez</t>
  </si>
  <si>
    <t>+966563817369</t>
  </si>
  <si>
    <t>shahid@frontline.sa</t>
  </si>
  <si>
    <t>Technical Service Delivery Manager</t>
  </si>
  <si>
    <t>120587</t>
  </si>
  <si>
    <t xml:space="preserve">Full Control for Information technology </t>
  </si>
  <si>
    <t>AL-KHOBAR</t>
  </si>
  <si>
    <t>Nazir</t>
  </si>
  <si>
    <t>+966509732383</t>
  </si>
  <si>
    <t>120995</t>
  </si>
  <si>
    <t>Future path - Future projects</t>
  </si>
  <si>
    <t xml:space="preserve"> Dhul Hulaifah, Madinah 42393</t>
  </si>
  <si>
    <t>https://maps.app.goo.gl/pYeLbY8ee7rfrH3X6</t>
  </si>
  <si>
    <t>Abdullah Murad</t>
  </si>
  <si>
    <t>+966544424748</t>
  </si>
  <si>
    <t>121111</t>
  </si>
  <si>
    <t>FUTURE POWER TRADING CO.</t>
  </si>
  <si>
    <t>Ahmed Kasem</t>
  </si>
  <si>
    <t>+</t>
  </si>
  <si>
    <t>120695</t>
  </si>
  <si>
    <t>Future Solutions for Telecom &amp; IT</t>
  </si>
  <si>
    <t>Abdulaziz Bin Heteb St, Madinat Al Umal, Al Khobar, Saudi Arabia</t>
  </si>
  <si>
    <t>https://goo.gl/maps/q7ihCJo5Tpr5pLLcA</t>
  </si>
  <si>
    <t>Ritchie G. Dimaano</t>
  </si>
  <si>
    <t>+96655-860-8898</t>
  </si>
  <si>
    <t>ritchiedimaano@futsol.com.sa</t>
  </si>
  <si>
    <t>121437</t>
  </si>
  <si>
    <t>Future technology LTD company</t>
  </si>
  <si>
    <t>WP75+VVH King Khalid International Airport, Riyadh</t>
  </si>
  <si>
    <t>https://maps.app.goo.gl/GdtrtFv4r6jY4fFc8</t>
  </si>
  <si>
    <t>Eng.Anwar</t>
  </si>
  <si>
    <t>+966593735022</t>
  </si>
  <si>
    <t>120065</t>
  </si>
  <si>
    <t>Futuretech Limited CO</t>
  </si>
  <si>
    <t>Abi Bakr As Siddiq Rd, Alyasmin, Riyadh, KSA</t>
  </si>
  <si>
    <t>https://goo.gl/maps/2kgjSW6eaeXURXmq5</t>
  </si>
  <si>
    <t xml:space="preserve">Abubaker </t>
  </si>
  <si>
    <t>+966 50 297 6963</t>
  </si>
  <si>
    <t>a.bamajboor@futuretech-group.com</t>
  </si>
  <si>
    <t>120715</t>
  </si>
  <si>
    <t>FUZAIL ALARABIA</t>
  </si>
  <si>
    <t>Gulf Applications Company - GAPP</t>
  </si>
  <si>
    <t>GAPP NEW Office</t>
  </si>
  <si>
    <t>https://maps.app.goo.gl/7FKScD2b5tSYfu1y9</t>
  </si>
  <si>
    <t>~Asad Ullah</t>
  </si>
  <si>
    <t>+966597270315</t>
  </si>
  <si>
    <t>121088</t>
  </si>
  <si>
    <t>Gapp Swap Center</t>
  </si>
  <si>
    <t>120823</t>
  </si>
  <si>
    <t>GATE ALFAIN TRADING CO.</t>
  </si>
  <si>
    <t>120199</t>
  </si>
  <si>
    <t>Gate Systems</t>
  </si>
  <si>
    <t>Olaya, Computer Market, Riyadh, KSA</t>
  </si>
  <si>
    <t>120068</t>
  </si>
  <si>
    <t>Geer ICT Company</t>
  </si>
  <si>
    <t>120461</t>
  </si>
  <si>
    <t>G-Enviro Investment Co.</t>
  </si>
  <si>
    <t>Mohamed Maly</t>
  </si>
  <si>
    <t>+966555165210</t>
  </si>
  <si>
    <t>mohammed.maly@g-enviro.com</t>
  </si>
  <si>
    <t>Ghaya Sharqiah Information - GHITCO</t>
  </si>
  <si>
    <t>Hesham Gouda</t>
  </si>
  <si>
    <t>+966561743572</t>
  </si>
  <si>
    <t>H.gouda@ghitco.com</t>
  </si>
  <si>
    <t>Procurement Head</t>
  </si>
  <si>
    <t>120384</t>
  </si>
  <si>
    <t>Global Business Solutions - GBS</t>
  </si>
  <si>
    <t>GBS Office, 1st Floor Al Mousa Tower, Al Olaya, Riyadh</t>
  </si>
  <si>
    <t>https://goo.gl/maps/Uor6XC4cRnm7Dxrh7</t>
  </si>
  <si>
    <t>Muhammed Thouseef</t>
  </si>
  <si>
    <t>+966536823439</t>
  </si>
  <si>
    <t>Thouseef@gbs.com.sa</t>
  </si>
  <si>
    <t>GBS Office, King Abdul Aziz Street, Opp. ANB Regional Head Office, Khobar</t>
  </si>
  <si>
    <t>https://maps.app.goo.gl/fTnFeLsKwDA2rKmu7</t>
  </si>
  <si>
    <t>Noufal Nasar</t>
  </si>
  <si>
    <t>+966556025200</t>
  </si>
  <si>
    <t>Noufal@gbs.com.sa</t>
  </si>
  <si>
    <t>120997</t>
  </si>
  <si>
    <t xml:space="preserve">GLOBAL TECH NETWORKING AND SOLUTION </t>
  </si>
  <si>
    <t>120452</t>
  </si>
  <si>
    <t>Global Technologies Co. - GT</t>
  </si>
  <si>
    <t>GT WH, AlMashael, Riyadh, KSA</t>
  </si>
  <si>
    <t>https://maps.app.goo.gl/GKk86XqyiimaQGop8</t>
  </si>
  <si>
    <t>Abdulrahim</t>
  </si>
  <si>
    <t>+966 56 726 0894</t>
  </si>
  <si>
    <t>Mohamed Ali</t>
  </si>
  <si>
    <t>+966532524107</t>
  </si>
  <si>
    <t>m.ali@gt-ict.com</t>
  </si>
  <si>
    <t>Supply Chain Director</t>
  </si>
  <si>
    <t>120814</t>
  </si>
  <si>
    <t xml:space="preserve">Gold Star Information Technology </t>
  </si>
  <si>
    <t>Al Muruj, Riyadh</t>
  </si>
  <si>
    <t>https://goo.gl/maps/Sm6LbCP9BAJE2MTL8</t>
  </si>
  <si>
    <t>+966 50 779 0060</t>
  </si>
  <si>
    <t>aymanokal@gstarit.com</t>
  </si>
  <si>
    <t>120180</t>
  </si>
  <si>
    <t>Golden First Co.</t>
  </si>
  <si>
    <t>121089</t>
  </si>
  <si>
    <t>GREEN TRADING COMPANY</t>
  </si>
  <si>
    <t>121068</t>
  </si>
  <si>
    <t>Green Way Company Ltd</t>
  </si>
  <si>
    <t>Prince saud bin Abdul Aziz alkabeer street, Al Quds, Riyadh</t>
  </si>
  <si>
    <t>https://maps.app.goo.gl/hKqoML5z1KigKbyeA</t>
  </si>
  <si>
    <t>Mustafa Hussain</t>
  </si>
  <si>
    <t>+966543210853</t>
  </si>
  <si>
    <t>Ahmad nassar</t>
  </si>
  <si>
    <t>+966 55 121 8823</t>
  </si>
  <si>
    <t>Riyadh - Head Office</t>
  </si>
  <si>
    <t>GAPP Office, Apartment 5001, 50th Floor, Orubah Street, Riyadh, KSA</t>
  </si>
  <si>
    <t>https://goo.gl/maps/YYLzkKzmByTNbMYZ7</t>
  </si>
  <si>
    <t>Samer Wathaifi</t>
  </si>
  <si>
    <t>+966 55 297 5001</t>
  </si>
  <si>
    <t>samer@gapp.com.sa</t>
  </si>
  <si>
    <t>Aamir Farooq</t>
  </si>
  <si>
    <t>+966593356731</t>
  </si>
  <si>
    <t>aamir@gapp.com.sa</t>
  </si>
  <si>
    <t>Riyadh - WH1</t>
  </si>
  <si>
    <t>Main warehouse, Muhammad Ibn Al Bashir Street, As Sulay district, Riyadh</t>
  </si>
  <si>
    <t>https://maps.app.goo.gl/Vshbf7Yr9EGazK7g6</t>
  </si>
  <si>
    <t>Prabin Subedi</t>
  </si>
  <si>
    <t>+966552807139</t>
  </si>
  <si>
    <t>prs@gapp.com.sa</t>
  </si>
  <si>
    <t>+966570847252</t>
  </si>
  <si>
    <t>deepak@gapp.com.sa</t>
  </si>
  <si>
    <t>Riyadh - WH2</t>
  </si>
  <si>
    <t>GAPP 2nd Store, AlManakh, Riyadh</t>
  </si>
  <si>
    <t>https://maps.app.goo.gl/3uUUo1kfs4D6Xkxm8</t>
  </si>
  <si>
    <t>Ibrahim Othman</t>
  </si>
  <si>
    <t>+966537876546</t>
  </si>
  <si>
    <t>ibrahim@gapp.com.sa</t>
  </si>
  <si>
    <t>Riyadh - WH3</t>
  </si>
  <si>
    <t>GAPP 3rd Store, As sulay, Riyadh</t>
  </si>
  <si>
    <t>https://maps.app.goo.gl/1dv7SPsVQWFRGQE7A</t>
  </si>
  <si>
    <t>SE - RMA</t>
  </si>
  <si>
    <t>Near AJEX New hub, As Sulay, Riyadh</t>
  </si>
  <si>
    <t>https://maps.app.goo.gl/1R6A7egLWjuSWB2A6</t>
  </si>
  <si>
    <t>Schneider  Office 2</t>
  </si>
  <si>
    <t>Al Olaya, Riyadh Schneider office</t>
  </si>
  <si>
    <t>Zakriya Office</t>
  </si>
  <si>
    <t>+966598404702</t>
  </si>
  <si>
    <t>120789</t>
  </si>
  <si>
    <t>Gulf Boost IT Solution</t>
  </si>
  <si>
    <t>120942</t>
  </si>
  <si>
    <t>GULF COMPUTER SERVICES CO</t>
  </si>
  <si>
    <t xml:space="preserve">Ahmed Al-Wahidi </t>
  </si>
  <si>
    <t>+966509974560</t>
  </si>
  <si>
    <t>ahmed.alwahidi@gulf.sa</t>
  </si>
  <si>
    <t>120310</t>
  </si>
  <si>
    <t>Gulf Mountain Contracting Est</t>
  </si>
  <si>
    <t>120209</t>
  </si>
  <si>
    <t>Gulf Solution Telecommunication Technology - GSTT</t>
  </si>
  <si>
    <t>Gulf Solutions Company</t>
  </si>
  <si>
    <t>120768</t>
  </si>
  <si>
    <t>Gulf Systems Company</t>
  </si>
  <si>
    <t>Al Manakh Exit 18 Near Yamama Cement Factory Riyadh KSA</t>
  </si>
  <si>
    <t>https://goo.gl/maps/Fnwy5xJzRpfZeDqK6</t>
  </si>
  <si>
    <t>Abdullah Mohsin</t>
  </si>
  <si>
    <t>+966537651873/+966509172838</t>
  </si>
  <si>
    <t>amohsin@gulfsystems.com.sa</t>
  </si>
  <si>
    <t>120639</t>
  </si>
  <si>
    <t>Haji Abdullah Alireza &amp; Co. Ltd - GENTEC</t>
  </si>
  <si>
    <t>Jeddah Islamic Port, Gate No. 6, Jeddah, Saudi Arabia</t>
  </si>
  <si>
    <t>https://goo.gl/maps/1ZvToFYvLXwQqf8H8</t>
  </si>
  <si>
    <t>Wael Salem</t>
  </si>
  <si>
    <t>+966593036640</t>
  </si>
  <si>
    <t>121082</t>
  </si>
  <si>
    <t>HAMAAT</t>
  </si>
  <si>
    <t>120612</t>
  </si>
  <si>
    <t>HANWHA TECHWIN MIDDLE EAST FZE</t>
  </si>
  <si>
    <t>Hanwha Office, Centria Mall, Olaya Street, Riyadh, Saudi Arabia</t>
  </si>
  <si>
    <t>https://goo.gl/maps/76JwfgHPBmACAGm5A</t>
  </si>
  <si>
    <t xml:space="preserve">Karim Majzoub </t>
  </si>
  <si>
    <t>+966 56 690 8294</t>
  </si>
  <si>
    <t>karim.m@hanwha.com</t>
  </si>
  <si>
    <t>121085</t>
  </si>
  <si>
    <t>HARD DISK COMPANY FOR INFORMATION T</t>
  </si>
  <si>
    <t>https://maps.app.goo.gl/DrzEZ8YmMrwjzJdw7</t>
  </si>
  <si>
    <t>Ehab</t>
  </si>
  <si>
    <t>+966560612126</t>
  </si>
  <si>
    <t>Hard Disk Company For Information Technology</t>
  </si>
  <si>
    <t>120076</t>
  </si>
  <si>
    <t>Hasoub Solutions Builders Co(HASOUB</t>
  </si>
  <si>
    <t>Qaid</t>
  </si>
  <si>
    <t>+966551002162</t>
  </si>
  <si>
    <t>Hasoub Solutions Builders Co(HASOUB)</t>
  </si>
  <si>
    <t>F58C+269 King Abdullah Economic City</t>
  </si>
  <si>
    <t>https://maps.app.goo.gl/VzG3TSRBshVQrpPS6</t>
  </si>
  <si>
    <t>Ahmed Mak</t>
  </si>
  <si>
    <t>+966565768180</t>
  </si>
  <si>
    <t>Hasoub Solutions Builders Co. - HASOUB</t>
  </si>
  <si>
    <t xml:space="preserve">Bani Khidrah, Madinah </t>
  </si>
  <si>
    <t>https://maps.google.com/?q=24.464615,39.612850 </t>
  </si>
  <si>
    <t>Eng. Alaa Sharabi  </t>
  </si>
  <si>
    <t>+966598358600</t>
  </si>
  <si>
    <t>alaa.sharabi@hsb.com.sa</t>
  </si>
  <si>
    <t>Shebh Al Jazira rd, Exit 16, Near Kudu Resturant, As Sulay, Riyadh</t>
  </si>
  <si>
    <t>https://maps.app.goo.gl/MjZWRef7dKmTp8DY8</t>
  </si>
  <si>
    <t xml:space="preserve">Fayyaz Uddin </t>
  </si>
  <si>
    <t>+966567125612</t>
  </si>
  <si>
    <t>121472</t>
  </si>
  <si>
    <t>Hassan Allam Construction Saudi</t>
  </si>
  <si>
    <t>Neom – Gayal Beach</t>
  </si>
  <si>
    <t> 3VF4+Q2G, Gayal 49726</t>
  </si>
  <si>
    <t xml:space="preserve">Mohamed EL-Sawy </t>
  </si>
  <si>
    <t>+966557864904</t>
  </si>
  <si>
    <t>120671</t>
  </si>
  <si>
    <t>Hawsabah IT Company</t>
  </si>
  <si>
    <t>Al Muruj, Riyadh, Saudi Arabia</t>
  </si>
  <si>
    <t>https://goo.gl/maps/Q9xRJeB8xLjT4oUdA</t>
  </si>
  <si>
    <t>Mahmoud AL Safadi</t>
  </si>
  <si>
    <t>+966555302523</t>
  </si>
  <si>
    <t>m.safadi@hawsabah.sa</t>
  </si>
  <si>
    <t>Procurement Specialist</t>
  </si>
  <si>
    <t xml:space="preserve">Gilbert castigo </t>
  </si>
  <si>
    <t>+966551647269</t>
  </si>
  <si>
    <t>g.castigo@hawsabah.sa</t>
  </si>
  <si>
    <t>Warehouse Assistant</t>
  </si>
  <si>
    <t>120769</t>
  </si>
  <si>
    <t>HIDDEN SYSTEM SECURITY</t>
  </si>
  <si>
    <t>120680</t>
  </si>
  <si>
    <t>High Point Driven by Service Quality</t>
  </si>
  <si>
    <t>5th Floor, El Saif Building, Computer Market, Olaya, Riyadh, KSA</t>
  </si>
  <si>
    <t>https://goo.gl/maps/MGMeFMcxjoewYqsF7</t>
  </si>
  <si>
    <t>Medhat Elaraby</t>
  </si>
  <si>
    <t>+966 54 444 2537</t>
  </si>
  <si>
    <t>121348</t>
  </si>
  <si>
    <t>High Target Trading Company</t>
  </si>
  <si>
    <t>FJP9+F78 Madinah</t>
  </si>
  <si>
    <t>https://maps.app.goo.gl/3L5QFswyK8ebE4ie9</t>
  </si>
  <si>
    <t xml:space="preserve">Yossef Hussain </t>
  </si>
  <si>
    <t>+966502170346</t>
  </si>
  <si>
    <t>120004</t>
  </si>
  <si>
    <t>Hitachi Energy Ltd</t>
  </si>
  <si>
    <t>New Industrial Area, Riyadh, Saudi Arabia</t>
  </si>
  <si>
    <t>https://maps.app.goo.gl/kjqnPmMG11Manjyi6</t>
  </si>
  <si>
    <t xml:space="preserve">Rabee Teringano </t>
  </si>
  <si>
    <t>+966569033545</t>
  </si>
  <si>
    <t>rabee.teringano@hitachienergy.com</t>
  </si>
  <si>
    <t xml:space="preserve">Ammar ElTahir      </t>
  </si>
  <si>
    <t>+966501702561</t>
  </si>
  <si>
    <t>Ammar.ElTahir@hitachienergy.com</t>
  </si>
  <si>
    <t>120077</t>
  </si>
  <si>
    <t>Honeywell Turki Arabia Limited</t>
  </si>
  <si>
    <t>WPX4+MMW King Khalid International Airport, Riyadh</t>
  </si>
  <si>
    <t>https://maps.app.goo.gl/Lp7PTje4s2oYQ6rx5</t>
  </si>
  <si>
    <t>Mahmoud Fathy</t>
  </si>
  <si>
    <t>+966508836259</t>
  </si>
  <si>
    <t>120698</t>
  </si>
  <si>
    <t>HORIZONS CONTRACTING CO</t>
  </si>
  <si>
    <t>120078</t>
  </si>
  <si>
    <t>Hoshan Group</t>
  </si>
  <si>
    <t>120287</t>
  </si>
  <si>
    <t>Huawei Tech. Investment Saudi Arabia Co. Ltd</t>
  </si>
  <si>
    <t>Riyadh - Huawei C-Center</t>
  </si>
  <si>
    <t>C-Center, Tahlia Road, Riyadh, KSA</t>
  </si>
  <si>
    <t>https://goo.gl/maps/VjuaHDUXmPKhfKCG7</t>
  </si>
  <si>
    <t>Riyadh - Huawei Warehouse</t>
  </si>
  <si>
    <t>Huawei warehouse, Mohiddib Compound, Al Mashael, Riyadh, KSA</t>
  </si>
  <si>
    <t>https://goo.gl/maps/1FwhABX3wCsxoG6E8</t>
  </si>
  <si>
    <t>Mohammed Shafi</t>
  </si>
  <si>
    <t>+966 56 403 6580</t>
  </si>
  <si>
    <t>shafi@nammacargo.com</t>
  </si>
  <si>
    <t>120558</t>
  </si>
  <si>
    <t>Hulool Al Sahabah for IT &amp; Communication</t>
  </si>
  <si>
    <t>120080</t>
  </si>
  <si>
    <t>Ideal Network Solutions - INS</t>
  </si>
  <si>
    <t>Prince Sultan Bin Abdulaziz Rd, Al Olaya, Riyadh 11564</t>
  </si>
  <si>
    <t>https://goo.gl/maps/MK93aocnUkj1FM2K8</t>
  </si>
  <si>
    <t>Nouman Akbar</t>
  </si>
  <si>
    <t>+966581378011</t>
  </si>
  <si>
    <t>logistic-riyadh@ins-sa.com</t>
  </si>
  <si>
    <t xml:space="preserve">Office Manager - Riyadh </t>
  </si>
  <si>
    <t>120684</t>
  </si>
  <si>
    <t>Import House Office for Trading Services</t>
  </si>
  <si>
    <t>Infinity Work Trading Company - INF</t>
  </si>
  <si>
    <t>Jubail - Warehouse</t>
  </si>
  <si>
    <t>INF WH, Jubail, KSA</t>
  </si>
  <si>
    <t>Nabeel Jawwy</t>
  </si>
  <si>
    <t>+966531330438</t>
  </si>
  <si>
    <t>Praveen K.C.</t>
  </si>
  <si>
    <t>+966539138940</t>
  </si>
  <si>
    <t>sales-it@infinitygcc.com</t>
  </si>
  <si>
    <t>120808</t>
  </si>
  <si>
    <t>INFORMATION TOWER - IT</t>
  </si>
  <si>
    <t>7464 Al Kurnaysh Br Rd، حي الشاطئ، 3542, Jeddah 23412</t>
  </si>
  <si>
    <t>https://goo.gl/maps/iaErAtapSgFM4Mqv6</t>
  </si>
  <si>
    <t>Asim Awad</t>
  </si>
  <si>
    <t>+966531035351</t>
  </si>
  <si>
    <t>121199</t>
  </si>
  <si>
    <t>InfoTech International co</t>
  </si>
  <si>
    <t>Amanullah Akbar</t>
  </si>
  <si>
    <t>+966590613206</t>
  </si>
  <si>
    <t>120566</t>
  </si>
  <si>
    <t>Innovative Contractors For Advanced Dimensions - ICAD</t>
  </si>
  <si>
    <t>ICAD L01 Warehouse, Tuwaiq, Riyadh, Saudi Arabia</t>
  </si>
  <si>
    <t>https://goo.gl/maps/KCyJaaiayyXnMATFA</t>
  </si>
  <si>
    <t>Walid Suleiman</t>
  </si>
  <si>
    <t>+966 54 041 5797</t>
  </si>
  <si>
    <t>Shemnad Basheer</t>
  </si>
  <si>
    <t>+966556001037</t>
  </si>
  <si>
    <t>Al Nuzhah, Jeddah 2111,KSA.</t>
  </si>
  <si>
    <t>https://maps.app.goo.gl/USjSdbJR7YkZ9EENA</t>
  </si>
  <si>
    <t xml:space="preserve">Sethu Kumar </t>
  </si>
  <si>
    <t>+966553001974</t>
  </si>
  <si>
    <t>120858</t>
  </si>
  <si>
    <t>Integrated Entity</t>
  </si>
  <si>
    <t>Amr Hassan</t>
  </si>
  <si>
    <t>+966540524520,+966561700181</t>
  </si>
  <si>
    <t>ahasan@integratedentity.com.sa</t>
  </si>
  <si>
    <t>120810</t>
  </si>
  <si>
    <t>Integrated Network Solutions Co.LLC</t>
  </si>
  <si>
    <t>Al Olaya, Riyadh</t>
  </si>
  <si>
    <t>https://maps.app.goo.gl/W9kVUQQYE9ufQ1wu7</t>
  </si>
  <si>
    <t xml:space="preserve"> As Sulay, Riyadh</t>
  </si>
  <si>
    <t>https://maps.app.goo.gl/PLkMz6rhHrWHm8ky7</t>
  </si>
  <si>
    <t>120090</t>
  </si>
  <si>
    <t>Integrated Networks Co. - INET</t>
  </si>
  <si>
    <t>Al-Tawuniya Towers, 16th floor, South Tower, Olaya Distt, King Fahad Road, Riyadh</t>
  </si>
  <si>
    <t>https://maps.app.goo.gl/GJfBzbn9TMT1MooG7</t>
  </si>
  <si>
    <t>Fahad Taher</t>
  </si>
  <si>
    <t>+966596985004</t>
  </si>
  <si>
    <t>Ghaida Ghayeb</t>
  </si>
  <si>
    <t>+966551128093</t>
  </si>
  <si>
    <t>g.ghayeb@inet.sa</t>
  </si>
  <si>
    <t>Procurement coordinator</t>
  </si>
  <si>
    <t>Integrated Power For Technology</t>
  </si>
  <si>
    <t xml:space="preserve">Jeddah Khumra Warehouse. </t>
  </si>
  <si>
    <t xml:space="preserve">Mr. Mohammad Nahed </t>
  </si>
  <si>
    <t>+966570784211</t>
  </si>
  <si>
    <t>120775</t>
  </si>
  <si>
    <t>Integrated Support Services - ISS</t>
  </si>
  <si>
    <t>Umar Ibn Abdul Aziz Br Rd, Az Zahra, Riyadh 12815, Saudi Arabia</t>
  </si>
  <si>
    <t>https://goo.gl/maps/q9U4F2PJE4kQ1TPYA</t>
  </si>
  <si>
    <t>Nouf Talal</t>
  </si>
  <si>
    <t>+966 54 303 7823</t>
  </si>
  <si>
    <t>120501</t>
  </si>
  <si>
    <t>Intelligent Business for Communications &amp; IT ( IB TECH )</t>
  </si>
  <si>
    <t>120802</t>
  </si>
  <si>
    <t>Intelligent Contracting and Information technology (ICIT)</t>
  </si>
  <si>
    <t xml:space="preserve"> Al Washm St, Al Murabba, Riyadh</t>
  </si>
  <si>
    <t>https://goo.gl/maps/ikhgjYTWfpRUqa5q8</t>
  </si>
  <si>
    <t xml:space="preserve">Syed Abdul Qayyum </t>
  </si>
  <si>
    <t>+966503281560</t>
  </si>
  <si>
    <t>s.abdulqayyum@icit-grp.com</t>
  </si>
  <si>
    <t>120524</t>
  </si>
  <si>
    <t>Intelligent Control Technology (ICT)</t>
  </si>
  <si>
    <t>ICT Office, King Abdullah Branch Rd, Al Mursilat, Riyadh</t>
  </si>
  <si>
    <t>https://maps.app.goo.gl/WUZEx2GbmiTbSQh37</t>
  </si>
  <si>
    <t>Mohamad  Salloum</t>
  </si>
  <si>
    <t>+966509625125</t>
  </si>
  <si>
    <t>m.salloum@ict-smart.com</t>
  </si>
  <si>
    <t>Sales manager</t>
  </si>
  <si>
    <t>120826</t>
  </si>
  <si>
    <t>IntelliVital</t>
  </si>
  <si>
    <t>Saleh Mohammed</t>
  </si>
  <si>
    <t>+966559260525</t>
  </si>
  <si>
    <t>120647</t>
  </si>
  <si>
    <t>Interactive Management</t>
  </si>
  <si>
    <t>120093</t>
  </si>
  <si>
    <t>Intergrated Solutions For Business</t>
  </si>
  <si>
    <t>Mohmmad waqas khan</t>
  </si>
  <si>
    <t>+966548182980</t>
  </si>
  <si>
    <t>INTERNAL</t>
  </si>
  <si>
    <t>MAIN TO WH3</t>
  </si>
  <si>
    <t>120189</t>
  </si>
  <si>
    <t>International For Modern Industries Co. Ltd. (Al-Alameya Group)</t>
  </si>
  <si>
    <t>Alameya warehouse, Al Mahjar, Jeddah, Saudi Arabia</t>
  </si>
  <si>
    <t>https://goo.gl/maps/CiZbzQQwHZZQkbK39</t>
  </si>
  <si>
    <t>Said Alavi Abdurahman</t>
  </si>
  <si>
    <t>+966554088161</t>
  </si>
  <si>
    <t>Store@ifmi.com.sa</t>
  </si>
  <si>
    <t>Mohamed Salah</t>
  </si>
  <si>
    <t>+966559003261</t>
  </si>
  <si>
    <t>120286</t>
  </si>
  <si>
    <t>International Security &amp; Communications Co. (ISCKSA)</t>
  </si>
  <si>
    <t>ISCKSA warehouse, Al Khalidiyah Ash Shamaliyah, Dammam, KSA</t>
  </si>
  <si>
    <t>https://maps.app.goo.gl/KEX8s1NRLpsr8SH27</t>
  </si>
  <si>
    <t>Ashraf</t>
  </si>
  <si>
    <t>+966502947677</t>
  </si>
  <si>
    <t>Riyas</t>
  </si>
  <si>
    <t>+966503448720</t>
  </si>
  <si>
    <t>121273</t>
  </si>
  <si>
    <t>Isam Kabbani Telecommunication co l</t>
  </si>
  <si>
    <t>120422</t>
  </si>
  <si>
    <t>iSecure Solutions Co.</t>
  </si>
  <si>
    <t>Dammam-khobar highway, Al Khobar mall AlKhobar, KSA</t>
  </si>
  <si>
    <t>Mahmoud Mohamed</t>
  </si>
  <si>
    <t>+966540053096</t>
  </si>
  <si>
    <t>mahmoud.m@isecure-solutions.com</t>
  </si>
  <si>
    <t>120562</t>
  </si>
  <si>
    <t>IT Associates - ITA</t>
  </si>
  <si>
    <t>Aba Alkhail Building 7th Floor, Office 706, King Fahad Rd., Al Sharafiyah - Jeddah, KSA</t>
  </si>
  <si>
    <t>https://g.page/ITA-ksa?share</t>
  </si>
  <si>
    <t xml:space="preserve">Fawaz Alsalaih </t>
  </si>
  <si>
    <t>+966566584631</t>
  </si>
  <si>
    <t>alsolaih@ita-ksa.com</t>
  </si>
  <si>
    <t xml:space="preserve">IT Associates - Khaled Faris v. </t>
  </si>
  <si>
    <t>120262</t>
  </si>
  <si>
    <t>IT BELT COMPANY</t>
  </si>
  <si>
    <t>121103</t>
  </si>
  <si>
    <t>ITEA international LTD.</t>
  </si>
  <si>
    <t>Sathar Ambalath</t>
  </si>
  <si>
    <t>+966504255289</t>
  </si>
  <si>
    <t>sathar@iteaint.com</t>
  </si>
  <si>
    <t xml:space="preserve">Head of Procurement &amp; Logistics </t>
  </si>
  <si>
    <t>121056</t>
  </si>
  <si>
    <t>ITQAN Arabia Technologies</t>
  </si>
  <si>
    <t>Itqan Raseel Co.Ltd</t>
  </si>
  <si>
    <t>حي, Al Janadriyyah, RTJA7883، 7883 الضياء، 3823, Riyadh 13621</t>
  </si>
  <si>
    <t>https://maps.app.goo.gl/4hECkVPccgoCEJHi9</t>
  </si>
  <si>
    <t>Wang Weilong</t>
  </si>
  <si>
    <t>+966500842337</t>
  </si>
  <si>
    <t>120812</t>
  </si>
  <si>
    <t>Jadwa Al-Hayat for Communications &amp; Information</t>
  </si>
  <si>
    <t xml:space="preserve">Al Sina'iyah, Riyadh </t>
  </si>
  <si>
    <t>https://maps.app.goo.gl/ZbBzRkEDbvgvQg1u9</t>
  </si>
  <si>
    <t>Usama Junaid</t>
  </si>
  <si>
    <t>+966596877800</t>
  </si>
  <si>
    <t>usama.junaid@jadwaa.com</t>
  </si>
  <si>
    <t>120694</t>
  </si>
  <si>
    <t>Jadwa Investment Co.</t>
  </si>
  <si>
    <t>120912</t>
  </si>
  <si>
    <t>Jazal Arabia Engineering Contracting Company</t>
  </si>
  <si>
    <t>121081</t>
  </si>
  <si>
    <t>JEDDAH CABLES LTD</t>
  </si>
  <si>
    <t>C6HF+639 Al Mahjar, Jeddah</t>
  </si>
  <si>
    <t>https://maps.app.goo.gl/EciDbpFyDpeRoWe79</t>
  </si>
  <si>
    <t xml:space="preserve">Eng. Addul Kader </t>
  </si>
  <si>
    <t>0501097837-0594336019</t>
  </si>
  <si>
    <t>121308</t>
  </si>
  <si>
    <t>JEDDAH INTERFACE TRD.EST</t>
  </si>
  <si>
    <t>Abdulsamad At Tanukhi, Al Amal, Riyadh 12643</t>
  </si>
  <si>
    <t>https://maps.app.goo.gl/t5huog7iLDD4dfd18</t>
  </si>
  <si>
    <t xml:space="preserve">Ayman Al-Darwish </t>
  </si>
  <si>
    <t>+966595555490</t>
  </si>
  <si>
    <t>120183</t>
  </si>
  <si>
    <t>Jeraisy Computer &amp; Comm. Services</t>
  </si>
  <si>
    <t>Jeraisy warehouse, Al Awwal Street, Sulai, Near Exit 17, Riyadh, KSA</t>
  </si>
  <si>
    <t>https://goo.gl/maps/m72H74fXNqNuJABq7</t>
  </si>
  <si>
    <t>Jonathan</t>
  </si>
  <si>
    <t>+966502471056</t>
  </si>
  <si>
    <t xml:space="preserve">Vher </t>
  </si>
  <si>
    <t>+966507931671</t>
  </si>
  <si>
    <t>120738</t>
  </si>
  <si>
    <t>Jeraisy Electronic Services</t>
  </si>
  <si>
    <t>Riyadh Office</t>
  </si>
  <si>
    <t>Jeraisy HQ., Alwurud, Riyadh, KSA</t>
  </si>
  <si>
    <t>https://maps.app.goo.gl/vzZHFzCU6oFfzqhG7</t>
  </si>
  <si>
    <t>Bander Shehadeh</t>
  </si>
  <si>
    <t>+966504174552</t>
  </si>
  <si>
    <t>bander@jes.com.sa</t>
  </si>
  <si>
    <t>Omar Afifi</t>
  </si>
  <si>
    <t>+966542128130</t>
  </si>
  <si>
    <t>omer@jes.com.sa</t>
  </si>
  <si>
    <t>120776</t>
  </si>
  <si>
    <t>JTC Logisctics</t>
  </si>
  <si>
    <t>120855</t>
  </si>
  <si>
    <t>Jupiter Network Trading Est.</t>
  </si>
  <si>
    <t>121094</t>
  </si>
  <si>
    <t>KAF MIM YA'Y WAW TA KAF FOR INFORMATION</t>
  </si>
  <si>
    <t>121008</t>
  </si>
  <si>
    <t>Kanoo Terminal Services LTD</t>
  </si>
  <si>
    <t>121228</t>
  </si>
  <si>
    <t>KAWADER AL SHAM CONT. COMPANY</t>
  </si>
  <si>
    <t>Hafr Al-Batin City – Qaisumah Power Plant</t>
  </si>
  <si>
    <t>Eng. Majd Shalaby</t>
  </si>
  <si>
    <t>+966537936285</t>
  </si>
  <si>
    <t>120295</t>
  </si>
  <si>
    <t>Keir International</t>
  </si>
  <si>
    <t>6678 Wag Valley, Al Malga District, Riyadh, KSA</t>
  </si>
  <si>
    <t>https://goo.gl/maps/7BVXxRCameEFUqGq8</t>
  </si>
  <si>
    <t>Mahaboob Subhani Shaik</t>
  </si>
  <si>
    <t>+966550537469</t>
  </si>
  <si>
    <t>s.mahaboob@keir.com.sa</t>
  </si>
  <si>
    <t>121296</t>
  </si>
  <si>
    <t>Kexa Tech Information Technology Co</t>
  </si>
  <si>
    <t>https://maps.app.goo.gl/3qQ5pjRTMutjEQKPA</t>
  </si>
  <si>
    <t>Rupesh Sreekumar</t>
  </si>
  <si>
    <t>+966597075278</t>
  </si>
  <si>
    <t>120863</t>
  </si>
  <si>
    <t>Khaled Tech for Information Technology</t>
  </si>
  <si>
    <t>Yassir Eid</t>
  </si>
  <si>
    <t>+966504895463</t>
  </si>
  <si>
    <t>yassir.m@khaledtech.sa</t>
  </si>
  <si>
    <t>120667</t>
  </si>
  <si>
    <t>Lamar United</t>
  </si>
  <si>
    <t>120610</t>
  </si>
  <si>
    <t>Last Mile Trading Est</t>
  </si>
  <si>
    <t>Gulf Centre, Office 6, M Floor, Prince Turkey Street, AlKhobar, KSA</t>
  </si>
  <si>
    <t>Hatem Nayef</t>
  </si>
  <si>
    <t>+966505842611</t>
  </si>
  <si>
    <t xml:space="preserve">Imran Rasheed </t>
  </si>
  <si>
    <t>+966538120251</t>
  </si>
  <si>
    <t>Jubail</t>
  </si>
  <si>
    <t>Jubail, Saudi Arabia</t>
  </si>
  <si>
    <t>121490</t>
  </si>
  <si>
    <t>Last Source Trading Est</t>
  </si>
  <si>
    <t>120186</t>
  </si>
  <si>
    <t>Last Vision For Information Tech.</t>
  </si>
  <si>
    <t>Last vision office, Ash Shaikh Mubarak As Subah, Al Olaya, Riyadh 12331, Saudi Arabia</t>
  </si>
  <si>
    <t>https://goo.gl/maps/KVXs2bhADCy241DN8</t>
  </si>
  <si>
    <t xml:space="preserve">Osama AlSibaee </t>
  </si>
  <si>
    <t>+966555522106</t>
  </si>
  <si>
    <t>Osama@lastvision-sa.com</t>
  </si>
  <si>
    <t>LEOGEN MIDDLEEAST EQUIPMENT</t>
  </si>
  <si>
    <t>LEOGEN MIDDLEEAST EQUIPMENT &amp; MACHINERY EST.</t>
  </si>
  <si>
    <t>King Abdullah Rd, Al Sulimaniyah 4th, Al Hofuf 31982</t>
  </si>
  <si>
    <t>https://maps.app.goo.gl/NV5LQBdBoZ7YZqhc9</t>
  </si>
  <si>
    <t>sameer bashyal</t>
  </si>
  <si>
    <t>+966562334249</t>
  </si>
  <si>
    <t>121471</t>
  </si>
  <si>
    <t>Lighting stars trading EST.</t>
  </si>
  <si>
    <t>https://maps.app.goo.gl/4uo1BgfEpYg6GTjk8</t>
  </si>
  <si>
    <t>Ahmed Ali</t>
  </si>
  <si>
    <t>+966543638857</t>
  </si>
  <si>
    <t>120992</t>
  </si>
  <si>
    <t>Loftiest Power Contracting Co. (ITC</t>
  </si>
  <si>
    <t>QV57+244 Ar Rimayah, Riyadh</t>
  </si>
  <si>
    <t>https://maps.app.goo.gl/KsRXjQQcPAExtDCi9</t>
  </si>
  <si>
    <t>Suleiman M Omer</t>
  </si>
  <si>
    <t>+966509403085</t>
  </si>
  <si>
    <t>Afzal</t>
  </si>
  <si>
    <t>+966594374164</t>
  </si>
  <si>
    <t>Loftiest Power Contracting Co. (ITC)</t>
  </si>
  <si>
    <t>120771</t>
  </si>
  <si>
    <t>Logic System</t>
  </si>
  <si>
    <t>120575</t>
  </si>
  <si>
    <t>Luster System Security Solutions Est. ( Rawnaq Foundation for Security Systems )</t>
  </si>
  <si>
    <t>Computer Market, Olaya, Riyadh, KSA</t>
  </si>
  <si>
    <t>24°40'56.3"N 46°41'16.0"E</t>
  </si>
  <si>
    <t>Eng. Saeed Al Sairafi</t>
  </si>
  <si>
    <t>+966539386865</t>
  </si>
  <si>
    <t>s.alsairafi@luster-system.com</t>
  </si>
  <si>
    <t>120102</t>
  </si>
  <si>
    <t>M.M. Al-Rumaih Trading Co. Ltd.</t>
  </si>
  <si>
    <t>Sulay- Behind Aramex Wh, Exit 18, Riyadh, KSA</t>
  </si>
  <si>
    <t>https://goo.gl/maps/mkXXhdL6j844R79s7</t>
  </si>
  <si>
    <t>Ahmad H. Shikhan</t>
  </si>
  <si>
    <t>+966599911140</t>
  </si>
  <si>
    <t>ashikhan@mds-sa.com</t>
  </si>
  <si>
    <t>Ali Tahir</t>
  </si>
  <si>
    <t>+966597377311</t>
  </si>
  <si>
    <t>ataher@mdsa.com</t>
  </si>
  <si>
    <t>121505</t>
  </si>
  <si>
    <t>MAB UNITED FOR TRADING</t>
  </si>
  <si>
    <t>J6CG+6MJ Dhurma</t>
  </si>
  <si>
    <t>https://maps.app.goo.gl/ovRwxkAm41CS6rD36</t>
  </si>
  <si>
    <t>Abu Rahma</t>
  </si>
  <si>
    <t>+966534073209</t>
  </si>
  <si>
    <t>MADA AL- TAKAMIL ForInformation Te</t>
  </si>
  <si>
    <t>GWG5+F4J New Industrial Area, Riyadh</t>
  </si>
  <si>
    <t>https://maps.app.goo.gl/BJxVgu8LA6kMEXZPA</t>
  </si>
  <si>
    <t>121326</t>
  </si>
  <si>
    <t>MADAR ELECTRICAL</t>
  </si>
  <si>
    <t>Unnamed Road, Riyadh</t>
  </si>
  <si>
    <t>https://maps.app.goo.gl/CHcRHsdiHMjK7CSr9</t>
  </si>
  <si>
    <t xml:space="preserve">Mr. Qamar Eldin </t>
  </si>
  <si>
    <t>+966570092656</t>
  </si>
  <si>
    <t>120655</t>
  </si>
  <si>
    <t>Annaim building.. Third floor... Office 24, Alfaisaliah, Jeddah, Saudi Arabia</t>
  </si>
  <si>
    <t>https://maps.app.goo.gl/U6CgCWhP3PWwTsQQ6</t>
  </si>
  <si>
    <t xml:space="preserve">Eng. Obaida Mando </t>
  </si>
  <si>
    <t>+966539285843</t>
  </si>
  <si>
    <t>Obaida.m@almadar-ksa.com</t>
  </si>
  <si>
    <t>120569</t>
  </si>
  <si>
    <t>Madeeda Medical Care Co.</t>
  </si>
  <si>
    <t>121513</t>
  </si>
  <si>
    <t>Mahawir alnuzam for IT EST.</t>
  </si>
  <si>
    <t>Olaya Computer Market Parking, Al Olaya, Riyadh 12211</t>
  </si>
  <si>
    <t>https://maps.app.goo.gl/XPRqEyZ7kMTEL8sbA</t>
  </si>
  <si>
    <t>Mohammed Alodaib</t>
  </si>
  <si>
    <t>+966554421428</t>
  </si>
  <si>
    <t>120897</t>
  </si>
  <si>
    <t>Makeen Systems Security Establishment</t>
  </si>
  <si>
    <t>Ashkar Ali</t>
  </si>
  <si>
    <t>+966599439441</t>
  </si>
  <si>
    <t>ashkar@syslabme.com</t>
  </si>
  <si>
    <t>MAKEENSY STEMS  SECURITY</t>
  </si>
  <si>
    <t xml:space="preserve">Riyadh , Olya market </t>
  </si>
  <si>
    <t>Ashkar</t>
  </si>
  <si>
    <t>120567</t>
  </si>
  <si>
    <t>Manakh Sheba Al-Jazeera Trading Co. - MSJ Security Systems</t>
  </si>
  <si>
    <t>https://maps.app.goo.gl/SQE9JQ6qZWQXDnCY9</t>
  </si>
  <si>
    <t>Usman Abbas</t>
  </si>
  <si>
    <t>+966507714788</t>
  </si>
  <si>
    <t>u.abbas@msj.com.sa</t>
  </si>
  <si>
    <t>120747</t>
  </si>
  <si>
    <t>MASSCO for Trading</t>
  </si>
  <si>
    <t>QQ25+JVW Al Quds, Riyadh</t>
  </si>
  <si>
    <t>https://goo.gl/maps/qzw5suS9vQrM1pbr8</t>
  </si>
  <si>
    <t>Nizar</t>
  </si>
  <si>
    <t>+966500422433</t>
  </si>
  <si>
    <t>120685</t>
  </si>
  <si>
    <t>Matrix Experts</t>
  </si>
  <si>
    <t>Prince Turki Bik Abdulaziz St., Adeeb Tower, 2nd floor, Khobar, KSA</t>
  </si>
  <si>
    <t>https://goo.gl/maps/vwFqQCqaZ1ZvoqwL9</t>
  </si>
  <si>
    <t>Nawwaf Awwad</t>
  </si>
  <si>
    <t>+966563052222</t>
  </si>
  <si>
    <t>md@matrixexperts.com</t>
  </si>
  <si>
    <t>120862</t>
  </si>
  <si>
    <t>Matrix System</t>
  </si>
  <si>
    <t>Ahmed Younis</t>
  </si>
  <si>
    <t>+966568521223</t>
  </si>
  <si>
    <t>a.younis@matrixest.com</t>
  </si>
  <si>
    <t>Moataz Gaafer</t>
  </si>
  <si>
    <t>+966538966453</t>
  </si>
  <si>
    <t>moataz@matrixest.com</t>
  </si>
  <si>
    <t>121322</t>
  </si>
  <si>
    <t>Mawared Asliah Tradings co</t>
  </si>
  <si>
    <t>6701 King Fahd Road, Al Hussam, Dammam 34223</t>
  </si>
  <si>
    <t>https://maps.app.goo.gl/RKgugCxwLF9Rkdrd9</t>
  </si>
  <si>
    <t xml:space="preserve">Eng. Ashraf Refaat    </t>
  </si>
  <si>
    <t>+966569375708</t>
  </si>
  <si>
    <t>Talaat Elshiwi</t>
  </si>
  <si>
    <t>+966581567554</t>
  </si>
  <si>
    <t>120817</t>
  </si>
  <si>
    <t>Max Media Communication Solution - MMCS</t>
  </si>
  <si>
    <t>3367 Umar Ibn Abdul Aziz Br Rd, Ar Rabwah, Riyadh 12835</t>
  </si>
  <si>
    <t>https://goo.gl/maps/YNTfTkrgJhvuFovY7</t>
  </si>
  <si>
    <t>Mohamed Mokhtar Elgendy</t>
  </si>
  <si>
    <t>+966555068032</t>
  </si>
  <si>
    <t>m.algendy@maxmda.com</t>
  </si>
  <si>
    <t>Max Solutions</t>
  </si>
  <si>
    <t>King Fahad Br. Road, Jawad Center, Jeddah</t>
  </si>
  <si>
    <t xml:space="preserve">Kareem Shaban </t>
  </si>
  <si>
    <t>+966555965311</t>
  </si>
  <si>
    <t>Mazzaya Information Technology Company</t>
  </si>
  <si>
    <t>Elsayed Anber</t>
  </si>
  <si>
    <t>+966546281709</t>
  </si>
  <si>
    <t>120471</t>
  </si>
  <si>
    <t>MDS for Computer Systems Co.</t>
  </si>
  <si>
    <t>Al Komra area, Majdo’i roundabout, 5th right., Jeddah, KSA</t>
  </si>
  <si>
    <t>https://maps.app.goo.gl/gjNjHM4tfokVWrx58</t>
  </si>
  <si>
    <t>Salem Bawazeer</t>
  </si>
  <si>
    <t>+966567640825</t>
  </si>
  <si>
    <t>Sbawazeer@mdsa.com</t>
  </si>
  <si>
    <t>MDS for Computer Systems Co. - Saleem bb Bawazeer</t>
  </si>
  <si>
    <t>120438</t>
  </si>
  <si>
    <t>Mejdaf Trading Company</t>
  </si>
  <si>
    <t>Mejdaf WH, Al Mahbubah, Al Marwah, Riyadh, KSA</t>
  </si>
  <si>
    <t>https://maps.app.goo.gl/H6vR7aEMMYH5SPGA7</t>
  </si>
  <si>
    <t xml:space="preserve">Ahmed Shaban </t>
  </si>
  <si>
    <t>+966(0)504276578</t>
  </si>
  <si>
    <t xml:space="preserve">centralstore@mejdaf.com </t>
  </si>
  <si>
    <t>120889</t>
  </si>
  <si>
    <t>MEMAR</t>
  </si>
  <si>
    <t>120816</t>
  </si>
  <si>
    <t>Meshaal Contracting &amp; Trading Co. - MCTC</t>
  </si>
  <si>
    <t>120528</t>
  </si>
  <si>
    <t>Metal World EST</t>
  </si>
  <si>
    <t>https://maps.app.goo.gl/wkXhmPsW3EyFvAja6</t>
  </si>
  <si>
    <t>Rajesh Chandu</t>
  </si>
  <si>
    <t>+966550724969</t>
  </si>
  <si>
    <t>Computer market, Olaya, Riyadh, Al-Ameera Building, 5th Floor, Office No.503</t>
  </si>
  <si>
    <t>https://maps.app.goo.gl/pXqGJ4Bq8wipiiBh8</t>
  </si>
  <si>
    <t>Ajith</t>
  </si>
  <si>
    <t>+966536631445</t>
  </si>
  <si>
    <t>procurement@mwsa-it.com</t>
  </si>
  <si>
    <t>Mohammed Khalaf</t>
  </si>
  <si>
    <t>+966598850962</t>
  </si>
  <si>
    <t>m.khalaf@mwsa-it.com</t>
  </si>
  <si>
    <t>120833</t>
  </si>
  <si>
    <t>Midan Alsheraa Co. For Trading</t>
  </si>
  <si>
    <t>https://maps.app.goo.gl/5s98WQXNgThU4oE39</t>
  </si>
  <si>
    <t>AbdulAziz</t>
  </si>
  <si>
    <t>+966 50 621 9517</t>
  </si>
  <si>
    <t>Abdullah</t>
  </si>
  <si>
    <t>+966576531514</t>
  </si>
  <si>
    <t>120794</t>
  </si>
  <si>
    <t>Middle East Telecommunications Company W.L.L. - METCO</t>
  </si>
  <si>
    <t>King Fahd Branch Rd, Al Olaya, Riyadh 12211</t>
  </si>
  <si>
    <t>https://goo.gl/maps/yHV9ak4WFkLcjmKW9</t>
  </si>
  <si>
    <t>120516</t>
  </si>
  <si>
    <t>Middle East Vim Contracting Est.</t>
  </si>
  <si>
    <t>AbdulKhadeer</t>
  </si>
  <si>
    <t>+966538843787</t>
  </si>
  <si>
    <t>abdulkhadeer@mevksa.com</t>
  </si>
  <si>
    <t>120903</t>
  </si>
  <si>
    <t>Modern Buildings for Trading Est.</t>
  </si>
  <si>
    <t>120955</t>
  </si>
  <si>
    <t>Modern Communication Solutions Est.</t>
  </si>
  <si>
    <t>120184</t>
  </si>
  <si>
    <t>Modern technology company .(Moteco)</t>
  </si>
  <si>
    <t>Prince Saad Ibn Abdulrahman Al Awal Rd, Khashm Al Aan, Riyadh 14281</t>
  </si>
  <si>
    <t>https://maps.app.goo.gl/E5HeyZV1aFsKntG18</t>
  </si>
  <si>
    <t>Prasanna Kumar Puzhakkal</t>
  </si>
  <si>
    <t>+966551907941</t>
  </si>
  <si>
    <t>Abdulla Aqil</t>
  </si>
  <si>
    <t>+966592756267‬</t>
  </si>
  <si>
    <t>120433</t>
  </si>
  <si>
    <t>Mohammad Al-Khozaim Information Technology - K-Tech</t>
  </si>
  <si>
    <t>https://maps.app.goo.gl/oBTraN2RByH4WnhS6</t>
  </si>
  <si>
    <t>Ahmed Elfar</t>
  </si>
  <si>
    <t>+966592352522</t>
  </si>
  <si>
    <t>ahmed.elfar@k-tech.com.sa</t>
  </si>
  <si>
    <t xml:space="preserve">Finance Dept </t>
  </si>
  <si>
    <t>mohamed.ali@k-tech.com.sa</t>
  </si>
  <si>
    <t>Sales Executive</t>
  </si>
  <si>
    <t>120391</t>
  </si>
  <si>
    <t>Moons Nature Trading Est.</t>
  </si>
  <si>
    <t>121314</t>
  </si>
  <si>
    <t>MOSHARAK AL-MODAN</t>
  </si>
  <si>
    <t>120453</t>
  </si>
  <si>
    <t>Mounes Mohamed Al Shayeb Civil Construction(MOBCO)</t>
  </si>
  <si>
    <t xml:space="preserve">Mr. Mutwakkil Salah </t>
  </si>
  <si>
    <t>121301</t>
  </si>
  <si>
    <t>Multi Telecommunication Solutions</t>
  </si>
  <si>
    <t>Villa No. 1, 8336 Wadi Dubli Street, Al Aziziyah District, Riyadh</t>
  </si>
  <si>
    <t>https://maps.app.goo.gl/PmsdwmDSubGst3Hm9</t>
  </si>
  <si>
    <t>Mehmood Iqbal</t>
  </si>
  <si>
    <t>+966591911119</t>
  </si>
  <si>
    <t>120884</t>
  </si>
  <si>
    <t>Multiple Integrated Solutions Technology - MIST</t>
  </si>
  <si>
    <t>121069</t>
  </si>
  <si>
    <t>MUSANADA</t>
  </si>
  <si>
    <t>121192</t>
  </si>
  <si>
    <t>Mushor Technology for Trading .</t>
  </si>
  <si>
    <t>برج الوشم، حي, 8537 طريق الملك فهد، المربع، الرياض 12631 2141،، الوشام, Riyadh 12735</t>
  </si>
  <si>
    <t>https://maps.app.goo.gl/3KNeQDw5YiHG7Wmf9</t>
  </si>
  <si>
    <t>+966566247093</t>
  </si>
  <si>
    <t>Abdelrahman El Syed</t>
  </si>
  <si>
    <t>+966501186476</t>
  </si>
  <si>
    <t>120252</t>
  </si>
  <si>
    <t>Nahil Computer Co.</t>
  </si>
  <si>
    <t xml:space="preserve">Nahil Computer warehouse, Hair Road Ext. 21  Ad DarAlBaida, Riyadh </t>
  </si>
  <si>
    <t>https://maps.app.goo.gl/Gt799AAckRcXdMyY8</t>
  </si>
  <si>
    <t xml:space="preserve">Karim Radwan </t>
  </si>
  <si>
    <t>+966535824978</t>
  </si>
  <si>
    <t xml:space="preserve">Magdi </t>
  </si>
  <si>
    <t>+966502543328</t>
  </si>
  <si>
    <t>magdi@nahil.com.sa</t>
  </si>
  <si>
    <t>120297</t>
  </si>
  <si>
    <t>Naizak Global ENGG. Systems</t>
  </si>
  <si>
    <t>120783</t>
  </si>
  <si>
    <t>Naqawah for Information Technology - Purity</t>
  </si>
  <si>
    <t>120613</t>
  </si>
  <si>
    <t>Nasaq Technology Est.</t>
  </si>
  <si>
    <t>Nasaq Office, Building No 3349, Al Yarmuk, Riyadh</t>
  </si>
  <si>
    <t>https://maps.app.goo.gl/2o1WWmtpjXWM7ZqHA</t>
  </si>
  <si>
    <t>Gulzar Alam Baig</t>
  </si>
  <si>
    <t>+966559392236</t>
  </si>
  <si>
    <t>gulzar@nasaq.co</t>
  </si>
  <si>
    <t>Wael Mohammed</t>
  </si>
  <si>
    <t>+966539391471</t>
  </si>
  <si>
    <t>waelmoh@nasaq.co</t>
  </si>
  <si>
    <t>Nastech Services Arabia for IT Co.</t>
  </si>
  <si>
    <t>Al, Al Khobar Al Shamalia، Building No. 8407 Prince Sultan St. 27th cross, Al Khobar 31952</t>
  </si>
  <si>
    <t>https://maps.app.goo.gl/Cd2aK27FqErVMeXF6</t>
  </si>
  <si>
    <t>Hamim Mobily</t>
  </si>
  <si>
    <t>+966540747748</t>
  </si>
  <si>
    <t>120629</t>
  </si>
  <si>
    <t>National Advanced Systems Co. Ltd. - NASCO</t>
  </si>
  <si>
    <t>FAB commercial center, 2nd floor B12, AlYasmin, Riyadh</t>
  </si>
  <si>
    <t>https://maps.app.goo.gl/YRkSXvvcv5Vhk5hZ6</t>
  </si>
  <si>
    <t>Syed Abdul Hameed</t>
  </si>
  <si>
    <t>+966506102249</t>
  </si>
  <si>
    <t>hameeda@nasco.com.sa</t>
  </si>
  <si>
    <t>Supply Chain Manager</t>
  </si>
  <si>
    <t>Prince Mohammed Bin Abdulrahman Bin Abdulaziz, Sulay, Riyadh</t>
  </si>
  <si>
    <t>https://goo.gl/maps/78jyLj7KuBUyMDS79</t>
  </si>
  <si>
    <t>Shaik Rahmath</t>
  </si>
  <si>
    <t>+966534841105</t>
  </si>
  <si>
    <t>120195</t>
  </si>
  <si>
    <t>National Computer System Co. - NATCOM</t>
  </si>
  <si>
    <t>NATCOM Office, King Abdul Aziz Branch Rd, As Sulimaniyah, Riyadh</t>
  </si>
  <si>
    <t>https://goo.gl/maps/eFbGrttUD8usCurL6</t>
  </si>
  <si>
    <t xml:space="preserve">Mohammed Zubair </t>
  </si>
  <si>
    <t>+966503127891</t>
  </si>
  <si>
    <t>mohammed.zubair@natcom.com.sa</t>
  </si>
  <si>
    <t>Rafeeq Muhammad</t>
  </si>
  <si>
    <t>+966558560380</t>
  </si>
  <si>
    <t>r.muhammad@natcom.com.sa</t>
  </si>
  <si>
    <t>121440</t>
  </si>
  <si>
    <t>National lighting Company</t>
  </si>
  <si>
    <t>Street 77, Dammam 31411</t>
  </si>
  <si>
    <t>https://maps.app.goo.gl/pXqn94jMsu6ko2vF8</t>
  </si>
  <si>
    <t xml:space="preserve">Mohammad Helmy </t>
  </si>
  <si>
    <t>+966599980403</t>
  </si>
  <si>
    <t>120721</t>
  </si>
  <si>
    <t>Nesma And Partners Contracting Company</t>
  </si>
  <si>
    <t>120284</t>
  </si>
  <si>
    <t>NESMA UNITED INDUSTRIES CO.LTD</t>
  </si>
  <si>
    <t>120530</t>
  </si>
  <si>
    <t>Net Terminals Telecom - Verela Telecom</t>
  </si>
  <si>
    <t>Mahmoud Rushdi</t>
  </si>
  <si>
    <t>+966546469798</t>
  </si>
  <si>
    <t>120553</t>
  </si>
  <si>
    <t>Network Gates</t>
  </si>
  <si>
    <t>Building # 6745, Abdullah Ibn Al Hasan Street, Al Bawadi dist., Jeddah, KSA</t>
  </si>
  <si>
    <t>https://goo.gl/maps/t9BtKfusxjKaj6dN7</t>
  </si>
  <si>
    <t>Nabil Ghanem</t>
  </si>
  <si>
    <t>+966500660927</t>
  </si>
  <si>
    <t>Naif Ghanem</t>
  </si>
  <si>
    <t>+966556539823</t>
  </si>
  <si>
    <t>121394</t>
  </si>
  <si>
    <t>Network place for trading EST</t>
  </si>
  <si>
    <t>https://maps.app.goo.gl/yovpbyJamG5D4AGh8</t>
  </si>
  <si>
    <t xml:space="preserve">Atif </t>
  </si>
  <si>
    <t>+966508999795</t>
  </si>
  <si>
    <t>120887</t>
  </si>
  <si>
    <t>Networking technology world company</t>
  </si>
  <si>
    <t>Khalid Bin Al Walid S</t>
  </si>
  <si>
    <t xml:space="preserve">Monef </t>
  </si>
  <si>
    <t>+966539055464</t>
  </si>
  <si>
    <t>120834</t>
  </si>
  <si>
    <t>Networks &amp; More Co.</t>
  </si>
  <si>
    <t>Riyadh - Showroom</t>
  </si>
  <si>
    <t>AlRossais Commercial Center , 5th flr, Office # 509, Riyadh, KSA</t>
  </si>
  <si>
    <t>https://maps.app.goo.gl/4z9vtvm6dPemDCxe9</t>
  </si>
  <si>
    <t>Syeed Basha</t>
  </si>
  <si>
    <t>+966504540816</t>
  </si>
  <si>
    <t>sbasha@networksandmore.com.sa</t>
  </si>
  <si>
    <t>الدائري الثاني, Al Mashael, Riyadh 14327</t>
  </si>
  <si>
    <t>https://maps.app.goo.gl/QPz22omdUfFzSUmPA</t>
  </si>
  <si>
    <t>Ghareeb Sayed</t>
  </si>
  <si>
    <t>+966553099336</t>
  </si>
  <si>
    <t>Al Dossary Towers, Al Khobar Al Janubiyah, Al Khobar</t>
  </si>
  <si>
    <t>https://maps.app.goo.gl/Nx2aX3TipF2oAUXU9</t>
  </si>
  <si>
    <t>Essam Sawadi</t>
  </si>
  <si>
    <t>+966537299967</t>
  </si>
  <si>
    <t>essam@networksandmore.com.sa</t>
  </si>
  <si>
    <t>Walid Mohamad</t>
  </si>
  <si>
    <t>+966597722186</t>
  </si>
  <si>
    <t>waleed@networksandmore.com.sa</t>
  </si>
  <si>
    <t>Khamis Mushait - Showroom</t>
  </si>
  <si>
    <t>Networks &amp; More Co. Showroom, Al Rawdah - Behind Of Azizia compound for Computer, Khamis Mushait</t>
  </si>
  <si>
    <t>https://maps.app.goo.gl/86U2seVQX5D4vBNF9</t>
  </si>
  <si>
    <t>Faisal Alshehri  </t>
  </si>
  <si>
    <t>+966500628209</t>
  </si>
  <si>
    <t>faisal@networksandmore.com.sa</t>
  </si>
  <si>
    <t>Zaffar Ali </t>
  </si>
  <si>
    <t>+966554420598</t>
  </si>
  <si>
    <t>zaffar@networksandmore.com.sa</t>
  </si>
  <si>
    <t>Rawaah Center - Khaled Bin Waleed St-Jeddah- Saudi Arabia</t>
  </si>
  <si>
    <t>Eng. Obaidah Adnan</t>
  </si>
  <si>
    <t>+966 552322032 </t>
  </si>
  <si>
    <t xml:space="preserve"> oadnan@networksandmore.com.sa</t>
  </si>
  <si>
    <t>120991</t>
  </si>
  <si>
    <t>Networks and Technologies CO.</t>
  </si>
  <si>
    <t>Eastern road, Al Izdihar, Riyadh 12488</t>
  </si>
  <si>
    <t>https://maps.app.goo.gl/KBCGGvwkTR6SNS4o9</t>
  </si>
  <si>
    <t>Nasser Alshammari</t>
  </si>
  <si>
    <t>+966535821290</t>
  </si>
  <si>
    <t>120920</t>
  </si>
  <si>
    <t>Networks Corner Trading Est. - NCT</t>
  </si>
  <si>
    <t>https://maps.app.goo.gl/BgxqsriM4FXoVCHKA</t>
  </si>
  <si>
    <t>Muhammed Ahmed</t>
  </si>
  <si>
    <t>+966563934751</t>
  </si>
  <si>
    <t>120870</t>
  </si>
  <si>
    <t>Networks Sea Trading Company</t>
  </si>
  <si>
    <t>https://maps.app.goo.gl/1bM7jPCkBTbhDQMQA</t>
  </si>
  <si>
    <t>Awad Saad</t>
  </si>
  <si>
    <t>+966537251998</t>
  </si>
  <si>
    <t>awadsaad@nsea.com.sa</t>
  </si>
  <si>
    <t xml:space="preserve">Wasim Nazir </t>
  </si>
  <si>
    <t>+966500544092</t>
  </si>
  <si>
    <t>wasim@nsea.com.sa</t>
  </si>
  <si>
    <t>121034</t>
  </si>
  <si>
    <t>New Generation Mission Systems Arab</t>
  </si>
  <si>
    <t>QJ8R+38P Al Aqiq, Riyadh</t>
  </si>
  <si>
    <t>https://maps.app.goo.gl/pUFWbes4WvCWL68cA</t>
  </si>
  <si>
    <t>~Taha Faytrouni</t>
  </si>
  <si>
    <t>+966532603242</t>
  </si>
  <si>
    <t>120891</t>
  </si>
  <si>
    <t>Next Generation Bits</t>
  </si>
  <si>
    <t>King Abdullah Ibn Abdulaziz Rd, Al Khubar Ash Shamaliyah</t>
  </si>
  <si>
    <t>Dist. 34429-6177, Al Khobar, KSA</t>
  </si>
  <si>
    <t>Naushad Mohammad</t>
  </si>
  <si>
    <t>+966556581721</t>
  </si>
  <si>
    <t>Next Generation Bits Arabia Limited Company - NEXGEN Bits</t>
  </si>
  <si>
    <t>Building No. 3020, Prince Mansour St, Al Khobar Al Shamalia, Al Khobar</t>
  </si>
  <si>
    <t>https://maps.app.goo.gl/ZyyS5zkNG9KX8Vi7A</t>
  </si>
  <si>
    <t>Zahid Hussain</t>
  </si>
  <si>
    <t>+966575039322</t>
  </si>
  <si>
    <t>120216</t>
  </si>
  <si>
    <t>Next Generation Networks</t>
  </si>
  <si>
    <t xml:space="preserve">Amr Aldamri St, Al Safarat, Riyadh 12511                                                                                                                                                                                                                                                                                                                                                                                                                                                        النرجس، الرياض،                                            </t>
  </si>
  <si>
    <t>https://maps.app.goo.gl/ZocBDMmYFojzWx5k7                                                                                                                                                                                                                                                                                                                                                                                                                                                https://maps.app.goo.gl/jmafBocDkL3EXVnm6</t>
  </si>
  <si>
    <t>Mohammed Abu Salamah</t>
  </si>
  <si>
    <t>+966568995442</t>
  </si>
  <si>
    <t>Next Generation Networks - NGN</t>
  </si>
  <si>
    <t>NGN New Office, Tahliah Rd, Riyadh, KSA</t>
  </si>
  <si>
    <t>https://goo.gl/maps/s5KEedfjsYwrbsUM8</t>
  </si>
  <si>
    <t>Ghyath Dhymsh</t>
  </si>
  <si>
    <t>+966500639163</t>
  </si>
  <si>
    <t>ghyath@ngn-sa.com</t>
  </si>
  <si>
    <t>Thuraya Abusaleh</t>
  </si>
  <si>
    <t>+966506231285</t>
  </si>
  <si>
    <t xml:space="preserve">Thuraya@ngn-sa.com </t>
  </si>
  <si>
    <t>Nojoom Al Raqia for Trading Est</t>
  </si>
  <si>
    <t>https://maps.app.goo.gl/sV1sxiykB4Tmcnbd6</t>
  </si>
  <si>
    <t>Muhammad Abdulrahman</t>
  </si>
  <si>
    <t>+966 54 390 2119</t>
  </si>
  <si>
    <t>Yogesh</t>
  </si>
  <si>
    <t>+966564269526</t>
  </si>
  <si>
    <t>121099</t>
  </si>
  <si>
    <t>Noor Solutions And Trading Est.</t>
  </si>
  <si>
    <t>120659</t>
  </si>
  <si>
    <t>Northek W.L.L.</t>
  </si>
  <si>
    <t>Jarir Street, Almalaz, Riyadh, Saudi Arabia</t>
  </si>
  <si>
    <t>https://maps.app.goo.gl/TGdmKKMeYeyng1HN6</t>
  </si>
  <si>
    <t xml:space="preserve">Walid Alkabbani </t>
  </si>
  <si>
    <t>+966562433110</t>
  </si>
  <si>
    <t>walid.k@nst-tech.net</t>
  </si>
  <si>
    <t>Naseeb Kalabhavan</t>
  </si>
  <si>
    <t>+966 55 080 0183</t>
  </si>
  <si>
    <t>Naseeb@hilalcomputers.com</t>
  </si>
  <si>
    <t xml:space="preserve">Hilal Computer Warehouse, King Khalid Branch Rd, Ibn Sina, Al Khobar </t>
  </si>
  <si>
    <t>https://goo.gl/maps/yFKuCBG2dbu</t>
  </si>
  <si>
    <t xml:space="preserve">MUSTHAFA KP  </t>
  </si>
  <si>
    <t>+966557912362</t>
  </si>
  <si>
    <t>musthafa.k@hilal-technology.com</t>
  </si>
  <si>
    <t xml:space="preserve">ABDUL GAFOOR  </t>
  </si>
  <si>
    <t>+966558868402</t>
  </si>
  <si>
    <t>abdul.g@hilal-technology.com</t>
  </si>
  <si>
    <t>120383</t>
  </si>
  <si>
    <t>Novasat Co.</t>
  </si>
  <si>
    <t>120801</t>
  </si>
  <si>
    <t>NR Engineering Co LTD</t>
  </si>
  <si>
    <t>121295</t>
  </si>
  <si>
    <t>Oceans Lights International Co.</t>
  </si>
  <si>
    <t>Muhammad ali</t>
  </si>
  <si>
    <t>+966596681390</t>
  </si>
  <si>
    <t>Abu Yazan</t>
  </si>
  <si>
    <t>+966551110028</t>
  </si>
  <si>
    <t>120882</t>
  </si>
  <si>
    <t>One Vision</t>
  </si>
  <si>
    <t>0570864230
0590405874</t>
  </si>
  <si>
    <t>ayman@onevision-ksa.com</t>
  </si>
  <si>
    <t>Account Manager</t>
  </si>
  <si>
    <t>Ahmed Fathi</t>
  </si>
  <si>
    <t>+966568413000</t>
  </si>
  <si>
    <t>ahmedf@onevision-ksa.com</t>
  </si>
  <si>
    <t>Sales Director </t>
  </si>
  <si>
    <t>120792</t>
  </si>
  <si>
    <t>Opal Technology Company.</t>
  </si>
  <si>
    <t>Qassim</t>
  </si>
  <si>
    <t>Buraidah, Saudi Arabia</t>
  </si>
  <si>
    <t>https://goo.gl/maps/JyL8PsGpLQzqUeGo9</t>
  </si>
  <si>
    <t xml:space="preserve">Eng.Hatem Chama </t>
  </si>
  <si>
    <t>+966561932020</t>
  </si>
  <si>
    <t>hatem@opal-t.com.sa</t>
  </si>
  <si>
    <t>120871</t>
  </si>
  <si>
    <t>Open Ways</t>
  </si>
  <si>
    <t>Office No. 502, 5th Floor, Building No: 5227, Al Janubiyah District, Alkhobar</t>
  </si>
  <si>
    <t>Mohammed Fazil</t>
  </si>
  <si>
    <t>+966553625772</t>
  </si>
  <si>
    <t>m.fazil@openwayes.com</t>
  </si>
  <si>
    <t>121196</t>
  </si>
  <si>
    <t>ORBITA INFORMATION TECHNOLOGY</t>
  </si>
  <si>
    <t>https://maps.app.goo.gl/pa7F8tjXgmAHGgsJ6</t>
  </si>
  <si>
    <t xml:space="preserve">Mohammed Goda </t>
  </si>
  <si>
    <t>+966537715741</t>
  </si>
  <si>
    <t>121341</t>
  </si>
  <si>
    <t>Orient Construction Company - weave</t>
  </si>
  <si>
    <t>New Industrial Area, Riyadh</t>
  </si>
  <si>
    <t>https://maps.app.goo.gl/o7suTAyJuQkqJKbF9</t>
  </si>
  <si>
    <t>Aamer Alhaj</t>
  </si>
  <si>
    <t>+966590700477</t>
  </si>
  <si>
    <t>120815</t>
  </si>
  <si>
    <t>ORIONEDGE IT SOL</t>
  </si>
  <si>
    <t>120412</t>
  </si>
  <si>
    <t>OSOS Skylines Contracting Co.</t>
  </si>
  <si>
    <t>OSOS Jeddah warehouse, Jeddah, KSA</t>
  </si>
  <si>
    <t>https://goo.gl/maps/Gcbp2XzU9Xp8ckob7</t>
  </si>
  <si>
    <t>Mohammed Aldabbas</t>
  </si>
  <si>
    <t>+966 55 819 2737</t>
  </si>
  <si>
    <t>M.dabbas@osos-ksa.com</t>
  </si>
  <si>
    <t>Noor Alhamawi</t>
  </si>
  <si>
    <t>+966502232994</t>
  </si>
  <si>
    <t>n.alhamawi@osos-ksa.com</t>
  </si>
  <si>
    <t>121010</t>
  </si>
  <si>
    <t>Ossman Tech</t>
  </si>
  <si>
    <t>Othman Rashid Al- Othman Information</t>
  </si>
  <si>
    <t xml:space="preserve">Prince Faisal Bin Fahd Road, Madinat Al Umal, Al Khobar </t>
  </si>
  <si>
    <t>https://maps.app.goo.gl/kfbP8jTdkaRWEQ3M9</t>
  </si>
  <si>
    <t>Sharib</t>
  </si>
  <si>
    <t>+966591850428</t>
  </si>
  <si>
    <t>121392</t>
  </si>
  <si>
    <t>Paisan Technical EST for trading</t>
  </si>
  <si>
    <t>Al Olaya, Riyadh 12211</t>
  </si>
  <si>
    <t>https://maps.app.goo.gl/H9q9Dbh866zvEbhe6</t>
  </si>
  <si>
    <t>Mohammed Alrais</t>
  </si>
  <si>
    <t>+966581501701</t>
  </si>
  <si>
    <t>120454</t>
  </si>
  <si>
    <t>Perfect Presentation - 2P</t>
  </si>
  <si>
    <t>Shaikh Abdullah Ibn Jabreen St, Al Qirawan, Riyadh 13531</t>
  </si>
  <si>
    <t>https://goo.gl/maps/3S2Y7Xik9ZivaKGj7</t>
  </si>
  <si>
    <t>Mohammed ElMassri</t>
  </si>
  <si>
    <t>+966505976797</t>
  </si>
  <si>
    <t>melmassri@2p.com.sa</t>
  </si>
  <si>
    <t>121428</t>
  </si>
  <si>
    <t>Power and Control</t>
  </si>
  <si>
    <t>4497 Prince Mohammed Bin Abdulrahman Bin Abdulaziz, As Sulay, 7409, Riyadh 14264</t>
  </si>
  <si>
    <t>https://maps.app.goo.gl/HoEjJLYP4cZARM4E7</t>
  </si>
  <si>
    <t>Bilal Tayep</t>
  </si>
  <si>
    <t>+966544398432</t>
  </si>
  <si>
    <t>Power Assurance Trading  EST .</t>
  </si>
  <si>
    <t xml:space="preserve">Sreejith </t>
  </si>
  <si>
    <t>+966531106614</t>
  </si>
  <si>
    <t>121127</t>
  </si>
  <si>
    <t>Power ASSURANCE TRADING EST .</t>
  </si>
  <si>
    <t>121507</t>
  </si>
  <si>
    <t>Power Level Co.</t>
  </si>
  <si>
    <t>MANAKAH Warehouse</t>
  </si>
  <si>
    <t>حي المناخ, RNCB6832 , 6832, Riyadh 14316</t>
  </si>
  <si>
    <t>https://maps.app.goo.gl/Hw1Cuqobf7hsV7fy5</t>
  </si>
  <si>
    <t>Awad</t>
  </si>
  <si>
    <t>+966531420977</t>
  </si>
  <si>
    <t xml:space="preserve">Ahmed Naser </t>
  </si>
  <si>
    <t>+966567501428</t>
  </si>
  <si>
    <t>120493</t>
  </si>
  <si>
    <t>Prime Gate for Telecommunication &amp; Information Technology Company</t>
  </si>
  <si>
    <t>121329</t>
  </si>
  <si>
    <t>Pyramid Networks Foundation for Com</t>
  </si>
  <si>
    <t>Mohamed Abdelwahab</t>
  </si>
  <si>
    <t>"+966502929456</t>
  </si>
  <si>
    <t>120663</t>
  </si>
  <si>
    <t>QMAM SHAR FOR CONTRACTING CO.</t>
  </si>
  <si>
    <t>121232</t>
  </si>
  <si>
    <t>Qumrat alaman security establishmen</t>
  </si>
  <si>
    <t>Khaled Al Muqaty</t>
  </si>
  <si>
    <t>+966580487998</t>
  </si>
  <si>
    <t>120513</t>
  </si>
  <si>
    <t>Rabou Liyan Trading Est</t>
  </si>
  <si>
    <t>ABDUL RAZAK</t>
  </si>
  <si>
    <t>+966535540955</t>
  </si>
  <si>
    <t>Rabou Liyan Trading Est.</t>
  </si>
  <si>
    <t>Computer Market, Al Olaya, Riyadh</t>
  </si>
  <si>
    <t>https://maps.app.goo.gl/AcpzUfSi11jz8NGu6</t>
  </si>
  <si>
    <t>Abdul Saleem</t>
  </si>
  <si>
    <t>+966501334528</t>
  </si>
  <si>
    <t>120961</t>
  </si>
  <si>
    <t>Rakal International for Trading Com</t>
  </si>
  <si>
    <t>Monzir Mohamed</t>
  </si>
  <si>
    <t>+966550347573</t>
  </si>
  <si>
    <t>Hadeel.mohammad@rakalspaces.com</t>
  </si>
  <si>
    <t>120924</t>
  </si>
  <si>
    <t>Rawabi Specialized Contracting</t>
  </si>
  <si>
    <t>121121</t>
  </si>
  <si>
    <t>RAWASI ENERGY LIMITED</t>
  </si>
  <si>
    <t xml:space="preserve">Moataz Alameen </t>
  </si>
  <si>
    <t>+966501151560</t>
  </si>
  <si>
    <t xml:space="preserve">Rawasi Energy Limited </t>
  </si>
  <si>
    <t>Al Khobar, Saudi Arabia</t>
  </si>
  <si>
    <t>https://maps.app.goo.gl/kkR1EiGFei51SABr6</t>
  </si>
  <si>
    <t>120731</t>
  </si>
  <si>
    <t>Rayat Technology</t>
  </si>
  <si>
    <t>121270</t>
  </si>
  <si>
    <t>Red wax company</t>
  </si>
  <si>
    <t>Al Sheikh Hassan Ibn Husain, Al Munsiyah, Riyadh 13246</t>
  </si>
  <si>
    <t>https://maps.app.goo.gl/YXmNU3LrAn9sjqpq5</t>
  </si>
  <si>
    <t>120624</t>
  </si>
  <si>
    <t>REDA Trading &amp; Development Co</t>
  </si>
  <si>
    <t>REDA Trading &amp; Development Co.</t>
  </si>
  <si>
    <t>QHH4+WWM, Mastabah 24991</t>
  </si>
  <si>
    <t>https://maps.app.goo.gl/rBKKE8Uvv2f1ULv27</t>
  </si>
  <si>
    <t>Umapati</t>
  </si>
  <si>
    <t>+966567897514</t>
  </si>
  <si>
    <t>121299</t>
  </si>
  <si>
    <t>REEF DANAN CO</t>
  </si>
  <si>
    <t>Aman Hegra Resort Site Office, Hegra, Al ula.</t>
  </si>
  <si>
    <t>https://maps.app.goo.gl/jj6HLMxETipQ9thu7</t>
  </si>
  <si>
    <t xml:space="preserve"> Mohamed Nowfal</t>
  </si>
  <si>
    <t>+966546316443</t>
  </si>
  <si>
    <t>120899</t>
  </si>
  <si>
    <t>RETLL INTERNATIONAL</t>
  </si>
  <si>
    <t>Hijratlaban, Riyadh</t>
  </si>
  <si>
    <t>https://maps.app.goo.gl/UHe79yzfJNbUkGmk8</t>
  </si>
  <si>
    <t>Hussam</t>
  </si>
  <si>
    <t>0554422389/0501033355</t>
  </si>
  <si>
    <t>hussam@retll.com</t>
  </si>
  <si>
    <t>120813</t>
  </si>
  <si>
    <t>Riyadh Alternatives</t>
  </si>
  <si>
    <t>120421</t>
  </si>
  <si>
    <t>Romuz Technologies for Cybersecurity (TSS)</t>
  </si>
  <si>
    <t>Al lhsaa St. Hawshan Complex, Ar Rabwah, Riyadh, Saudi Arabia</t>
  </si>
  <si>
    <t>https://maps.app.goo.gl/383BBahuzDYsQWUD8</t>
  </si>
  <si>
    <t xml:space="preserve">Sherif Yousef </t>
  </si>
  <si>
    <t>+966541516133</t>
  </si>
  <si>
    <t>SYousef@romuz.com.sa</t>
  </si>
  <si>
    <t xml:space="preserve">Mohamed Negm </t>
  </si>
  <si>
    <t>+966543114303</t>
  </si>
  <si>
    <t>MNegm@romuz.com.sa</t>
  </si>
  <si>
    <t>120686</t>
  </si>
  <si>
    <t>Rumouz Inf. Technology</t>
  </si>
  <si>
    <t>121087</t>
  </si>
  <si>
    <t xml:space="preserve">SABAQ INFORMATION </t>
  </si>
  <si>
    <t>120835</t>
  </si>
  <si>
    <t>Safe Decision Co</t>
  </si>
  <si>
    <t xml:space="preserve">Ibn Al Haitham, An Nahdah, Riyadh </t>
  </si>
  <si>
    <t>https://maps.app.goo.gl/JH3HpUxpSW7zUTu57</t>
  </si>
  <si>
    <t>Abdullah Allotafe</t>
  </si>
  <si>
    <t>+966531306300</t>
  </si>
  <si>
    <t>Safe Decision Co.</t>
  </si>
  <si>
    <t>SAHABEH SHABKAT ForInformation Tec</t>
  </si>
  <si>
    <t>MMMQ+66C Al Olaya, Riyadh</t>
  </si>
  <si>
    <t>https://maps.app.goo.gl/oppf6291HhqrwQtw5</t>
  </si>
  <si>
    <t>Mohammad Imam (Cloud Networks)</t>
  </si>
  <si>
    <t>‪+966593209959</t>
  </si>
  <si>
    <t>120269</t>
  </si>
  <si>
    <t>Sahara Net LTD CO</t>
  </si>
  <si>
    <t>Al Mishal Building Center, Office number 601 (6th Floor) - Al Madina Al Munawwarah Street, Jubail</t>
  </si>
  <si>
    <t xml:space="preserve">Rodel Eugenio </t>
  </si>
  <si>
    <t>+966500725831</t>
  </si>
  <si>
    <t>Arsalan</t>
  </si>
  <si>
    <t>+966597215477</t>
  </si>
  <si>
    <t>121236</t>
  </si>
  <si>
    <t>Sama Masa Trading Co.</t>
  </si>
  <si>
    <t>HRM4+528 Ad Dar Al Baida, Riyadh</t>
  </si>
  <si>
    <t>https://maps.app.goo.gl/7nuEm3JzXza3VyUV8</t>
  </si>
  <si>
    <t xml:space="preserve">Mahmoud </t>
  </si>
  <si>
    <t>+966551104860</t>
  </si>
  <si>
    <t>Samer Haidar - Saudi Business Machine Ltd. (SB)</t>
  </si>
  <si>
    <t>Tabuk</t>
  </si>
  <si>
    <t>120799</t>
  </si>
  <si>
    <t>Sara Engineering &amp; Contracting Est.</t>
  </si>
  <si>
    <t>120474</t>
  </si>
  <si>
    <t>SAS SYSTEMS ENGINEERING</t>
  </si>
  <si>
    <t>121431</t>
  </si>
  <si>
    <t>SASAMA COMPUTER TRADING CO</t>
  </si>
  <si>
    <t>King Fahad Branch Rd, Al Wisham, Riyadh 12735</t>
  </si>
  <si>
    <t>https://maps.app.goo.gl/7LT5kWjXXhfekgJu6</t>
  </si>
  <si>
    <t>Saeed Sayed</t>
  </si>
  <si>
    <t>+966542057081</t>
  </si>
  <si>
    <t>121357</t>
  </si>
  <si>
    <t>Saud Abdul Aziz Al-shalan Co .LTD</t>
  </si>
  <si>
    <t>4166 Al Samawa St, Al Mashael, حي, 6969, Riyadh 14325</t>
  </si>
  <si>
    <t>https://maps.app.goo.gl/NPL3en1Dy237eWSR9</t>
  </si>
  <si>
    <t>Ammar Abdullah</t>
  </si>
  <si>
    <t>+966566197319</t>
  </si>
  <si>
    <t>120781</t>
  </si>
  <si>
    <t>SAUD BABA IBRAHIM ALJUBAIRI TRADING</t>
  </si>
  <si>
    <t>120788</t>
  </si>
  <si>
    <t>Saudi Achievement</t>
  </si>
  <si>
    <t>120223</t>
  </si>
  <si>
    <t>Saudi Arabic Computer Systems - ACS</t>
  </si>
  <si>
    <t>0570519757//
0594514749</t>
  </si>
  <si>
    <t>120187</t>
  </si>
  <si>
    <t>Irfan Azam</t>
  </si>
  <si>
    <t>+966546782951</t>
  </si>
  <si>
    <t>iazam@sbm.com.sa</t>
  </si>
  <si>
    <t>Shareef</t>
  </si>
  <si>
    <t>+966530314730</t>
  </si>
  <si>
    <t>mlathif@sbm.com.sa</t>
  </si>
  <si>
    <t>120129</t>
  </si>
  <si>
    <t>SAUDI COMPUTERS SYSTEMS CO WLL</t>
  </si>
  <si>
    <t>120135</t>
  </si>
  <si>
    <t>Saudi Electronic Trading Company Ltd - SETRA</t>
  </si>
  <si>
    <t>https://maps.app.goo.gl/MgfiGqHu1v9GEkJP6</t>
  </si>
  <si>
    <t>Noufal</t>
  </si>
  <si>
    <t>+966598586559</t>
  </si>
  <si>
    <t>As Sarawat District, Jeddah</t>
  </si>
  <si>
    <t>https://maps.app.goo.gl/m4AsYwXscHFCzgZV9</t>
  </si>
  <si>
    <t>Dilawar Mehmood</t>
  </si>
  <si>
    <t>+966509491805</t>
  </si>
  <si>
    <t>dilawar.mehmood@setra.com.sa</t>
  </si>
  <si>
    <t>120296</t>
  </si>
  <si>
    <t>Saudi Emircom Company</t>
  </si>
  <si>
    <t>Emircom warehouse, Tuwaiq, Riyadh</t>
  </si>
  <si>
    <t>https://maps.app.goo.gl/VyEQp9xvKfxfbKZf7</t>
  </si>
  <si>
    <t>Ramesh Pillai</t>
  </si>
  <si>
    <t>+966597797208</t>
  </si>
  <si>
    <t>ramesh.pillai@emircom.com</t>
  </si>
  <si>
    <t xml:space="preserve">Muhammad karimpil  </t>
  </si>
  <si>
    <t>+966549905065</t>
  </si>
  <si>
    <t>muhammad.karimpil@emircom.com</t>
  </si>
  <si>
    <t>Saudi Ensas ( ESA Al saif ) Qiddiya Water Theme Park</t>
  </si>
  <si>
    <t>H8QC+36X Al Moqbel Palaces</t>
  </si>
  <si>
    <t>https://maps.app.goo.gl/NELy4sRE4vsSAnhy9</t>
  </si>
  <si>
    <t>Indrajith Stores</t>
  </si>
  <si>
    <t>+966532623177</t>
  </si>
  <si>
    <t>121184</t>
  </si>
  <si>
    <t>Saudi Ensas (Voltas)</t>
  </si>
  <si>
    <t>120869</t>
  </si>
  <si>
    <t>Saudi Ericsson Communications Company Ltd</t>
  </si>
  <si>
    <t>Bldg #. 279, Warehouse # 5, Alhamra Street, Sulay, Riyadh, KSA</t>
  </si>
  <si>
    <t>https://maps.app.goo.gl/AagbyUuRQEwD3N1D7</t>
  </si>
  <si>
    <t>Mohammad Ismail</t>
  </si>
  <si>
    <t>+966501404178</t>
  </si>
  <si>
    <t>mohammad.ismail@saudi-ericsson.com</t>
  </si>
  <si>
    <t>121012</t>
  </si>
  <si>
    <t>Saudi Foam Trays Manufacturing Comp</t>
  </si>
  <si>
    <t>120716</t>
  </si>
  <si>
    <t>Saudi Green Contracting</t>
  </si>
  <si>
    <t>https://maps.app.goo.gl/FMzUuwVHfb6QukFYA</t>
  </si>
  <si>
    <t xml:space="preserve">Mr. Loay </t>
  </si>
  <si>
    <t>+966567741262</t>
  </si>
  <si>
    <t>121465</t>
  </si>
  <si>
    <t>Saudi icon</t>
  </si>
  <si>
    <t>~Sajjad Sadiq</t>
  </si>
  <si>
    <t>+966595337189</t>
  </si>
  <si>
    <t>120194</t>
  </si>
  <si>
    <t>Saudi Media Systems - SMS</t>
  </si>
  <si>
    <t>SMS warehouse, Opp. to AlFanar office, Exit 18 Sulay, Riyadh</t>
  </si>
  <si>
    <t>https://maps.app.goo.gl/L6QgZat363mfYgYZ7</t>
  </si>
  <si>
    <t>Abobacker</t>
  </si>
  <si>
    <t>+966559826900</t>
  </si>
  <si>
    <t>smsstore@smediasys.com</t>
  </si>
  <si>
    <t>Sabu Samuel</t>
  </si>
  <si>
    <t>+966.50.841.1951/+966.55.174.1168</t>
  </si>
  <si>
    <t>ssamuel@smediasys.com</t>
  </si>
  <si>
    <t xml:space="preserve">Procurement </t>
  </si>
  <si>
    <t>120971</t>
  </si>
  <si>
    <t>SAUDI NETDOR CORPORATION</t>
  </si>
  <si>
    <t>120735</t>
  </si>
  <si>
    <t>Saudi Projects &amp; Supplies Co. - SPS</t>
  </si>
  <si>
    <t>121136</t>
  </si>
  <si>
    <t>Saudi Technic Energy Co.</t>
  </si>
  <si>
    <t>MRCP+8HG As Sulay, Riyadh</t>
  </si>
  <si>
    <t>https://maps.app.goo.gl/UoBmtuPzESa9VeFM7</t>
  </si>
  <si>
    <t>Montaser</t>
  </si>
  <si>
    <t>+966555845266</t>
  </si>
  <si>
    <t>Schneider Electric Saudi Arabia Co.</t>
  </si>
  <si>
    <t xml:space="preserve">Plant A Riyadh, New Industrial Area, Riyadh </t>
  </si>
  <si>
    <t>https://maps.app.goo.gl/hU7HcPnZ9moAiVrcA</t>
  </si>
  <si>
    <t>Ikram Khan</t>
  </si>
  <si>
    <t>+966540480809</t>
  </si>
  <si>
    <t>Ikramkhan.muhammadrasool@se.com</t>
  </si>
  <si>
    <t>Kalandar Nishan</t>
  </si>
  <si>
    <t>+966565603087</t>
  </si>
  <si>
    <t>kalandar.nishan@non.se.com</t>
  </si>
  <si>
    <t>121361</t>
  </si>
  <si>
    <t>Secure Special Services- Triple S</t>
  </si>
  <si>
    <t>M575+43R King Abdulaziz International Airport, Jeddah Saudi Arabia</t>
  </si>
  <si>
    <t>https://maps.app.goo.gl/nFBaD37EwxGVPxYv8</t>
  </si>
  <si>
    <t>Gholam Farid</t>
  </si>
  <si>
    <t>+966569284035</t>
  </si>
  <si>
    <t>120541</t>
  </si>
  <si>
    <t>Security House Trading</t>
  </si>
  <si>
    <t xml:space="preserve">Al Malaz, Riyadh </t>
  </si>
  <si>
    <t>https://maps.app.goo.gl/ReXo6WJU853uy8N39</t>
  </si>
  <si>
    <t>FIROZ PC</t>
  </si>
  <si>
    <t>+966581268460</t>
  </si>
  <si>
    <t>fairouz@securityhouse.com.sa</t>
  </si>
  <si>
    <t>Ihsan Ismail</t>
  </si>
  <si>
    <t>+966590881201</t>
  </si>
  <si>
    <t>ihsan@securityhouse.com.sa</t>
  </si>
  <si>
    <t>120707</t>
  </si>
  <si>
    <t>Security System Solutions</t>
  </si>
  <si>
    <t>QJ63+CRG Hittin, Riyadh</t>
  </si>
  <si>
    <t>https://maps.app.goo.gl/enNTCKonGD7PcRFv8</t>
  </si>
  <si>
    <t>121339</t>
  </si>
  <si>
    <t>Service Bell</t>
  </si>
  <si>
    <t>GRXH+FXM Taybah, Riyadh</t>
  </si>
  <si>
    <t>https://maps.app.goo.gl/HcGStcCxXnXHctMX9</t>
  </si>
  <si>
    <t>~Eng. Abdelrhman</t>
  </si>
  <si>
    <t>+966503359190</t>
  </si>
  <si>
    <t>120746</t>
  </si>
  <si>
    <t>Seven Layers Information Technology Est.</t>
  </si>
  <si>
    <t>121383</t>
  </si>
  <si>
    <t>Seventy Seven Social Company</t>
  </si>
  <si>
    <t>Samir</t>
  </si>
  <si>
    <t>+966567447249</t>
  </si>
  <si>
    <t>120822</t>
  </si>
  <si>
    <t>Shadady Computer Systems</t>
  </si>
  <si>
    <t>Riyadh Olya market</t>
  </si>
  <si>
    <t>Muhammed</t>
  </si>
  <si>
    <t>+966568813768</t>
  </si>
  <si>
    <t>121445</t>
  </si>
  <si>
    <t>Shapoorji Pallonji Mideast (L.L.C.)</t>
  </si>
  <si>
    <t xml:space="preserve">Jeddah  </t>
  </si>
  <si>
    <t xml:space="preserve">Mr. Aneesh </t>
  </si>
  <si>
    <t>+966508848755</t>
  </si>
  <si>
    <t>121024</t>
  </si>
  <si>
    <t>SIBS Company Ltd</t>
  </si>
  <si>
    <t>121244</t>
  </si>
  <si>
    <t>Sigma Solution</t>
  </si>
  <si>
    <t>المليداء, Buraydah 52571</t>
  </si>
  <si>
    <t>https://maps.app.goo.gl/xM7bApfDCDhmahtp6</t>
  </si>
  <si>
    <t xml:space="preserve">Muhammed Hussein </t>
  </si>
  <si>
    <t>+966533154357</t>
  </si>
  <si>
    <t xml:space="preserve">Amro Salah </t>
  </si>
  <si>
    <t>121463</t>
  </si>
  <si>
    <t>SILK ROAD</t>
  </si>
  <si>
    <t>121384</t>
  </si>
  <si>
    <t>SILVERCHIP INFORMATION TECHNOLOGY</t>
  </si>
  <si>
    <t>MPG2+PXV Al Olaya, Riyadh</t>
  </si>
  <si>
    <t>https://maps.app.goo.gl/xYZsSay3k7hQnYiaA</t>
  </si>
  <si>
    <t>Aboobazil</t>
  </si>
  <si>
    <t>+966565899750</t>
  </si>
  <si>
    <t>120730</t>
  </si>
  <si>
    <t>SITE TECHNOLOGY CO</t>
  </si>
  <si>
    <t>120734</t>
  </si>
  <si>
    <t>Skies Co.</t>
  </si>
  <si>
    <t>120651</t>
  </si>
  <si>
    <t>Smart Cadres</t>
  </si>
  <si>
    <t>https://maps.app.goo.gl/re6JcY9LTD2G5EU57</t>
  </si>
  <si>
    <t>Eslam Aldoory</t>
  </si>
  <si>
    <t>+966548507141</t>
  </si>
  <si>
    <t xml:space="preserve">Ashraf </t>
  </si>
  <si>
    <t> 0532365999</t>
  </si>
  <si>
    <t>120306</t>
  </si>
  <si>
    <t>Smart DIRECTIONS Company</t>
  </si>
  <si>
    <t>Riyadh </t>
  </si>
  <si>
    <t xml:space="preserve">HVX2+46H, As Sulay, Riyadh 14326 </t>
  </si>
  <si>
    <t>https://maps.app.goo.gl/FB7SLYpAL75QoykCA?g_st=iw</t>
  </si>
  <si>
    <t>Gamal Faraj</t>
  </si>
  <si>
    <t>+966 50 837 2647</t>
  </si>
  <si>
    <t>120931</t>
  </si>
  <si>
    <t>Smart House Trading</t>
  </si>
  <si>
    <t>https://maps.app.goo.gl/Pdj3fRB2qx6syAC27</t>
  </si>
  <si>
    <t>Tauqeer Yaqob</t>
  </si>
  <si>
    <t>+966555676368</t>
  </si>
  <si>
    <t>120837</t>
  </si>
  <si>
    <t>Smart Information System</t>
  </si>
  <si>
    <t>120263</t>
  </si>
  <si>
    <t>SMART NETWORK SOLUTION ( SNS )</t>
  </si>
  <si>
    <t>121347</t>
  </si>
  <si>
    <t>Smart Networks Co</t>
  </si>
  <si>
    <t xml:space="preserve"> Ar Rawdah, Riyadh</t>
  </si>
  <si>
    <t>https://maps.app.goo.gl/WNf968itxrEoiTnc8</t>
  </si>
  <si>
    <t>eibada</t>
  </si>
  <si>
    <t>+966583102039</t>
  </si>
  <si>
    <t>Majid</t>
  </si>
  <si>
    <t>+966 50 039 2814</t>
  </si>
  <si>
    <t>Smart of Things Est</t>
  </si>
  <si>
    <t>https://maps.app.goo.gl/SXVaE3bcoDymk5MZ6</t>
  </si>
  <si>
    <t>Magdy Gaballah</t>
  </si>
  <si>
    <t>+966591524409</t>
  </si>
  <si>
    <t>magdy@sot.com.sa</t>
  </si>
  <si>
    <t>121360</t>
  </si>
  <si>
    <t>Smart Standards For Trade Company</t>
  </si>
  <si>
    <t> 0541668971</t>
  </si>
  <si>
    <t>121075</t>
  </si>
  <si>
    <t>Smart Systems Solutions Contracting</t>
  </si>
  <si>
    <t>120411</t>
  </si>
  <si>
    <t>Smart Wave Technology</t>
  </si>
  <si>
    <t>Ziadah Al Qurtubi, Al Malaz, Riyadh</t>
  </si>
  <si>
    <t>https://maps.app.goo.gl/nHkMvK8kFaBMyvAb6</t>
  </si>
  <si>
    <t>Mahmoud</t>
  </si>
  <si>
    <t>+966546269132</t>
  </si>
  <si>
    <t>Moaaed</t>
  </si>
  <si>
    <t>+966568301194</t>
  </si>
  <si>
    <t>Smart Wave Technology Co. - SWT</t>
  </si>
  <si>
    <t>https://maps.app.goo.gl/4evYzzPm6AWy3xdb7</t>
  </si>
  <si>
    <t xml:space="preserve">Moayad Ramahi </t>
  </si>
  <si>
    <t>Sales Guy</t>
  </si>
  <si>
    <t>120672</t>
  </si>
  <si>
    <t>SNC ICT</t>
  </si>
  <si>
    <t>Al Mashael, Riyadh 14327</t>
  </si>
  <si>
    <t>https://maps.app.goo.gl/e5MQSEuaYg4zUVZk8</t>
  </si>
  <si>
    <t xml:space="preserve">Osama Suliman </t>
  </si>
  <si>
    <t>+966570051271</t>
  </si>
  <si>
    <t>osuliman@sncict.com</t>
  </si>
  <si>
    <t>Adnan</t>
  </si>
  <si>
    <t>+966 55 468 5325</t>
  </si>
  <si>
    <t>121032</t>
  </si>
  <si>
    <t>SOBOL</t>
  </si>
  <si>
    <t>Jeddha</t>
  </si>
  <si>
    <t>Basel</t>
  </si>
  <si>
    <t>+966569840032</t>
  </si>
  <si>
    <t>120396</t>
  </si>
  <si>
    <t>Solid Solutions Group</t>
  </si>
  <si>
    <t>https://maps.app.goo.gl/t7R8UdbXMnQQvmBK8</t>
  </si>
  <si>
    <t>Ali Khalfan</t>
  </si>
  <si>
    <t>+966599937585</t>
  </si>
  <si>
    <t>a.mohamed@solidgroup.sa</t>
  </si>
  <si>
    <t>121043</t>
  </si>
  <si>
    <t>SONOF</t>
  </si>
  <si>
    <t>Al Wisham, Riyadh</t>
  </si>
  <si>
    <t>https://maps.app.goo.gl/amnYpnbjzRRKvD3t9</t>
  </si>
  <si>
    <t>Ahmed Amin</t>
  </si>
  <si>
    <t>+966550940071</t>
  </si>
  <si>
    <t>a.amin@sonof.sa</t>
  </si>
  <si>
    <t>121021</t>
  </si>
  <si>
    <t>Sorouh Modern Technologies Contract</t>
  </si>
  <si>
    <t>https://maps.app.goo.gl/MLNA4w15h2Vo1CDG7</t>
  </si>
  <si>
    <t>Osama</t>
  </si>
  <si>
    <t> 0540371861</t>
  </si>
  <si>
    <t>Sorouh Modern Technologies Contracting Co.</t>
  </si>
  <si>
    <t>Computer Market, Olaya</t>
  </si>
  <si>
    <t>https://maps.app.goo.gl/LDCpbmKUJLQptXGWA</t>
  </si>
  <si>
    <t>Osama Eldesouky</t>
  </si>
  <si>
    <t>+966540371861</t>
  </si>
  <si>
    <t>osama@srouh.net</t>
  </si>
  <si>
    <t>Sales Engineer</t>
  </si>
  <si>
    <t>Southern Automation and Electrical</t>
  </si>
  <si>
    <t>120220</t>
  </si>
  <si>
    <t>Spectra International Trading Co.</t>
  </si>
  <si>
    <t>121175</t>
  </si>
  <si>
    <t>Springs Road trading</t>
  </si>
  <si>
    <t xml:space="preserve">GAPP Office </t>
  </si>
  <si>
    <t>Manar</t>
  </si>
  <si>
    <t>+966502202900</t>
  </si>
  <si>
    <t>120917</t>
  </si>
  <si>
    <t>Srouh. Co.</t>
  </si>
  <si>
    <t>121500</t>
  </si>
  <si>
    <t>Star Care for contracting company</t>
  </si>
  <si>
    <t>Unnamed Road, Al Mashael, Riyadh 14326</t>
  </si>
  <si>
    <t>https://maps.app.goo.gl/d4CfbrTDYUmLuj6i8</t>
  </si>
  <si>
    <t xml:space="preserve">Raouf </t>
  </si>
  <si>
    <t>0591795547 -0593078434- 0510805397</t>
  </si>
  <si>
    <t>120923</t>
  </si>
  <si>
    <t>Summits team Company</t>
  </si>
  <si>
    <t>Mhamed alghareb</t>
  </si>
  <si>
    <t>+966599953060</t>
  </si>
  <si>
    <t>Summits Team Est.</t>
  </si>
  <si>
    <t>https://maps.app.goo.gl/kt44jfFnLErS7yNi8</t>
  </si>
  <si>
    <t>Bilal Algharib</t>
  </si>
  <si>
    <t>+966558220719</t>
  </si>
  <si>
    <t>b.alghrib@summitteam.com.sa</t>
  </si>
  <si>
    <t>https://maps.app.goo.gl/2ijxpZ1PgYjqvnMc7</t>
  </si>
  <si>
    <t>Ibrahim</t>
  </si>
  <si>
    <t>+966572496839</t>
  </si>
  <si>
    <t>120759</t>
  </si>
  <si>
    <t>Sumou Corner</t>
  </si>
  <si>
    <t>Yusri Alokashi</t>
  </si>
  <si>
    <t>+966500858899</t>
  </si>
  <si>
    <t>yusri@sacc-ksa.com</t>
  </si>
  <si>
    <t>121303</t>
  </si>
  <si>
    <t>Supplies Summit for Trading Co.</t>
  </si>
  <si>
    <t>Supreme System</t>
  </si>
  <si>
    <t>Olaya St, Al Olaya, Riyadh 12211</t>
  </si>
  <si>
    <t>https://goo.gl/maps/fj8oyDLeCeFDg4rp7</t>
  </si>
  <si>
    <t>Tanzeel Ansari</t>
  </si>
  <si>
    <t>+966-55-490-9327</t>
  </si>
  <si>
    <t>tanzeel@supreme.sa</t>
  </si>
  <si>
    <t>Abdul Mannan Surve</t>
  </si>
  <si>
    <t>+966537758196</t>
  </si>
  <si>
    <t>mannan@supreme.sa</t>
  </si>
  <si>
    <t>121065</t>
  </si>
  <si>
    <t>Sustainability future limited</t>
  </si>
  <si>
    <t>PQXG+9V4 Al Andalus, Riyadh</t>
  </si>
  <si>
    <t>https://maps.app.goo.gl/8ubDCqQrENJaVtsJ9</t>
  </si>
  <si>
    <t>Mahmoud Elbedawy</t>
  </si>
  <si>
    <t>+966531192777</t>
  </si>
  <si>
    <t>120906</t>
  </si>
  <si>
    <t>System Empire</t>
  </si>
  <si>
    <t>120147</t>
  </si>
  <si>
    <t>System of Strategic Business - SSBS</t>
  </si>
  <si>
    <t>Al Othman Business Park, Al-khobar, KSA</t>
  </si>
  <si>
    <t>Mohammed Jafar AlSafwani</t>
  </si>
  <si>
    <t>+966552646883</t>
  </si>
  <si>
    <t>malsafwani@ssbs.com.sa</t>
  </si>
  <si>
    <t>120148</t>
  </si>
  <si>
    <t>System Security Solutions Co. - 3S</t>
  </si>
  <si>
    <t>Mohammed Hafeez</t>
  </si>
  <si>
    <t>+966563869203//+966583485522</t>
  </si>
  <si>
    <t>mhafeez@3s.sa</t>
  </si>
  <si>
    <t>120149</t>
  </si>
  <si>
    <t>System Technology Middle East Co. - STME</t>
  </si>
  <si>
    <t>121073</t>
  </si>
  <si>
    <t>SYSTEMS CORNER TRADING</t>
  </si>
  <si>
    <t>120728</t>
  </si>
  <si>
    <t>Tahreez Security Company</t>
  </si>
  <si>
    <t>Takamul Group</t>
  </si>
  <si>
    <t>Messina Line, Jeddah Saudi Arabia</t>
  </si>
  <si>
    <t>https://goo.gl/maps/DPgoDPNGZTcQ8Vp3A</t>
  </si>
  <si>
    <t>Omar Batheeb</t>
  </si>
  <si>
    <t>+966546-150-585</t>
  </si>
  <si>
    <t>O.batheeb@altakamul.com.sa</t>
  </si>
  <si>
    <t>120448</t>
  </si>
  <si>
    <t>TALENT Arabia Wired and Wireless Communications Co</t>
  </si>
  <si>
    <t>121452</t>
  </si>
  <si>
    <t>TamStar Trading Est.</t>
  </si>
  <si>
    <t>C4R7+FR4, King Saud St, Ar Rabi, Dammam 32241</t>
  </si>
  <si>
    <t>https://maps.app.goo.gl/GmUEKqjFGzd4vvJJ7</t>
  </si>
  <si>
    <t xml:space="preserve">Bikesh </t>
  </si>
  <si>
    <t>‪+966 59 917 1659</t>
  </si>
  <si>
    <t>120918</t>
  </si>
  <si>
    <t>Tamyouz Almumyaz</t>
  </si>
  <si>
    <t>Abu Baker Alsiddiq Street, Al Nah'Dah District, Buraidah Alqassim</t>
  </si>
  <si>
    <t>Jawaher Fahad</t>
  </si>
  <si>
    <t>+966544036377</t>
  </si>
  <si>
    <t>sales@tamyouz.com</t>
  </si>
  <si>
    <t>Taqdom-INTEGRATED TAQDOM IT. EST.</t>
  </si>
  <si>
    <t>MMJQ+WVR Al Olaya, Riyadh</t>
  </si>
  <si>
    <t>https://maps.app.goo.gl/a1bUAHa1PvEnoCRK9</t>
  </si>
  <si>
    <t>Odai Malkawi</t>
  </si>
  <si>
    <t>+966561380360</t>
  </si>
  <si>
    <t>120949</t>
  </si>
  <si>
    <t>TaqniaOne for Information Technolog</t>
  </si>
  <si>
    <t>MQ3V+CQ5 Al Jazirah, Riyadh</t>
  </si>
  <si>
    <t>https://maps.app.goo.gl/SgvAWfCR3tSubYT57</t>
  </si>
  <si>
    <t>Ghassan Zubaidi</t>
  </si>
  <si>
    <t>+966540882517</t>
  </si>
  <si>
    <t>TaqniaOne for Information Technology</t>
  </si>
  <si>
    <t>120649</t>
  </si>
  <si>
    <t xml:space="preserve">Taqniyat Company for Software Solutions </t>
  </si>
  <si>
    <t>Exit 18th, Near Namma Cargo, Sulay, Riyadh, KSA</t>
  </si>
  <si>
    <t>Noufal Rafeek</t>
  </si>
  <si>
    <t>noufal.rafeek@setra.com.sa</t>
  </si>
  <si>
    <t>120758</t>
  </si>
  <si>
    <t>Tarek Al Falah Company Limited - TFC</t>
  </si>
  <si>
    <t>TFC Store, Al Gharbiyah, Riyadh</t>
  </si>
  <si>
    <t>https://maps.app.goo.gl/AgpmcoZU53EeyPSv7</t>
  </si>
  <si>
    <t>Abdul Khadeer</t>
  </si>
  <si>
    <t>+966 53 884 3787</t>
  </si>
  <si>
    <t>adulkhadeer@tfcsec.com</t>
  </si>
  <si>
    <t>Romail</t>
  </si>
  <si>
    <t>+966509634880</t>
  </si>
  <si>
    <t>120704</t>
  </si>
  <si>
    <t>Target Technologies Ltd. Co.</t>
  </si>
  <si>
    <t xml:space="preserve">Ashraf ElFeky </t>
  </si>
  <si>
    <t>+966555454213</t>
  </si>
  <si>
    <t>ashraf.elfeky@t4techno.com</t>
  </si>
  <si>
    <t>120267</t>
  </si>
  <si>
    <t>Tawasol Tech .co</t>
  </si>
  <si>
    <t>7GWPWR3R+C5</t>
  </si>
  <si>
    <t>https://maps.app.goo.gl/Ggc8aN3ei8sM63Jr7</t>
  </si>
  <si>
    <t>Eng. Hossam</t>
  </si>
  <si>
    <t>+966503471242</t>
  </si>
  <si>
    <t>Tawasol Tech. Co.</t>
  </si>
  <si>
    <t>Tawasol Office, 5th Floor, Ghefari Plaza, 6348 Al Yamamah, As Salamah District, Jeddah</t>
  </si>
  <si>
    <t>https://g.page/TawasolTechKSA?share</t>
  </si>
  <si>
    <t xml:space="preserve">Syed Shujath Ali </t>
  </si>
  <si>
    <t>+966599583673</t>
  </si>
  <si>
    <t>shujath.syed@tawasoltech.com</t>
  </si>
  <si>
    <t xml:space="preserve">Tawasol Tech. Co. - Syed Shujath Ali </t>
  </si>
  <si>
    <t>120901</t>
  </si>
  <si>
    <t>Tawfiq Mohammed Al Hammam Est.</t>
  </si>
  <si>
    <t>120574</t>
  </si>
  <si>
    <t>Tech Challenges Trading Est.</t>
  </si>
  <si>
    <t>Jabor Bin Rashid, Al Murabba, Riyadh 12628</t>
  </si>
  <si>
    <t>https://maps.app.goo.gl/KEheXP8AcRCUTFyb9</t>
  </si>
  <si>
    <t>Sabeel ahmed</t>
  </si>
  <si>
    <t>+966575862540</t>
  </si>
  <si>
    <t>sabeel@techchallenges.com.sa</t>
  </si>
  <si>
    <t>Project Coordinator</t>
  </si>
  <si>
    <t>120851</t>
  </si>
  <si>
    <t>Technical Arms for Contracting - TAC</t>
  </si>
  <si>
    <t>TAC Trading Show Room Olaya Computer Market, Riyadh</t>
  </si>
  <si>
    <t>https://maps.app.goo.gl/5BJ5LMnUrj4KpEL19</t>
  </si>
  <si>
    <t>Shreejesh Balan</t>
  </si>
  <si>
    <t>0556326658-0535053858</t>
  </si>
  <si>
    <t>Trading@tac.net.sa</t>
  </si>
  <si>
    <t>120191</t>
  </si>
  <si>
    <t>Technical EST for Electric &amp; Communication Services</t>
  </si>
  <si>
    <t>120155</t>
  </si>
  <si>
    <t>Technical field EST</t>
  </si>
  <si>
    <t>https://maps.app.goo.gl/wX92Xso4Goy2Gb5o7</t>
  </si>
  <si>
    <t>Waleed Ali</t>
  </si>
  <si>
    <t>+966558497141</t>
  </si>
  <si>
    <t>waleed@tfesaudi.com</t>
  </si>
  <si>
    <t>Sales Coordinator</t>
  </si>
  <si>
    <t>Mohamed al adl</t>
  </si>
  <si>
    <t>+966502424264</t>
  </si>
  <si>
    <t>121319</t>
  </si>
  <si>
    <t>TECHNICAL TRADE COMPANY</t>
  </si>
  <si>
    <t>Tech Trade Warehouse, BLDG#114 , 1st Industrial city, Khalidiya, Dammam.</t>
  </si>
  <si>
    <t>Muneer</t>
  </si>
  <si>
    <t>+966534887206</t>
  </si>
  <si>
    <t>Technology Activities Trdg. Est. (H</t>
  </si>
  <si>
    <t>24، 632718,46.871675, الدمام 32275</t>
  </si>
  <si>
    <t>https://maps.app.goo.gl/BN9qKwEzqtMX1adp6</t>
  </si>
  <si>
    <t>Jimmy</t>
  </si>
  <si>
    <t>+966506935097</t>
  </si>
  <si>
    <t>120160</t>
  </si>
  <si>
    <t>Technology Control Co. - TCC</t>
  </si>
  <si>
    <t>120274</t>
  </si>
  <si>
    <t>Technology Era Company - TERA Systems</t>
  </si>
  <si>
    <t>TERA WH, An Noor, Riyadh, Saudi Arabia</t>
  </si>
  <si>
    <t>https://goo.gl/maps/CnTg1gGknDRbGkgW6</t>
  </si>
  <si>
    <t>Shohel Dewan</t>
  </si>
  <si>
    <t>+966541671625</t>
  </si>
  <si>
    <t>dshohel@teraksa.com</t>
  </si>
  <si>
    <t>Fouad N. Kassouf</t>
  </si>
  <si>
    <t>+966547895861</t>
  </si>
  <si>
    <t>fkassouf@teraksa.com</t>
  </si>
  <si>
    <t>120161</t>
  </si>
  <si>
    <t>Technology Force</t>
  </si>
  <si>
    <t>120281</t>
  </si>
  <si>
    <t>Technology Track LLC</t>
  </si>
  <si>
    <t>Warehouse No. 99, As Sulay, Riyadh, Saudi Arabia</t>
  </si>
  <si>
    <t>https://maps.app.goo.gl/6hYqR6cG7Z8FTvsc6</t>
  </si>
  <si>
    <t>Hafiz Muhammad Usman</t>
  </si>
  <si>
    <t>+966 50 584 3286</t>
  </si>
  <si>
    <t>Technology Track LLC - TECH TRACK</t>
  </si>
  <si>
    <t>https://maps.app.goo.gl/qwkjjzBe2dFLcbeX9?g_st=iw</t>
  </si>
  <si>
    <t>h.usman@techtrack.sa</t>
  </si>
  <si>
    <t>Qamar Shahzad</t>
  </si>
  <si>
    <t>+966504912021</t>
  </si>
  <si>
    <t>(Store Incharge)</t>
  </si>
  <si>
    <t>121448</t>
  </si>
  <si>
    <t>TECHNOLOGY WORLD FOR COMMUNICATION</t>
  </si>
  <si>
    <t>Prince Abdulaziz Ibn Musaid Ibn Jalawi St, Al Olaya, Riyadh 11393</t>
  </si>
  <si>
    <t>https://maps.app.goo.gl/xiu1AeGf7Qo5rqjy6</t>
  </si>
  <si>
    <t>Ahmed Mohammed</t>
  </si>
  <si>
    <t>+966582379684</t>
  </si>
  <si>
    <t>a.mohammed@techworld-it.com</t>
  </si>
  <si>
    <t>Sales Account Manager</t>
  </si>
  <si>
    <t>120857</t>
  </si>
  <si>
    <t>TEJOURY</t>
  </si>
  <si>
    <t>Al Jawharah District, Jeddah, Saudi Arabia</t>
  </si>
  <si>
    <t>https://maps.app.goo.gl/tontQM6E7tE6WyCj9</t>
  </si>
  <si>
    <t>Richard Pinili</t>
  </si>
  <si>
    <t>+966562620174</t>
  </si>
  <si>
    <t>120650</t>
  </si>
  <si>
    <t>TeleNoc</t>
  </si>
  <si>
    <t>Olaya View Tower, 2nd Floor, Office No. 4027, Riyadh</t>
  </si>
  <si>
    <t>https://maps.app.goo.gl/US9NhfLnn1PdVzHJ8</t>
  </si>
  <si>
    <t>Hafiz Zulkifal</t>
  </si>
  <si>
    <t>+966596596411</t>
  </si>
  <si>
    <t>zulkifal@telenocgroup.com</t>
  </si>
  <si>
    <t>Wael Walid</t>
  </si>
  <si>
    <t>+966500214334</t>
  </si>
  <si>
    <t>The Joint Venture of the Alec Saudi Arabia Engineering &amp; Contracting and El Seif Engineering Contracting Co</t>
  </si>
  <si>
    <t>H8F5+9F6 Al Moqbel Palaces</t>
  </si>
  <si>
    <t>https://maps.app.goo.gl/sCtqeWAwNC8B5xBbA</t>
  </si>
  <si>
    <t>120165</t>
  </si>
  <si>
    <t>Three Pillars Technology &amp; Comunication.</t>
  </si>
  <si>
    <t>121074</t>
  </si>
  <si>
    <t>Tools &amp; Solutions</t>
  </si>
  <si>
    <t>Feras Ibrahim Harb</t>
  </si>
  <si>
    <t>+966545325324</t>
  </si>
  <si>
    <t>Feras.Harb@tools-solutions.com</t>
  </si>
  <si>
    <t>Rehab Al Rashid</t>
  </si>
  <si>
    <t>+966502889858</t>
  </si>
  <si>
    <t>120947</t>
  </si>
  <si>
    <t xml:space="preserve">Triple Solutions Communications </t>
  </si>
  <si>
    <t>121374</t>
  </si>
  <si>
    <t>United Force Treading Co.</t>
  </si>
  <si>
    <t>JPWF+3R4, Al Bathaa, Gurabi, Riyadh 11461</t>
  </si>
  <si>
    <t>https://maps.app.goo.gl/dxyvKkvoKBA5hQwZ7</t>
  </si>
  <si>
    <t>Eng. Ahmed  </t>
  </si>
  <si>
    <t>+966502050284</t>
  </si>
  <si>
    <t>Asarudeen UFT Showroom</t>
  </si>
  <si>
    <t>+966547081294</t>
  </si>
  <si>
    <t>121353</t>
  </si>
  <si>
    <t>United Shuroq IT Company</t>
  </si>
  <si>
    <t>Olaya-Computer Market,Al-Moosa Building, United Shuroq IT Co.</t>
  </si>
  <si>
    <t xml:space="preserve">Muhammed Shafi </t>
  </si>
  <si>
    <t>+966553867729</t>
  </si>
  <si>
    <t>120919</t>
  </si>
  <si>
    <t>United Smart Building Company - USBC</t>
  </si>
  <si>
    <t>Al Mahdiyah, Riyadh, Saudi Arabia</t>
  </si>
  <si>
    <t>https://maps.app.goo.gl/pxECnE4gtXFrwRMk7</t>
  </si>
  <si>
    <t>Mohamed Mattar</t>
  </si>
  <si>
    <t>+966551270976</t>
  </si>
  <si>
    <t>tech.support@u-s-b-c.com</t>
  </si>
  <si>
    <t>120693</t>
  </si>
  <si>
    <t>United Technology Contracting Co.</t>
  </si>
  <si>
    <t>Business Center Plaza, Office # 612, 6th floor, Al Farisi, Al Sharafeyah, Jeddah</t>
  </si>
  <si>
    <t>Hussni Fathi</t>
  </si>
  <si>
    <t>+966505646886</t>
  </si>
  <si>
    <t>hussni.fathi@ut.net.sa</t>
  </si>
  <si>
    <t>121277</t>
  </si>
  <si>
    <t>Universe Modern System Trading Co</t>
  </si>
  <si>
    <t>3023 العليا, حي الياسمين, RAYA6609، 6609, Riyadh 13325</t>
  </si>
  <si>
    <t>https://maps.app.goo.gl/1t2ZLSZPKawwmE4k6</t>
  </si>
  <si>
    <t xml:space="preserve">Eng.Mohamed Mostafa </t>
  </si>
  <si>
    <t>+966-557474167</t>
  </si>
  <si>
    <t>120679</t>
  </si>
  <si>
    <t>UpLogica</t>
  </si>
  <si>
    <t>https://goo.gl/maps/ZcGv5b5E1eNToVkZ8</t>
  </si>
  <si>
    <t>Mohammed Adil Raza</t>
  </si>
  <si>
    <t>+966 54 499 5081</t>
  </si>
  <si>
    <t>adil.raza@uplogica.com</t>
  </si>
  <si>
    <t>Uptime  Institute Branch</t>
  </si>
  <si>
    <t>6676 Olaya St, Al Olaya, office 201, Riyadh 12211</t>
  </si>
  <si>
    <t>https://maps.app.goo.gl/fwsCwV214W9gp1VA8</t>
  </si>
  <si>
    <t>Saleh</t>
  </si>
  <si>
    <t>+966593222828</t>
  </si>
  <si>
    <t>121325</t>
  </si>
  <si>
    <t>VASTech SA (Pty) Ltd .</t>
  </si>
  <si>
    <t>120827</t>
  </si>
  <si>
    <t>Veolia Arabia Company Ltd.</t>
  </si>
  <si>
    <t>121067</t>
  </si>
  <si>
    <t>Visions for Operations &amp; Maintenance Est.</t>
  </si>
  <si>
    <t>WAHAT ALETQAN INFORMATION TECHNOLOGY</t>
  </si>
  <si>
    <t>Askan Building 18, Prince Mansour Bin Abdulaziz St, Al Olaya, Riyadh 11543</t>
  </si>
  <si>
    <t>https://maps.app.goo.gl/8SJCVqrYd5tqjsD36</t>
  </si>
  <si>
    <t>~‎Etqan IT And Security</t>
  </si>
  <si>
    <t>+966534723296</t>
  </si>
  <si>
    <t>121478</t>
  </si>
  <si>
    <t>Wakeb Data co. for comm.&amp; IT</t>
  </si>
  <si>
    <t>king Abd alaziz،, Alyasmin, Riyadh 13321</t>
  </si>
  <si>
    <t>https://maps.app.goo.gl/hNTgDS2FM6NrpjRy9</t>
  </si>
  <si>
    <t>Hayat Wakeb</t>
  </si>
  <si>
    <t>+966503707444</t>
  </si>
  <si>
    <t>120171</t>
  </si>
  <si>
    <t>Waseela For Technology Consultation</t>
  </si>
  <si>
    <t>Mizan Tower, 60 Olaya St, Al Olaya, Riyadh,KSA</t>
  </si>
  <si>
    <t xml:space="preserve">https://maps.google.com/?q=24.680828,46.692390 </t>
  </si>
  <si>
    <t xml:space="preserve">Hayder Al-Khider </t>
  </si>
  <si>
    <t>+966553678549</t>
  </si>
  <si>
    <t>hayder.alkhider@waseela.com</t>
  </si>
  <si>
    <t>120289</t>
  </si>
  <si>
    <t>Waseet Electronics Est.</t>
  </si>
  <si>
    <t>Watad Energy &amp; Communications Co. Ltd</t>
  </si>
  <si>
    <t>120264</t>
  </si>
  <si>
    <t>Western Experts (SA) Co</t>
  </si>
  <si>
    <t>Building No. 7046 , Uthman Ibn Affan Road, An Nuzhah Area, Riyadh, KSA</t>
  </si>
  <si>
    <t>https://maps.app.goo.gl/ubiU9fct1AfWQ28m9</t>
  </si>
  <si>
    <t>Ashfaq Ahmed</t>
  </si>
  <si>
    <t>+966567266959</t>
  </si>
  <si>
    <t>Western Experts (SA) Co. - WESA</t>
  </si>
  <si>
    <t xml:space="preserve">Ashfaq Ahmad </t>
  </si>
  <si>
    <t>ahmad@wesa.sa</t>
  </si>
  <si>
    <t xml:space="preserve"> Al Udba Street, Near Naseem Clinic, Jeddah </t>
  </si>
  <si>
    <t>https://maps.app.goo.gl/jN2YC8yBQyWqX5iN8</t>
  </si>
  <si>
    <t>Waheed Ahmed</t>
  </si>
  <si>
    <t>+966509054683</t>
  </si>
  <si>
    <t>w.nazi@wesa.sa</t>
  </si>
  <si>
    <t>Abdul Wahab</t>
  </si>
  <si>
    <t>+966580768187</t>
  </si>
  <si>
    <t>HRH Prince Sultan B. Abdul Aziz Street, Cross 10 &amp; 11 Beside Star Barber, Al Khobar</t>
  </si>
  <si>
    <t>26°17'23.4"N 50°12'44.7"E - Google Maps</t>
  </si>
  <si>
    <t>Abdul Rahman Bhatti</t>
  </si>
  <si>
    <t>+966509054274</t>
  </si>
  <si>
    <t>arbhatti@wesa.sa</t>
  </si>
  <si>
    <t>120172</t>
  </si>
  <si>
    <t>WI CONNECT</t>
  </si>
  <si>
    <t>120845</t>
  </si>
  <si>
    <t>Wide Wave IT</t>
  </si>
  <si>
    <t>121312</t>
  </si>
  <si>
    <t>Wodfa Trading</t>
  </si>
  <si>
    <t xml:space="preserve"> Al Garabbi St, Al Amal, Riyadh </t>
  </si>
  <si>
    <t>https://maps.app.goo.gl/6wyDAyjQ2mcEJgXi8</t>
  </si>
  <si>
    <t>Mustafa</t>
  </si>
  <si>
    <t>+966504497413</t>
  </si>
  <si>
    <t>Anas</t>
  </si>
  <si>
    <t>+966534469545</t>
  </si>
  <si>
    <t>120231</t>
  </si>
  <si>
    <t>XYZ Dimensions Ltd.</t>
  </si>
  <si>
    <t>Akariya Building 2, Riyadh, Saudi Arabia</t>
  </si>
  <si>
    <t>https://maps.app.goo.gl/jA1ZrKkxKNoGDkZR8</t>
  </si>
  <si>
    <t>Imran Khan</t>
  </si>
  <si>
    <t>‪+966 59 528 3901‬</t>
  </si>
  <si>
    <t>Imran@e-xyzd.com</t>
  </si>
  <si>
    <t>Shafiq Ahmed</t>
  </si>
  <si>
    <t>+966597740548</t>
  </si>
  <si>
    <t>shafiq@e-xyzd.com</t>
  </si>
  <si>
    <t>PM5R+W5C As Sulimaniyah, Riyadh</t>
  </si>
  <si>
    <t>https://maps.app.goo.gl/5opgw2Q3UUdmGMvw6</t>
  </si>
  <si>
    <t>120807</t>
  </si>
  <si>
    <t>YOUSESEF MARROUN CONT. CO</t>
  </si>
  <si>
    <t xml:space="preserve">Al Mashael, Riyadh </t>
  </si>
  <si>
    <t>https://maps.app.goo.gl/6fzqdiWtd8osrYVdA</t>
  </si>
  <si>
    <t>+966550341857</t>
  </si>
  <si>
    <t>YOUSSEF MARROUN CONT. CO.</t>
  </si>
  <si>
    <t>120177</t>
  </si>
  <si>
    <t>Zamil Air Conditioners And Refrigeration</t>
  </si>
  <si>
    <t>38 St, Industrial Area No 1, Dammam</t>
  </si>
  <si>
    <t>Haris Sadaqat.</t>
  </si>
  <si>
    <t>+966511090124</t>
  </si>
  <si>
    <t>Haris.Sadaqat@coolcare.com.sa</t>
  </si>
  <si>
    <t xml:space="preserve">ZAMIL INTERNATIONAL INFORMATION </t>
  </si>
  <si>
    <t xml:space="preserve">AL MUHAMMADIYA HOSPITAL Near Aya Mall ,Muhammadiyah, Jeddah </t>
  </si>
  <si>
    <t>https://maps.app.goo.gl/z1KzUUGN315vtN4XA</t>
  </si>
  <si>
    <t>Zamil International Information Services</t>
  </si>
  <si>
    <t>Riyadh WH</t>
  </si>
  <si>
    <t>MVH2+7GC As Sulay, Riyadh</t>
  </si>
  <si>
    <t>https://maps.app.goo.gl/3v5JZRscFxG5hqDX9</t>
  </si>
  <si>
    <t>Mr. Ahmed Alhamed</t>
  </si>
  <si>
    <t>+966550681291</t>
  </si>
  <si>
    <t>120911</t>
  </si>
  <si>
    <t>Zamil WH, King Abdulaziz Rd, King Abdul Aziz Seaport, Dammam, KSA</t>
  </si>
  <si>
    <t>https://maps.app.goo.gl/4zXVZprKQgVDwgDX6?g_st=iw</t>
  </si>
  <si>
    <t>Khalid Karimbakandi</t>
  </si>
  <si>
    <t>+966 59 858 2005</t>
  </si>
  <si>
    <t>120886</t>
  </si>
  <si>
    <t>Zawaya Al Ahjar Information</t>
  </si>
  <si>
    <t>ALIM warehouse, WH No. 4,  As Sali, Riyadh, KSA</t>
  </si>
  <si>
    <t>https://goo.gl/maps/Va9kTUf63K4gvqf97</t>
  </si>
  <si>
    <t>Anwar Surve</t>
  </si>
  <si>
    <t>+966563637434</t>
  </si>
  <si>
    <t>anwar.yusuf@keyston.com</t>
  </si>
  <si>
    <t>120824</t>
  </si>
  <si>
    <t>Ziyad Abdulrahman Al- Shehab trading Est</t>
  </si>
  <si>
    <t>Gulf Commercial Center, Computer market, Olaya, Riyadh</t>
  </si>
  <si>
    <t>https://maps.app.goo.gl/y2gLrbR8L7woTm1N6</t>
  </si>
  <si>
    <t xml:space="preserve">Ahmed Abdo </t>
  </si>
  <si>
    <t>+966543902696</t>
  </si>
  <si>
    <t>ahmed@zicctv.com</t>
  </si>
  <si>
    <t>Mohamed Ghanem</t>
  </si>
  <si>
    <t>+966581062827</t>
  </si>
  <si>
    <t>120850</t>
  </si>
  <si>
    <t>Zorins Technologies Company Limited</t>
  </si>
  <si>
    <t>https://maps.app.goo.gl/6rTtQABhdjQ5uQc18</t>
  </si>
  <si>
    <t xml:space="preserve">Naveed </t>
  </si>
  <si>
    <t>+966503560415</t>
  </si>
  <si>
    <t>Salman Pasha</t>
  </si>
  <si>
    <t>+966503520947</t>
  </si>
  <si>
    <t>Zorins Technologies Ltd Co.</t>
  </si>
  <si>
    <t xml:space="preserve">Mahmoud  </t>
  </si>
  <si>
    <t>+966538613936</t>
  </si>
  <si>
    <t>Vendor number</t>
  </si>
  <si>
    <t>1103DCOMS</t>
  </si>
  <si>
    <t>SAP PN</t>
  </si>
  <si>
    <t>ARAMEX</t>
  </si>
  <si>
    <t>Mecca (Makkah)</t>
  </si>
  <si>
    <t>Medina (Madinah)</t>
  </si>
  <si>
    <t>Dhahran</t>
  </si>
  <si>
    <t>Yanbu</t>
  </si>
  <si>
    <t>Taif</t>
  </si>
  <si>
    <t>Abha</t>
  </si>
  <si>
    <t>Khamis Mushait</t>
  </si>
  <si>
    <t>Najran</t>
  </si>
  <si>
    <t>Hail</t>
  </si>
  <si>
    <t>Buraydah</t>
  </si>
  <si>
    <t>Hofuf (Al Ahsa)</t>
  </si>
  <si>
    <t>Qatif</t>
  </si>
  <si>
    <t>Jizan</t>
  </si>
  <si>
    <t>Arar</t>
  </si>
  <si>
    <t>city_name,region</t>
  </si>
  <si>
    <t>Riyadh,Riyadh</t>
  </si>
  <si>
    <t>Jeddah,Makkah</t>
  </si>
  <si>
    <t>Mecca,Makkah</t>
  </si>
  <si>
    <t>Medina,Madinah</t>
  </si>
  <si>
    <t>Dammam,Eastern</t>
  </si>
  <si>
    <t>Khobar,Eastern</t>
  </si>
  <si>
    <t>Dhahran,Eastern</t>
  </si>
  <si>
    <t>Jubail,Eastern</t>
  </si>
  <si>
    <t>Yanbu,Madinah</t>
  </si>
  <si>
    <t>Taif,Makkah</t>
  </si>
  <si>
    <t>Tabuk,Tabuk</t>
  </si>
  <si>
    <t>Abha,Asir</t>
  </si>
  <si>
    <t>Khamis Mushait,Asir</t>
  </si>
  <si>
    <t>Najran,Najran</t>
  </si>
  <si>
    <t>Hail,Hail</t>
  </si>
  <si>
    <t>Buraydah,Qassim</t>
  </si>
  <si>
    <t>Hofuf,Eastern</t>
  </si>
  <si>
    <t>Qatif,Eastern</t>
  </si>
  <si>
    <t>Jizan,Jazan</t>
  </si>
  <si>
    <t>Arar,Northern Borders</t>
  </si>
  <si>
    <t>Al Kharj,Riyadh</t>
  </si>
  <si>
    <t>Hafar Al-Batin,Eastern</t>
  </si>
  <si>
    <t>Rabigh,Makkah</t>
  </si>
  <si>
    <t>Rafha,Northern Borders</t>
  </si>
  <si>
    <t>Qurayyat,Al Jouf</t>
  </si>
  <si>
    <t>Duba,Tabuk</t>
  </si>
  <si>
    <t>Umluj,Tabuk</t>
  </si>
  <si>
    <t>Al Ula,Madinah</t>
  </si>
  <si>
    <t>Wadi Al Dawasir,Riyadh</t>
  </si>
  <si>
    <t>Dawadmi,Riyadh</t>
  </si>
  <si>
    <t>Majmaah,Riyadh</t>
  </si>
  <si>
    <t>Zulfi,Riyadh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</si>
</sst>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164" formatCode="00\ &quot;CASES&quot;"/>
    <numFmt numFmtId="165" formatCode="[$-409]mmmm\ d\,\ yyyy;@"/>
  </numFmts>
  <fonts count="8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1F4E79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2"/>
      <color rgb="FF1F4E79"/>
      <name val="Aptos Narrow"/>
      <family val="2"/>
      <scheme val="minor"/>
    </font>
    <font>
      <b/>
      <sz val="11"/>
      <color rgb="FF1F4E79"/>
      <name val="Aptos Narrow"/>
      <family val="2"/>
      <scheme val="minor"/>
    </font>
    <font>
      <b/>
      <sz val="14"/>
      <color rgb="FF1F4E79"/>
      <name val="Aptos Narrow"/>
      <family val="2"/>
      <scheme val="minor"/>
    </font>
    <font>
      <sz val="10"/>
      <color theme="1"/>
      <name val="Consolas"/>
      <family val="2"/>
    </font>
    <font>
      <sz val="11"/>
      <color theme="1"/>
      <name val="Aptos Narrow"/>
      <family val="2"/>
      <scheme val="minor"/>
    </font>
    <font>
      <sz val="10"/>
      <name val="Trebuchet MS"/>
      <family val="2"/>
    </font>
    <font>
      <sz val="10"/>
      <name val="Century Gothic"/>
      <family val="2"/>
    </font>
    <font>
      <b/>
      <sz val="48"/>
      <color theme="1" tint="4.9989318521683403E-2"/>
      <name val="Arial"/>
      <family val="2"/>
    </font>
    <font>
      <b/>
      <sz val="28"/>
      <color theme="1" tint="4.9989318521683403E-2"/>
      <name val="Arial"/>
      <family val="2"/>
    </font>
    <font>
      <b/>
      <sz val="8"/>
      <color theme="0"/>
      <name val="Arial"/>
      <family val="2"/>
    </font>
    <font>
      <b/>
      <i/>
      <sz val="18"/>
      <name val="DengXian"/>
      <family val="4"/>
      <charset val="134"/>
    </font>
    <font>
      <sz val="10"/>
      <color rgb="FFA3A3A3"/>
      <name val="Century Gothic"/>
      <family val="2"/>
    </font>
    <font>
      <u/>
      <sz val="10"/>
      <color indexed="12"/>
      <name val="Verdana"/>
      <family val="2"/>
    </font>
    <font>
      <b/>
      <sz val="48"/>
      <color theme="1" tint="4.9989318521683403E-2"/>
      <name val="Century Gothic"/>
      <family val="2"/>
    </font>
    <font>
      <sz val="14"/>
      <name val="DengXian"/>
      <family val="4"/>
      <charset val="134"/>
    </font>
    <font>
      <b/>
      <sz val="14"/>
      <color theme="1" tint="0.14999847407452621"/>
      <name val="Arial"/>
      <family val="2"/>
    </font>
    <font>
      <sz val="14"/>
      <color theme="1" tint="4.9989318521683403E-2"/>
      <name val="Arial"/>
      <family val="2"/>
    </font>
    <font>
      <b/>
      <sz val="16"/>
      <name val="Century Gothic"/>
      <family val="2"/>
    </font>
    <font>
      <sz val="10"/>
      <name val="Arial"/>
      <family val="2"/>
    </font>
    <font>
      <b/>
      <u/>
      <sz val="20"/>
      <color rgb="FFC1142C"/>
      <name val="Arial"/>
      <family val="2"/>
    </font>
    <font>
      <b/>
      <sz val="20"/>
      <color rgb="FFC1142C"/>
      <name val="Arial"/>
      <family val="2"/>
    </font>
    <font>
      <b/>
      <sz val="16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u/>
      <sz val="14"/>
      <color indexed="12"/>
      <name val="Arial"/>
      <family val="2"/>
    </font>
    <font>
      <b/>
      <u/>
      <sz val="14"/>
      <color theme="1"/>
      <name val="Arial"/>
      <family val="2"/>
    </font>
    <font>
      <sz val="12"/>
      <color theme="0"/>
      <name val="Arial"/>
      <family val="2"/>
    </font>
    <font>
      <b/>
      <sz val="14"/>
      <color theme="1" tint="4.9989318521683403E-2"/>
      <name val="Arial"/>
      <family val="2"/>
    </font>
    <font>
      <sz val="14"/>
      <color theme="1"/>
      <name val="Arial"/>
      <family val="2"/>
    </font>
    <font>
      <b/>
      <sz val="18"/>
      <name val="Aptos Display"/>
      <family val="2"/>
      <scheme val="major"/>
    </font>
    <font>
      <sz val="16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u/>
      <sz val="18"/>
      <color theme="0"/>
      <name val="Arial"/>
      <family val="2"/>
    </font>
    <font>
      <sz val="14"/>
      <color theme="0"/>
      <name val="Arial"/>
      <family val="2"/>
    </font>
    <font>
      <b/>
      <sz val="14"/>
      <name val="Arial"/>
      <family val="2"/>
    </font>
    <font>
      <b/>
      <sz val="16"/>
      <color theme="1" tint="4.9989318521683403E-2"/>
      <name val="Arial"/>
      <family val="2"/>
    </font>
    <font>
      <sz val="18"/>
      <color theme="0"/>
      <name val="Arial"/>
      <family val="2"/>
    </font>
    <font>
      <b/>
      <u/>
      <sz val="14"/>
      <name val="Arial"/>
      <family val="2"/>
    </font>
    <font>
      <b/>
      <sz val="18"/>
      <name val="Arial"/>
      <family val="2"/>
    </font>
    <font>
      <b/>
      <sz val="11"/>
      <color theme="1" tint="4.9989318521683403E-2"/>
      <name val="Arial"/>
      <family val="2"/>
    </font>
    <font>
      <sz val="11"/>
      <color theme="1" tint="4.9989318521683403E-2"/>
      <name val="Arial"/>
      <family val="2"/>
    </font>
    <font>
      <sz val="12"/>
      <color theme="1" tint="4.9989318521683403E-2"/>
      <name val="Arial"/>
      <family val="2"/>
    </font>
    <font>
      <sz val="16"/>
      <name val="Aptos Narrow"/>
      <family val="2"/>
      <scheme val="minor"/>
    </font>
    <font>
      <sz val="18"/>
      <name val="Aptos Narrow"/>
      <family val="2"/>
      <scheme val="minor"/>
    </font>
    <font>
      <sz val="15"/>
      <color theme="1" tint="4.9989318521683403E-2"/>
      <name val="Aptos Narrow"/>
      <family val="2"/>
      <scheme val="minor"/>
    </font>
    <font>
      <sz val="18"/>
      <color theme="1" tint="4.9989318521683403E-2"/>
      <name val="Aptos Narrow"/>
      <family val="2"/>
      <scheme val="minor"/>
    </font>
    <font>
      <b/>
      <sz val="14"/>
      <color indexed="8"/>
      <name val="Century Gothic"/>
      <family val="2"/>
    </font>
    <font>
      <b/>
      <u/>
      <sz val="16"/>
      <color indexed="8"/>
      <name val="Century Gothic"/>
      <family val="2"/>
    </font>
    <font>
      <b/>
      <sz val="11"/>
      <color indexed="8"/>
      <name val="Century Gothic"/>
      <family val="2"/>
    </font>
    <font>
      <sz val="14"/>
      <color theme="1" tint="0.249977111117893"/>
      <name val="Arial"/>
      <family val="2"/>
    </font>
    <font>
      <u/>
      <sz val="14"/>
      <color theme="1" tint="0.249977111117893"/>
      <name val="Arial"/>
      <family val="2"/>
    </font>
    <font>
      <u/>
      <sz val="14"/>
      <name val="Arial"/>
      <family val="2"/>
    </font>
    <font>
      <b/>
      <sz val="14"/>
      <color rgb="FFC00000"/>
      <name val="Arial"/>
      <family val="2"/>
    </font>
    <font>
      <b/>
      <i/>
      <u/>
      <sz val="18"/>
      <name val="Arial"/>
      <family val="2"/>
    </font>
    <font>
      <sz val="14"/>
      <color theme="1" tint="0.14999847407452621"/>
      <name val="Arial"/>
      <family val="2"/>
    </font>
    <font>
      <b/>
      <sz val="14"/>
      <color theme="1" tint="0.249977111117893"/>
      <name val="Arial"/>
      <family val="2"/>
    </font>
    <font>
      <sz val="14"/>
      <color rgb="FFFF0000"/>
      <name val="Arial"/>
      <family val="2"/>
    </font>
    <font>
      <u/>
      <sz val="14"/>
      <color rgb="FFFF0000"/>
      <name val="Arial"/>
      <family val="2"/>
    </font>
    <font>
      <u/>
      <sz val="14"/>
      <color theme="0"/>
      <name val="Arial"/>
      <family val="2"/>
    </font>
    <font>
      <sz val="14"/>
      <name val="Century Gothic"/>
      <family val="2"/>
    </font>
    <font>
      <sz val="14"/>
      <color theme="1" tint="0.249977111117893"/>
      <name val="Century Gothic"/>
      <family val="2"/>
    </font>
    <font>
      <b/>
      <sz val="14"/>
      <name val="Century Gothic"/>
      <family val="2"/>
    </font>
    <font>
      <b/>
      <sz val="14"/>
      <color rgb="FFC00000"/>
      <name val="Century Gothic"/>
      <family val="2"/>
    </font>
    <font>
      <sz val="14"/>
      <color rgb="FFC00000"/>
      <name val="DengXian"/>
      <family val="4"/>
      <charset val="134"/>
    </font>
    <font>
      <u/>
      <sz val="14"/>
      <color rgb="FFFF0000"/>
      <name val="Century Gothic"/>
      <family val="2"/>
    </font>
    <font>
      <b/>
      <u/>
      <sz val="14"/>
      <color rgb="FFC00000"/>
      <name val="Century Gothic"/>
      <family val="2"/>
    </font>
    <font>
      <b/>
      <u/>
      <sz val="14"/>
      <color theme="1" tint="0.249977111117893"/>
      <name val="Century Gothic"/>
      <family val="2"/>
    </font>
    <font>
      <b/>
      <sz val="14"/>
      <color theme="1" tint="0.249977111117893"/>
      <name val="Century Gothic"/>
      <family val="2"/>
    </font>
    <font>
      <sz val="14"/>
      <color rgb="FFC00000"/>
      <name val="Century Gothic"/>
      <family val="2"/>
    </font>
    <font>
      <u/>
      <sz val="14"/>
      <color rgb="FFC00000"/>
      <name val="Century Gothic"/>
      <family val="2"/>
    </font>
    <font>
      <u/>
      <sz val="14"/>
      <color theme="1" tint="0.249977111117893"/>
      <name val="Century Gothic"/>
      <family val="2"/>
    </font>
    <font>
      <sz val="10"/>
      <color theme="1" tint="0.249977111117893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FE08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0" fontId="11" fillId="0" borderId="0"/>
    <xf numFmtId="0" fontId="18" fillId="0" borderId="0" applyNumberFormat="0" applyFill="0" applyBorder="0" applyAlignment="0" applyProtection="0">
      <alignment vertical="top"/>
      <protection locked="0"/>
    </xf>
  </cellStyleXfs>
  <cellXfs count="238">
    <xf numFmtId="0" fontId="0" fillId="0" borderId="0" xfId="0"/>
    <xf numFmtId="0" fontId="1" fillId="0" borderId="0" xfId="0" applyFont="1"/>
    <xf numFmtId="0" fontId="2" fillId="2" borderId="0" xfId="0" applyFont="1" applyFill="1"/>
    <xf numFmtId="14" fontId="0" fillId="0" borderId="0" xfId="0" applyNumberFormat="1"/>
    <xf numFmtId="3" fontId="0" fillId="0" borderId="0" xfId="0" applyNumberFormat="1"/>
    <xf numFmtId="0" fontId="2" fillId="3" borderId="0" xfId="0" applyFont="1" applyFill="1"/>
    <xf numFmtId="3" fontId="2" fillId="3" borderId="0" xfId="0" applyNumberFormat="1" applyFont="1" applyFill="1"/>
    <xf numFmtId="0" fontId="3" fillId="0" borderId="0" xfId="0" applyFont="1"/>
    <xf numFmtId="0" fontId="2" fillId="2" borderId="2" xfId="0" applyFont="1" applyFill="1" applyBorder="1" applyAlignment="1">
      <alignment horizontal="center"/>
    </xf>
    <xf numFmtId="0" fontId="6" fillId="0" borderId="0" xfId="0" applyFont="1"/>
    <xf numFmtId="49" fontId="0" fillId="0" borderId="0" xfId="0" applyNumberFormat="1"/>
    <xf numFmtId="49" fontId="8" fillId="0" borderId="0" xfId="0" applyNumberFormat="1" applyFont="1"/>
    <xf numFmtId="49" fontId="1" fillId="5" borderId="0" xfId="0" applyNumberFormat="1" applyFont="1" applyFill="1"/>
    <xf numFmtId="49" fontId="9" fillId="6" borderId="0" xfId="0" applyNumberFormat="1" applyFont="1" applyFill="1"/>
    <xf numFmtId="49" fontId="9" fillId="6" borderId="0" xfId="0" quotePrefix="1" applyNumberFormat="1" applyFont="1" applyFill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0" xfId="0" applyAlignment="1">
      <alignment vertical="center"/>
    </xf>
    <xf numFmtId="0" fontId="0" fillId="4" borderId="2" xfId="0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1" fillId="7" borderId="0" xfId="0" applyFont="1" applyFill="1" applyAlignment="1">
      <alignment horizontal="center"/>
    </xf>
    <xf numFmtId="14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1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12" fillId="0" borderId="0" xfId="2" applyFont="1" applyAlignment="1">
      <alignment vertical="center"/>
    </xf>
    <xf numFmtId="0" fontId="13" fillId="8" borderId="0" xfId="2" applyFont="1" applyFill="1" applyAlignment="1">
      <alignment horizontal="centerContinuous" vertical="center"/>
    </xf>
    <xf numFmtId="0" fontId="14" fillId="8" borderId="0" xfId="2" applyFont="1" applyFill="1" applyAlignment="1">
      <alignment horizontal="centerContinuous" vertical="center"/>
    </xf>
    <xf numFmtId="0" fontId="15" fillId="8" borderId="0" xfId="2" applyFont="1" applyFill="1" applyAlignment="1">
      <alignment horizontal="centerContinuous" vertical="center"/>
    </xf>
    <xf numFmtId="0" fontId="16" fillId="0" borderId="0" xfId="2" applyFont="1" applyAlignment="1">
      <alignment horizontal="left" vertical="center"/>
    </xf>
    <xf numFmtId="0" fontId="17" fillId="0" borderId="0" xfId="2" applyFont="1" applyAlignment="1">
      <alignment vertical="center"/>
    </xf>
    <xf numFmtId="0" fontId="17" fillId="7" borderId="0" xfId="2" applyFont="1" applyFill="1" applyAlignment="1">
      <alignment vertical="center"/>
    </xf>
    <xf numFmtId="0" fontId="18" fillId="0" borderId="0" xfId="3" applyAlignment="1" applyProtection="1">
      <alignment vertical="center"/>
    </xf>
    <xf numFmtId="0" fontId="19" fillId="8" borderId="0" xfId="2" applyFont="1" applyFill="1" applyAlignment="1">
      <alignment horizontal="center" vertical="center"/>
    </xf>
    <xf numFmtId="0" fontId="20" fillId="0" borderId="0" xfId="2" applyFont="1" applyAlignment="1">
      <alignment horizontal="left" vertical="center"/>
    </xf>
    <xf numFmtId="49" fontId="12" fillId="0" borderId="0" xfId="2" applyNumberFormat="1" applyFont="1" applyAlignment="1">
      <alignment vertical="center"/>
    </xf>
    <xf numFmtId="0" fontId="12" fillId="0" borderId="0" xfId="2" applyFont="1" applyAlignment="1">
      <alignment vertical="center" wrapText="1"/>
    </xf>
    <xf numFmtId="1" fontId="21" fillId="0" borderId="0" xfId="2" applyNumberFormat="1" applyFont="1" applyAlignment="1">
      <alignment horizontal="right" vertical="center"/>
    </xf>
    <xf numFmtId="14" fontId="22" fillId="0" borderId="4" xfId="2" applyNumberFormat="1" applyFont="1" applyBorder="1" applyAlignment="1">
      <alignment horizontal="left" vertical="center"/>
    </xf>
    <xf numFmtId="14" fontId="22" fillId="0" borderId="5" xfId="2" applyNumberFormat="1" applyFont="1" applyBorder="1" applyAlignment="1">
      <alignment horizontal="left" vertical="center"/>
    </xf>
    <xf numFmtId="0" fontId="23" fillId="0" borderId="0" xfId="2" applyFont="1" applyAlignment="1">
      <alignment horizontal="center" vertical="center"/>
    </xf>
    <xf numFmtId="1" fontId="22" fillId="0" borderId="4" xfId="2" applyNumberFormat="1" applyFont="1" applyBorder="1" applyAlignment="1">
      <alignment horizontal="left" vertical="center"/>
    </xf>
    <xf numFmtId="1" fontId="22" fillId="0" borderId="5" xfId="2" applyNumberFormat="1" applyFont="1" applyBorder="1" applyAlignment="1">
      <alignment horizontal="left" vertical="center"/>
    </xf>
    <xf numFmtId="0" fontId="24" fillId="0" borderId="0" xfId="2" applyFont="1" applyAlignment="1">
      <alignment vertical="center"/>
    </xf>
    <xf numFmtId="0" fontId="25" fillId="0" borderId="0" xfId="2" applyFont="1" applyAlignment="1">
      <alignment vertical="center"/>
    </xf>
    <xf numFmtId="49" fontId="26" fillId="0" borderId="0" xfId="2" applyNumberFormat="1" applyFont="1" applyAlignment="1">
      <alignment vertical="center"/>
    </xf>
    <xf numFmtId="0" fontId="27" fillId="0" borderId="0" xfId="2" applyFont="1" applyAlignment="1">
      <alignment horizontal="center" vertical="center"/>
    </xf>
    <xf numFmtId="0" fontId="22" fillId="0" borderId="4" xfId="2" applyFont="1" applyBorder="1" applyAlignment="1">
      <alignment horizontal="left" vertical="center"/>
    </xf>
    <xf numFmtId="49" fontId="22" fillId="0" borderId="5" xfId="2" applyNumberFormat="1" applyFont="1" applyBorder="1" applyAlignment="1">
      <alignment horizontal="left" vertical="center"/>
    </xf>
    <xf numFmtId="0" fontId="28" fillId="0" borderId="0" xfId="2" applyFont="1" applyAlignment="1">
      <alignment vertical="center"/>
    </xf>
    <xf numFmtId="0" fontId="21" fillId="0" borderId="0" xfId="2" applyFont="1" applyAlignment="1">
      <alignment horizontal="right" vertical="center"/>
    </xf>
    <xf numFmtId="49" fontId="28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8" fillId="0" borderId="0" xfId="2" applyFont="1" applyAlignment="1">
      <alignment horizontal="left" vertical="center"/>
    </xf>
    <xf numFmtId="0" fontId="28" fillId="0" borderId="0" xfId="2" applyFont="1" applyAlignment="1">
      <alignment horizontal="left" vertical="center" wrapText="1"/>
    </xf>
    <xf numFmtId="49" fontId="28" fillId="0" borderId="0" xfId="2" applyNumberFormat="1" applyFont="1" applyAlignment="1">
      <alignment horizontal="left" vertical="center"/>
    </xf>
    <xf numFmtId="0" fontId="22" fillId="0" borderId="0" xfId="2" applyFont="1" applyAlignment="1">
      <alignment horizontal="left" vertical="center"/>
    </xf>
    <xf numFmtId="0" fontId="29" fillId="0" borderId="0" xfId="3" applyFont="1" applyAlignment="1" applyProtection="1">
      <alignment vertical="center"/>
    </xf>
    <xf numFmtId="49" fontId="30" fillId="0" borderId="0" xfId="3" applyNumberFormat="1" applyFont="1" applyAlignment="1" applyProtection="1">
      <alignment horizontal="left" vertical="center"/>
    </xf>
    <xf numFmtId="0" fontId="28" fillId="0" borderId="6" xfId="2" applyFont="1" applyBorder="1" applyAlignment="1">
      <alignment vertical="center"/>
    </xf>
    <xf numFmtId="0" fontId="31" fillId="8" borderId="7" xfId="2" applyFont="1" applyFill="1" applyBorder="1" applyAlignment="1">
      <alignment vertical="center"/>
    </xf>
    <xf numFmtId="0" fontId="32" fillId="0" borderId="8" xfId="2" applyFont="1" applyBorder="1" applyAlignment="1">
      <alignment horizontal="left" vertical="center"/>
    </xf>
    <xf numFmtId="0" fontId="28" fillId="0" borderId="9" xfId="2" applyFont="1" applyBorder="1" applyAlignment="1">
      <alignment horizontal="left" vertical="center"/>
    </xf>
    <xf numFmtId="1" fontId="33" fillId="0" borderId="0" xfId="2" applyNumberFormat="1" applyFont="1" applyAlignment="1">
      <alignment horizontal="right" vertical="center"/>
    </xf>
    <xf numFmtId="0" fontId="34" fillId="0" borderId="4" xfId="2" applyFont="1" applyBorder="1" applyAlignment="1">
      <alignment horizontal="left" vertical="center"/>
    </xf>
    <xf numFmtId="0" fontId="22" fillId="0" borderId="5" xfId="2" applyFont="1" applyBorder="1" applyAlignment="1">
      <alignment horizontal="left" vertical="center"/>
    </xf>
    <xf numFmtId="0" fontId="20" fillId="0" borderId="0" xfId="2" quotePrefix="1" applyFont="1" applyAlignment="1">
      <alignment horizontal="left" vertical="center"/>
    </xf>
    <xf numFmtId="0" fontId="35" fillId="0" borderId="10" xfId="2" applyFont="1" applyBorder="1" applyAlignment="1">
      <alignment vertical="center"/>
    </xf>
    <xf numFmtId="0" fontId="36" fillId="0" borderId="0" xfId="2" applyFont="1" applyAlignment="1">
      <alignment vertical="center" wrapText="1"/>
    </xf>
    <xf numFmtId="0" fontId="37" fillId="0" borderId="11" xfId="3" applyFont="1" applyBorder="1" applyAlignment="1" applyProtection="1">
      <alignment horizontal="left" vertical="center"/>
    </xf>
    <xf numFmtId="0" fontId="30" fillId="0" borderId="0" xfId="3" applyFont="1" applyAlignment="1" applyProtection="1">
      <alignment horizontal="left" vertical="center"/>
    </xf>
    <xf numFmtId="0" fontId="34" fillId="8" borderId="0" xfId="2" applyFont="1" applyFill="1" applyAlignment="1">
      <alignment horizontal="left" vertical="center"/>
    </xf>
    <xf numFmtId="0" fontId="24" fillId="7" borderId="0" xfId="2" applyFont="1" applyFill="1" applyAlignment="1">
      <alignment vertical="center"/>
    </xf>
    <xf numFmtId="0" fontId="38" fillId="0" borderId="10" xfId="1" applyNumberFormat="1" applyFont="1" applyFill="1" applyBorder="1" applyAlignment="1">
      <alignment horizontal="left" vertical="center"/>
    </xf>
    <xf numFmtId="0" fontId="36" fillId="0" borderId="0" xfId="2" applyFont="1" applyAlignment="1">
      <alignment horizontal="left" vertical="center"/>
    </xf>
    <xf numFmtId="0" fontId="34" fillId="8" borderId="11" xfId="2" applyFont="1" applyFill="1" applyBorder="1" applyAlignment="1">
      <alignment horizontal="left" vertical="center"/>
    </xf>
    <xf numFmtId="0" fontId="39" fillId="8" borderId="0" xfId="2" applyFont="1" applyFill="1" applyAlignment="1">
      <alignment horizontal="left" vertical="center"/>
    </xf>
    <xf numFmtId="0" fontId="40" fillId="8" borderId="0" xfId="2" applyFont="1" applyFill="1" applyAlignment="1">
      <alignment vertical="center"/>
    </xf>
    <xf numFmtId="0" fontId="41" fillId="0" borderId="0" xfId="2" applyFont="1" applyAlignment="1">
      <alignment vertical="center"/>
    </xf>
    <xf numFmtId="0" fontId="28" fillId="0" borderId="11" xfId="1" applyNumberFormat="1" applyFont="1" applyFill="1" applyBorder="1" applyAlignment="1">
      <alignment vertical="center"/>
    </xf>
    <xf numFmtId="0" fontId="42" fillId="0" borderId="0" xfId="1" applyNumberFormat="1" applyFont="1" applyFill="1" applyAlignment="1">
      <alignment horizontal="left" vertical="center"/>
    </xf>
    <xf numFmtId="1" fontId="43" fillId="0" borderId="0" xfId="2" applyNumberFormat="1" applyFont="1" applyAlignment="1">
      <alignment horizontal="right" vertical="center"/>
    </xf>
    <xf numFmtId="0" fontId="44" fillId="0" borderId="0" xfId="1" applyNumberFormat="1" applyFont="1" applyFill="1" applyBorder="1" applyAlignment="1"/>
    <xf numFmtId="0" fontId="41" fillId="0" borderId="0" xfId="2" applyFont="1" applyAlignment="1">
      <alignment horizontal="left" vertical="center" wrapText="1"/>
    </xf>
    <xf numFmtId="0" fontId="38" fillId="0" borderId="10" xfId="2" applyFont="1" applyBorder="1" applyAlignment="1">
      <alignment horizontal="left" vertical="center"/>
    </xf>
    <xf numFmtId="0" fontId="28" fillId="0" borderId="0" xfId="1" applyNumberFormat="1" applyFont="1" applyFill="1" applyBorder="1" applyAlignment="1">
      <alignment vertical="center"/>
    </xf>
    <xf numFmtId="0" fontId="41" fillId="0" borderId="0" xfId="1" applyNumberFormat="1" applyFont="1" applyFill="1" applyBorder="1" applyAlignment="1"/>
    <xf numFmtId="0" fontId="41" fillId="0" borderId="0" xfId="2" applyFont="1" applyAlignment="1">
      <alignment horizontal="left" vertical="center"/>
    </xf>
    <xf numFmtId="0" fontId="45" fillId="0" borderId="10" xfId="1" applyNumberFormat="1" applyFont="1" applyBorder="1" applyAlignment="1">
      <alignment vertical="center"/>
    </xf>
    <xf numFmtId="0" fontId="42" fillId="0" borderId="0" xfId="1" applyNumberFormat="1" applyFont="1" applyBorder="1" applyAlignment="1">
      <alignment horizontal="left" vertical="center"/>
    </xf>
    <xf numFmtId="0" fontId="46" fillId="0" borderId="11" xfId="1" applyNumberFormat="1" applyFont="1" applyBorder="1" applyAlignment="1">
      <alignment vertical="center"/>
    </xf>
    <xf numFmtId="0" fontId="42" fillId="0" borderId="0" xfId="1" applyNumberFormat="1" applyFont="1" applyAlignment="1">
      <alignment horizontal="left" vertical="center"/>
    </xf>
    <xf numFmtId="0" fontId="47" fillId="8" borderId="0" xfId="2" applyFont="1" applyFill="1" applyAlignment="1">
      <alignment horizontal="right" vertical="center"/>
    </xf>
    <xf numFmtId="0" fontId="41" fillId="8" borderId="0" xfId="2" applyFont="1" applyFill="1" applyAlignment="1">
      <alignment horizontal="left" vertical="center"/>
    </xf>
    <xf numFmtId="0" fontId="24" fillId="0" borderId="0" xfId="2" applyFont="1" applyAlignment="1">
      <alignment horizontal="left" vertical="center" wrapText="1"/>
    </xf>
    <xf numFmtId="0" fontId="38" fillId="0" borderId="10" xfId="1" applyNumberFormat="1" applyFont="1" applyFill="1" applyBorder="1" applyAlignment="1">
      <alignment horizontal="left" vertical="center" wrapText="1"/>
    </xf>
    <xf numFmtId="0" fontId="38" fillId="0" borderId="0" xfId="1" quotePrefix="1" applyNumberFormat="1" applyFont="1" applyFill="1" applyBorder="1" applyAlignment="1">
      <alignment horizontal="left" vertical="center" wrapText="1"/>
    </xf>
    <xf numFmtId="0" fontId="38" fillId="0" borderId="11" xfId="1" applyNumberFormat="1" applyFont="1" applyFill="1" applyBorder="1" applyAlignment="1">
      <alignment horizontal="left" vertical="center" wrapText="1"/>
    </xf>
    <xf numFmtId="0" fontId="28" fillId="0" borderId="0" xfId="1" applyNumberFormat="1" applyFont="1" applyAlignment="1">
      <alignment horizontal="left" vertical="center" wrapText="1"/>
    </xf>
    <xf numFmtId="0" fontId="48" fillId="8" borderId="0" xfId="2" applyFont="1" applyFill="1" applyAlignment="1">
      <alignment horizontal="left" vertical="center" wrapText="1"/>
    </xf>
    <xf numFmtId="0" fontId="49" fillId="8" borderId="0" xfId="2" applyFont="1" applyFill="1" applyAlignment="1">
      <alignment horizontal="left" vertical="center" wrapText="1"/>
    </xf>
    <xf numFmtId="0" fontId="20" fillId="0" borderId="0" xfId="2" applyFont="1" applyAlignment="1">
      <alignment horizontal="left" vertical="center" wrapText="1"/>
    </xf>
    <xf numFmtId="0" fontId="18" fillId="7" borderId="0" xfId="3" applyFill="1" applyAlignment="1" applyProtection="1">
      <alignment horizontal="left" vertical="center" wrapText="1"/>
    </xf>
    <xf numFmtId="0" fontId="38" fillId="0" borderId="12" xfId="1" applyNumberFormat="1" applyFont="1" applyFill="1" applyBorder="1" applyAlignment="1">
      <alignment horizontal="left" vertical="center" wrapText="1"/>
    </xf>
    <xf numFmtId="0" fontId="38" fillId="0" borderId="6" xfId="1" applyNumberFormat="1" applyFont="1" applyFill="1" applyBorder="1" applyAlignment="1">
      <alignment horizontal="left" vertical="center" wrapText="1"/>
    </xf>
    <xf numFmtId="0" fontId="38" fillId="0" borderId="13" xfId="1" applyNumberFormat="1" applyFont="1" applyFill="1" applyBorder="1" applyAlignment="1">
      <alignment horizontal="left" vertical="center" wrapText="1"/>
    </xf>
    <xf numFmtId="0" fontId="24" fillId="0" borderId="0" xfId="2" applyFont="1" applyAlignment="1">
      <alignment horizontal="left" vertical="center"/>
    </xf>
    <xf numFmtId="0" fontId="28" fillId="0" borderId="0" xfId="1" applyNumberFormat="1" applyFont="1" applyAlignment="1">
      <alignment horizontal="left" vertical="center"/>
    </xf>
    <xf numFmtId="0" fontId="48" fillId="8" borderId="0" xfId="2" applyFont="1" applyFill="1" applyAlignment="1">
      <alignment horizontal="left" vertical="center"/>
    </xf>
    <xf numFmtId="0" fontId="49" fillId="8" borderId="0" xfId="2" applyFont="1" applyFill="1" applyAlignment="1">
      <alignment horizontal="left" vertical="center"/>
    </xf>
    <xf numFmtId="0" fontId="24" fillId="7" borderId="0" xfId="2" applyFont="1" applyFill="1" applyAlignment="1">
      <alignment horizontal="left" vertical="center"/>
    </xf>
    <xf numFmtId="0" fontId="50" fillId="9" borderId="0" xfId="2" applyFont="1" applyFill="1" applyAlignment="1">
      <alignment horizontal="center" vertical="center" wrapText="1"/>
    </xf>
    <xf numFmtId="0" fontId="42" fillId="9" borderId="14" xfId="0" applyFont="1" applyFill="1" applyBorder="1" applyAlignment="1">
      <alignment horizontal="center" vertical="center" wrapText="1"/>
    </xf>
    <xf numFmtId="2" fontId="33" fillId="9" borderId="14" xfId="2" applyNumberFormat="1" applyFont="1" applyFill="1" applyBorder="1" applyAlignment="1">
      <alignment horizontal="center" vertical="center" wrapText="1"/>
    </xf>
    <xf numFmtId="10" fontId="33" fillId="9" borderId="14" xfId="2" applyNumberFormat="1" applyFont="1" applyFill="1" applyBorder="1" applyAlignment="1">
      <alignment horizontal="center" vertical="center" wrapText="1"/>
    </xf>
    <xf numFmtId="1" fontId="33" fillId="9" borderId="14" xfId="2" applyNumberFormat="1" applyFont="1" applyFill="1" applyBorder="1" applyAlignment="1">
      <alignment horizontal="center" vertical="center" wrapText="1"/>
    </xf>
    <xf numFmtId="0" fontId="33" fillId="9" borderId="14" xfId="2" applyFont="1" applyFill="1" applyBorder="1" applyAlignment="1">
      <alignment horizontal="center" vertical="center" wrapText="1"/>
    </xf>
    <xf numFmtId="0" fontId="50" fillId="9" borderId="0" xfId="2" applyFont="1" applyFill="1" applyAlignment="1">
      <alignment horizontal="center" vertical="center"/>
    </xf>
    <xf numFmtId="0" fontId="20" fillId="9" borderId="0" xfId="2" applyFont="1" applyFill="1" applyAlignment="1">
      <alignment horizontal="left" vertical="center" wrapText="1"/>
    </xf>
    <xf numFmtId="0" fontId="50" fillId="7" borderId="0" xfId="2" applyFont="1" applyFill="1" applyAlignment="1">
      <alignment horizontal="center" vertical="center" wrapText="1"/>
    </xf>
    <xf numFmtId="0" fontId="50" fillId="0" borderId="0" xfId="2" applyFont="1" applyAlignment="1">
      <alignment horizontal="center" vertical="center" wrapText="1"/>
    </xf>
    <xf numFmtId="0" fontId="51" fillId="0" borderId="2" xfId="0" applyFont="1" applyBorder="1" applyAlignment="1">
      <alignment horizontal="center" vertical="center" wrapText="1"/>
    </xf>
    <xf numFmtId="0" fontId="52" fillId="8" borderId="2" xfId="2" applyFont="1" applyFill="1" applyBorder="1" applyAlignment="1">
      <alignment horizontal="left" vertical="center" wrapText="1"/>
    </xf>
    <xf numFmtId="0" fontId="53" fillId="8" borderId="2" xfId="2" applyFont="1" applyFill="1" applyBorder="1" applyAlignment="1">
      <alignment horizontal="center" vertical="center" wrapText="1"/>
    </xf>
    <xf numFmtId="0" fontId="52" fillId="8" borderId="2" xfId="2" applyFont="1" applyFill="1" applyBorder="1" applyAlignment="1">
      <alignment horizontal="center" vertical="center" wrapText="1"/>
    </xf>
    <xf numFmtId="10" fontId="53" fillId="8" borderId="2" xfId="2" applyNumberFormat="1" applyFont="1" applyFill="1" applyBorder="1" applyAlignment="1">
      <alignment horizontal="center" vertical="center" wrapText="1"/>
    </xf>
    <xf numFmtId="0" fontId="50" fillId="0" borderId="0" xfId="2" applyFont="1" applyAlignment="1">
      <alignment horizontal="left" vertical="center"/>
    </xf>
    <xf numFmtId="0" fontId="51" fillId="0" borderId="0" xfId="0" applyFont="1" applyAlignment="1">
      <alignment horizontal="center" vertical="center" wrapText="1"/>
    </xf>
    <xf numFmtId="0" fontId="52" fillId="8" borderId="0" xfId="2" applyFont="1" applyFill="1" applyAlignment="1">
      <alignment horizontal="left" vertical="center" wrapText="1"/>
    </xf>
    <xf numFmtId="0" fontId="53" fillId="8" borderId="0" xfId="2" applyFont="1" applyFill="1" applyAlignment="1">
      <alignment horizontal="center" vertical="center" wrapText="1"/>
    </xf>
    <xf numFmtId="0" fontId="52" fillId="8" borderId="0" xfId="2" applyFont="1" applyFill="1" applyAlignment="1">
      <alignment horizontal="center" vertical="center" wrapText="1"/>
    </xf>
    <xf numFmtId="10" fontId="53" fillId="8" borderId="0" xfId="2" applyNumberFormat="1" applyFont="1" applyFill="1" applyAlignment="1">
      <alignment horizontal="center" vertical="center" wrapText="1"/>
    </xf>
    <xf numFmtId="0" fontId="27" fillId="9" borderId="4" xfId="2" applyFont="1" applyFill="1" applyBorder="1" applyAlignment="1">
      <alignment horizontal="right" vertical="center"/>
    </xf>
    <xf numFmtId="164" fontId="27" fillId="9" borderId="15" xfId="2" applyNumberFormat="1" applyFont="1" applyFill="1" applyBorder="1" applyAlignment="1">
      <alignment horizontal="left" vertical="center"/>
    </xf>
    <xf numFmtId="0" fontId="27" fillId="9" borderId="15" xfId="2" applyFont="1" applyFill="1" applyBorder="1" applyAlignment="1">
      <alignment horizontal="left" vertical="center"/>
    </xf>
    <xf numFmtId="0" fontId="27" fillId="9" borderId="15" xfId="2" applyFont="1" applyFill="1" applyBorder="1" applyAlignment="1">
      <alignment vertical="center"/>
    </xf>
    <xf numFmtId="0" fontId="27" fillId="9" borderId="5" xfId="2" applyFont="1" applyFill="1" applyBorder="1" applyAlignment="1">
      <alignment vertical="center"/>
    </xf>
    <xf numFmtId="0" fontId="12" fillId="0" borderId="0" xfId="2" applyFont="1" applyAlignment="1">
      <alignment horizontal="left" vertical="center"/>
    </xf>
    <xf numFmtId="0" fontId="12" fillId="7" borderId="0" xfId="2" applyFont="1" applyFill="1" applyAlignment="1">
      <alignment vertical="center"/>
    </xf>
    <xf numFmtId="49" fontId="54" fillId="0" borderId="0" xfId="0" applyNumberFormat="1" applyFont="1" applyAlignment="1" applyProtection="1">
      <alignment horizontal="center" vertical="center" wrapText="1"/>
      <protection locked="0"/>
    </xf>
    <xf numFmtId="0" fontId="54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45" fillId="0" borderId="0" xfId="2" applyFont="1"/>
    <xf numFmtId="49" fontId="45" fillId="0" borderId="0" xfId="2" applyNumberFormat="1" applyFont="1"/>
    <xf numFmtId="0" fontId="28" fillId="0" borderId="0" xfId="2" applyFont="1"/>
    <xf numFmtId="0" fontId="28" fillId="0" borderId="0" xfId="2" applyFont="1" applyAlignment="1">
      <alignment horizontal="left" wrapText="1"/>
    </xf>
    <xf numFmtId="0" fontId="45" fillId="0" borderId="0" xfId="2" applyFont="1" applyAlignment="1">
      <alignment horizontal="left" vertical="center" wrapText="1"/>
    </xf>
    <xf numFmtId="0" fontId="28" fillId="7" borderId="0" xfId="2" applyFont="1" applyFill="1" applyAlignment="1">
      <alignment vertical="center"/>
    </xf>
    <xf numFmtId="0" fontId="42" fillId="0" borderId="0" xfId="2" applyFont="1"/>
    <xf numFmtId="0" fontId="28" fillId="0" borderId="0" xfId="2" applyFont="1" applyAlignment="1">
      <alignment horizontal="left"/>
    </xf>
    <xf numFmtId="2" fontId="28" fillId="0" borderId="0" xfId="2" applyNumberFormat="1" applyFont="1"/>
    <xf numFmtId="49" fontId="28" fillId="0" borderId="0" xfId="2" applyNumberFormat="1" applyFont="1"/>
    <xf numFmtId="0" fontId="28" fillId="0" borderId="0" xfId="2" applyFont="1" applyAlignment="1">
      <alignment horizontal="right"/>
    </xf>
    <xf numFmtId="14" fontId="57" fillId="0" borderId="0" xfId="2" applyNumberFormat="1" applyFont="1" applyAlignment="1">
      <alignment horizontal="center" wrapText="1"/>
    </xf>
    <xf numFmtId="1" fontId="58" fillId="0" borderId="0" xfId="2" applyNumberFormat="1" applyFont="1" applyAlignment="1">
      <alignment wrapText="1"/>
    </xf>
    <xf numFmtId="165" fontId="28" fillId="0" borderId="0" xfId="2" applyNumberFormat="1" applyFont="1" applyAlignment="1">
      <alignment horizontal="left" wrapText="1"/>
    </xf>
    <xf numFmtId="0" fontId="28" fillId="0" borderId="0" xfId="2" applyFont="1" applyAlignment="1">
      <alignment wrapText="1"/>
    </xf>
    <xf numFmtId="0" fontId="59" fillId="0" borderId="0" xfId="2" applyFont="1"/>
    <xf numFmtId="49" fontId="59" fillId="0" borderId="0" xfId="2" applyNumberFormat="1" applyFont="1"/>
    <xf numFmtId="0" fontId="45" fillId="0" borderId="0" xfId="2" applyFont="1" applyAlignment="1">
      <alignment horizontal="left" wrapText="1"/>
    </xf>
    <xf numFmtId="0" fontId="60" fillId="0" borderId="0" xfId="2" applyFont="1"/>
    <xf numFmtId="0" fontId="61" fillId="0" borderId="7" xfId="2" applyFont="1" applyBorder="1"/>
    <xf numFmtId="49" fontId="62" fillId="0" borderId="8" xfId="2" applyNumberFormat="1" applyFont="1" applyBorder="1" applyAlignment="1">
      <alignment vertical="center"/>
    </xf>
    <xf numFmtId="0" fontId="28" fillId="0" borderId="9" xfId="2" applyFont="1" applyBorder="1" applyAlignment="1">
      <alignment wrapText="1"/>
    </xf>
    <xf numFmtId="0" fontId="42" fillId="0" borderId="10" xfId="2" applyFont="1" applyBorder="1" applyAlignment="1">
      <alignment vertical="center"/>
    </xf>
    <xf numFmtId="49" fontId="42" fillId="0" borderId="0" xfId="2" applyNumberFormat="1" applyFont="1"/>
    <xf numFmtId="0" fontId="28" fillId="0" borderId="11" xfId="2" applyFont="1" applyBorder="1" applyAlignment="1">
      <alignment wrapText="1"/>
    </xf>
    <xf numFmtId="0" fontId="21" fillId="0" borderId="10" xfId="2" applyFont="1" applyBorder="1" applyAlignment="1">
      <alignment vertical="center"/>
    </xf>
    <xf numFmtId="49" fontId="21" fillId="0" borderId="0" xfId="3" applyNumberFormat="1" applyFont="1" applyBorder="1" applyAlignment="1" applyProtection="1"/>
    <xf numFmtId="0" fontId="28" fillId="0" borderId="11" xfId="2" applyFont="1" applyBorder="1"/>
    <xf numFmtId="0" fontId="28" fillId="8" borderId="11" xfId="2" applyFont="1" applyFill="1" applyBorder="1" applyAlignment="1">
      <alignment wrapText="1"/>
    </xf>
    <xf numFmtId="0" fontId="28" fillId="8" borderId="0" xfId="2" applyFont="1" applyFill="1" applyAlignment="1">
      <alignment wrapText="1"/>
    </xf>
    <xf numFmtId="1" fontId="63" fillId="8" borderId="0" xfId="2" applyNumberFormat="1" applyFont="1" applyFill="1" applyAlignment="1">
      <alignment horizontal="left" wrapText="1"/>
    </xf>
    <xf numFmtId="0" fontId="42" fillId="0" borderId="0" xfId="2" applyFont="1" applyAlignment="1">
      <alignment horizontal="left" wrapText="1"/>
    </xf>
    <xf numFmtId="0" fontId="60" fillId="0" borderId="0" xfId="2" applyFont="1" applyAlignment="1">
      <alignment horizontal="center" vertical="center"/>
    </xf>
    <xf numFmtId="0" fontId="64" fillId="0" borderId="11" xfId="2" applyFont="1" applyBorder="1" applyAlignment="1">
      <alignment vertical="center"/>
    </xf>
    <xf numFmtId="0" fontId="64" fillId="0" borderId="0" xfId="2" applyFont="1" applyAlignment="1">
      <alignment vertical="center"/>
    </xf>
    <xf numFmtId="0" fontId="45" fillId="0" borderId="0" xfId="2" applyFont="1" applyAlignment="1">
      <alignment horizontal="left" vertical="center"/>
    </xf>
    <xf numFmtId="0" fontId="64" fillId="0" borderId="0" xfId="2" applyFont="1" applyAlignment="1">
      <alignment horizontal="left" vertical="center"/>
    </xf>
    <xf numFmtId="0" fontId="42" fillId="0" borderId="12" xfId="2" applyFont="1" applyBorder="1" applyAlignment="1">
      <alignment vertical="center"/>
    </xf>
    <xf numFmtId="49" fontId="42" fillId="0" borderId="6" xfId="2" applyNumberFormat="1" applyFont="1" applyBorder="1"/>
    <xf numFmtId="0" fontId="65" fillId="0" borderId="13" xfId="3" applyFont="1" applyBorder="1" applyAlignment="1" applyProtection="1">
      <alignment vertical="center"/>
    </xf>
    <xf numFmtId="0" fontId="66" fillId="0" borderId="0" xfId="3" applyFont="1" applyAlignment="1" applyProtection="1">
      <alignment vertical="center"/>
    </xf>
    <xf numFmtId="0" fontId="65" fillId="0" borderId="0" xfId="3" applyFont="1" applyAlignment="1" applyProtection="1">
      <alignment vertical="center"/>
    </xf>
    <xf numFmtId="1" fontId="63" fillId="0" borderId="0" xfId="2" applyNumberFormat="1" applyFont="1" applyAlignment="1">
      <alignment horizontal="left" wrapText="1"/>
    </xf>
    <xf numFmtId="0" fontId="65" fillId="0" borderId="0" xfId="3" applyFont="1" applyAlignment="1" applyProtection="1">
      <alignment horizontal="left" vertical="center"/>
    </xf>
    <xf numFmtId="0" fontId="67" fillId="0" borderId="0" xfId="2" applyFont="1" applyAlignment="1">
      <alignment vertical="center"/>
    </xf>
    <xf numFmtId="0" fontId="67" fillId="0" borderId="0" xfId="2" applyFont="1"/>
    <xf numFmtId="49" fontId="67" fillId="0" borderId="0" xfId="2" applyNumberFormat="1" applyFont="1"/>
    <xf numFmtId="0" fontId="67" fillId="0" borderId="0" xfId="2" applyFont="1" applyAlignment="1">
      <alignment wrapText="1"/>
    </xf>
    <xf numFmtId="1" fontId="68" fillId="0" borderId="0" xfId="2" applyNumberFormat="1" applyFont="1" applyAlignment="1">
      <alignment wrapText="1"/>
    </xf>
    <xf numFmtId="0" fontId="67" fillId="0" borderId="0" xfId="2" applyFont="1" applyAlignment="1">
      <alignment horizontal="left" vertical="center"/>
    </xf>
    <xf numFmtId="0" fontId="67" fillId="7" borderId="0" xfId="2" applyFont="1" applyFill="1" applyAlignment="1">
      <alignment vertical="center"/>
    </xf>
    <xf numFmtId="0" fontId="69" fillId="0" borderId="0" xfId="2" applyFont="1" applyAlignment="1">
      <alignment horizontal="center"/>
    </xf>
    <xf numFmtId="0" fontId="70" fillId="0" borderId="0" xfId="2" applyFont="1" applyAlignment="1">
      <alignment horizontal="center" vertical="center"/>
    </xf>
    <xf numFmtId="0" fontId="70" fillId="0" borderId="0" xfId="2" applyFont="1" applyAlignment="1">
      <alignment horizontal="left" vertical="center"/>
    </xf>
    <xf numFmtId="0" fontId="71" fillId="0" borderId="0" xfId="2" applyFont="1" applyAlignment="1">
      <alignment horizontal="left" vertical="center"/>
    </xf>
    <xf numFmtId="0" fontId="70" fillId="0" borderId="0" xfId="3" applyNumberFormat="1" applyFont="1" applyAlignment="1" applyProtection="1">
      <alignment horizontal="center" vertical="center"/>
    </xf>
    <xf numFmtId="0" fontId="70" fillId="0" borderId="0" xfId="3" applyNumberFormat="1" applyFont="1" applyAlignment="1" applyProtection="1">
      <alignment horizontal="left" vertical="center"/>
    </xf>
    <xf numFmtId="0" fontId="71" fillId="0" borderId="0" xfId="3" applyNumberFormat="1" applyFont="1" applyAlignment="1" applyProtection="1">
      <alignment horizontal="left" vertical="center"/>
    </xf>
    <xf numFmtId="0" fontId="72" fillId="0" borderId="0" xfId="3" applyNumberFormat="1" applyFont="1" applyAlignment="1" applyProtection="1">
      <alignment horizontal="center" vertical="center"/>
    </xf>
    <xf numFmtId="49" fontId="72" fillId="0" borderId="0" xfId="3" applyNumberFormat="1" applyFont="1" applyAlignment="1" applyProtection="1">
      <alignment horizontal="center" vertical="center"/>
    </xf>
    <xf numFmtId="0" fontId="72" fillId="0" borderId="0" xfId="3" applyFont="1" applyAlignment="1" applyProtection="1">
      <alignment horizontal="center" vertical="center"/>
    </xf>
    <xf numFmtId="0" fontId="73" fillId="0" borderId="0" xfId="3" applyNumberFormat="1" applyFont="1" applyAlignment="1" applyProtection="1">
      <alignment horizontal="center" vertical="center"/>
    </xf>
    <xf numFmtId="49" fontId="73" fillId="0" borderId="0" xfId="3" applyNumberFormat="1" applyFont="1" applyAlignment="1" applyProtection="1">
      <alignment horizontal="center" vertical="center"/>
    </xf>
    <xf numFmtId="0" fontId="73" fillId="0" borderId="0" xfId="3" applyFont="1" applyAlignment="1" applyProtection="1">
      <alignment horizontal="center" vertical="center"/>
    </xf>
    <xf numFmtId="1" fontId="74" fillId="0" borderId="0" xfId="3" applyNumberFormat="1" applyFont="1" applyAlignment="1" applyProtection="1">
      <alignment horizontal="center" vertical="center"/>
    </xf>
    <xf numFmtId="0" fontId="12" fillId="0" borderId="0" xfId="2" applyFont="1"/>
    <xf numFmtId="0" fontId="70" fillId="0" borderId="0" xfId="2" applyFont="1"/>
    <xf numFmtId="49" fontId="70" fillId="0" borderId="0" xfId="2" applyNumberFormat="1" applyFont="1"/>
    <xf numFmtId="0" fontId="70" fillId="0" borderId="0" xfId="2" applyFont="1" applyAlignment="1">
      <alignment wrapText="1"/>
    </xf>
    <xf numFmtId="1" fontId="75" fillId="0" borderId="0" xfId="2" applyNumberFormat="1" applyFont="1" applyAlignment="1">
      <alignment wrapText="1"/>
    </xf>
    <xf numFmtId="0" fontId="76" fillId="0" borderId="0" xfId="2" applyFont="1" applyAlignment="1">
      <alignment horizontal="center" vertical="center"/>
    </xf>
    <xf numFmtId="49" fontId="76" fillId="0" borderId="0" xfId="2" applyNumberFormat="1" applyFont="1" applyAlignment="1">
      <alignment horizontal="center" vertical="center"/>
    </xf>
    <xf numFmtId="1" fontId="68" fillId="0" borderId="0" xfId="2" applyNumberFormat="1" applyFont="1" applyAlignment="1">
      <alignment horizontal="center" vertical="center"/>
    </xf>
    <xf numFmtId="0" fontId="77" fillId="0" borderId="0" xfId="3" applyNumberFormat="1" applyFont="1" applyAlignment="1" applyProtection="1">
      <alignment horizontal="center" vertical="center"/>
    </xf>
    <xf numFmtId="49" fontId="77" fillId="0" borderId="0" xfId="3" applyNumberFormat="1" applyFont="1" applyAlignment="1" applyProtection="1">
      <alignment horizontal="center" vertical="center"/>
    </xf>
    <xf numFmtId="0" fontId="77" fillId="0" borderId="0" xfId="3" applyFont="1" applyAlignment="1" applyProtection="1">
      <alignment horizontal="center" vertical="center"/>
    </xf>
    <xf numFmtId="1" fontId="78" fillId="0" borderId="0" xfId="3" applyNumberFormat="1" applyFont="1" applyAlignment="1" applyProtection="1">
      <alignment horizontal="center" vertical="center"/>
    </xf>
    <xf numFmtId="49" fontId="12" fillId="0" borderId="0" xfId="2" applyNumberFormat="1" applyFont="1"/>
    <xf numFmtId="0" fontId="12" fillId="0" borderId="0" xfId="2" applyFont="1" applyAlignment="1">
      <alignment wrapText="1"/>
    </xf>
    <xf numFmtId="1" fontId="79" fillId="0" borderId="0" xfId="2" applyNumberFormat="1" applyFont="1" applyAlignment="1">
      <alignment wrapText="1"/>
    </xf>
    <xf numFmtId="0" fontId="1" fillId="10" borderId="0" xfId="0" applyFont="1" applyFill="1"/>
    <xf numFmtId="49" fontId="1" fillId="10" borderId="0" xfId="0" applyNumberFormat="1" applyFont="1" applyFill="1" applyAlignment="1">
      <alignment horizontal="left"/>
    </xf>
    <xf numFmtId="49" fontId="0" fillId="0" borderId="0" xfId="0" applyNumberFormat="1" applyAlignment="1">
      <alignment horizontal="left"/>
    </xf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vertical="center"/>
    </xf>
  </cellXfs>
  <cellStyles count="4">
    <cellStyle name="Currency" xfId="1" builtinId="4"/>
    <cellStyle name="Hyperlink 2" xfId="3" xr:uid="{14CFD2B8-F009-4925-9FB3-8A949286CB92}"/>
    <cellStyle name="Normal" xfId="0" builtinId="0"/>
    <cellStyle name="Normal 2" xfId="2" xr:uid="{D3BA9B5F-53CF-4985-BCD4-BC05A7B15763}"/>
  </cellStyles>
  <dxfs count="9">
    <dxf>
      <font>
        <color rgb="FF9C0006"/>
      </font>
      <fill>
        <patternFill>
          <bgColor rgb="FFFFC7CE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border>
        <left/>
        <right/>
        <top/>
        <bottom/>
        <vertical/>
        <horizontal/>
      </border>
    </dxf>
    <dxf>
      <font>
        <color theme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Light16">
    <tableStyle name="Invisible" pivot="0" table="0" count="0" xr9:uid="{987A8D77-E57F-4458-A6CA-C04E548C7A7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17/06/relationships/rdRichValueTypes" Target="richData/rdRichValueTyp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268941</xdr:colOff>
      <xdr:row>2</xdr:row>
      <xdr:rowOff>42582</xdr:rowOff>
    </xdr:from>
    <xdr:to>
      <xdr:col>21</xdr:col>
      <xdr:colOff>2543735</xdr:colOff>
      <xdr:row>3</xdr:row>
      <xdr:rowOff>124758</xdr:rowOff>
    </xdr:to>
    <xdr:sp macro="[0]!Module2.ProcessPicks" textlink="">
      <xdr:nvSpPr>
        <xdr:cNvPr id="3" name="btnProcessPicks">
          <a:extLst>
            <a:ext uri="{FF2B5EF4-FFF2-40B4-BE49-F238E27FC236}">
              <a16:creationId xmlns:a16="http://schemas.microsoft.com/office/drawing/2014/main" id="{73A0CEBF-0A38-4349-BD96-FFD7646E238A}"/>
            </a:ext>
          </a:extLst>
        </xdr:cNvPr>
        <xdr:cNvSpPr/>
      </xdr:nvSpPr>
      <xdr:spPr>
        <a:xfrm>
          <a:off x="9412941" y="513229"/>
          <a:ext cx="2274794" cy="519205"/>
        </a:xfrm>
        <a:prstGeom prst="roundRect">
          <a:avLst/>
        </a:prstGeom>
        <a:solidFill>
          <a:srgbClr val="2E7D32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ptos Narrow" panose="02110004020202020204"/>
            </a:rPr>
            <a:t>▶  PROCESS PICKS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124400</xdr:colOff>
      <xdr:row>2</xdr:row>
      <xdr:rowOff>135964</xdr:rowOff>
    </xdr:from>
    <xdr:to>
      <xdr:col>8</xdr:col>
      <xdr:colOff>1386156</xdr:colOff>
      <xdr:row>4</xdr:row>
      <xdr:rowOff>135965</xdr:rowOff>
    </xdr:to>
    <xdr:sp macro="[1]!WhatsAppmsg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943CC38-B056-4116-9AF1-00AA83FD1EAD}"/>
            </a:ext>
          </a:extLst>
        </xdr:cNvPr>
        <xdr:cNvSpPr/>
      </xdr:nvSpPr>
      <xdr:spPr>
        <a:xfrm>
          <a:off x="13916600" y="1231339"/>
          <a:ext cx="1261756" cy="504826"/>
        </a:xfrm>
        <a:prstGeom prst="flowChartAlternateProcess">
          <a:avLst/>
        </a:prstGeom>
        <a:solidFill>
          <a:srgbClr val="FF0000"/>
        </a:solidFill>
        <a:effectLst>
          <a:glow rad="228600">
            <a:schemeClr val="accent1">
              <a:satMod val="175000"/>
              <a:alpha val="40000"/>
            </a:schemeClr>
          </a:glow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Send</a:t>
          </a:r>
          <a:r>
            <a:rPr lang="en-GB" sz="2000" b="1" baseline="0"/>
            <a:t> to Prepare</a:t>
          </a:r>
          <a:endParaRPr lang="en-GB" sz="2000" b="1"/>
        </a:p>
      </xdr:txBody>
    </xdr:sp>
    <xdr:clientData/>
  </xdr:twoCellAnchor>
  <xdr:twoCellAnchor>
    <xdr:from>
      <xdr:col>8</xdr:col>
      <xdr:colOff>112061</xdr:colOff>
      <xdr:row>4</xdr:row>
      <xdr:rowOff>296832</xdr:rowOff>
    </xdr:from>
    <xdr:to>
      <xdr:col>8</xdr:col>
      <xdr:colOff>1398493</xdr:colOff>
      <xdr:row>6</xdr:row>
      <xdr:rowOff>195231</xdr:rowOff>
    </xdr:to>
    <xdr:sp macro="[1]!saveasdialo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D842052-44B7-4B46-BA04-88870D238C31}"/>
            </a:ext>
          </a:extLst>
        </xdr:cNvPr>
        <xdr:cNvSpPr/>
      </xdr:nvSpPr>
      <xdr:spPr>
        <a:xfrm>
          <a:off x="13904261" y="1897032"/>
          <a:ext cx="1286432" cy="507999"/>
        </a:xfrm>
        <a:prstGeom prst="roundRect">
          <a:avLst/>
        </a:prstGeom>
        <a:solidFill>
          <a:srgbClr val="00B050"/>
        </a:solidFill>
        <a:effectLst>
          <a:glow rad="228600">
            <a:schemeClr val="accent5">
              <a:satMod val="175000"/>
              <a:alpha val="40000"/>
            </a:schemeClr>
          </a:glow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000" b="1">
              <a:solidFill>
                <a:schemeClr val="bg1">
                  <a:lumMod val="95000"/>
                </a:schemeClr>
              </a:solidFill>
            </a:rPr>
            <a:t>SAVE</a:t>
          </a:r>
          <a:r>
            <a:rPr lang="en-GB" sz="2000" b="1" baseline="0">
              <a:solidFill>
                <a:schemeClr val="bg1">
                  <a:lumMod val="95000"/>
                </a:schemeClr>
              </a:solidFill>
            </a:rPr>
            <a:t> IN EXCEL</a:t>
          </a:r>
        </a:p>
      </xdr:txBody>
    </xdr:sp>
    <xdr:clientData/>
  </xdr:twoCellAnchor>
  <xdr:twoCellAnchor>
    <xdr:from>
      <xdr:col>8</xdr:col>
      <xdr:colOff>112061</xdr:colOff>
      <xdr:row>7</xdr:row>
      <xdr:rowOff>76699</xdr:rowOff>
    </xdr:from>
    <xdr:to>
      <xdr:col>8</xdr:col>
      <xdr:colOff>1398493</xdr:colOff>
      <xdr:row>9</xdr:row>
      <xdr:rowOff>127498</xdr:rowOff>
    </xdr:to>
    <xdr:sp macro="[0]!Remove_lineBreak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C238076-5EF4-4EDB-B7CE-EA5A28D3E8C3}"/>
            </a:ext>
          </a:extLst>
        </xdr:cNvPr>
        <xdr:cNvSpPr/>
      </xdr:nvSpPr>
      <xdr:spPr>
        <a:xfrm>
          <a:off x="13904261" y="2629399"/>
          <a:ext cx="1286432" cy="507999"/>
        </a:xfrm>
        <a:prstGeom prst="roundRect">
          <a:avLst/>
        </a:prstGeom>
        <a:solidFill>
          <a:srgbClr val="00B050"/>
        </a:solidFill>
        <a:effectLst>
          <a:glow rad="139700">
            <a:schemeClr val="accent5">
              <a:satMod val="175000"/>
              <a:alpha val="40000"/>
            </a:schemeClr>
          </a:glow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800" b="1" baseline="0">
              <a:solidFill>
                <a:schemeClr val="bg1">
                  <a:lumMod val="95000"/>
                </a:schemeClr>
              </a:solidFill>
            </a:rPr>
            <a:t> PREVIEW</a:t>
          </a:r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3</xdr:col>
      <xdr:colOff>68036</xdr:colOff>
      <xdr:row>4</xdr:row>
      <xdr:rowOff>29003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D96F05B-ECB0-4CA4-A20C-A3B8A93C9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839936" cy="162920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deepa/Desktop/RG_Delivery%20Note.xlsm" TargetMode="External"/><Relationship Id="rId1" Type="http://schemas.openxmlformats.org/officeDocument/2006/relationships/externalLinkPath" Target="file:///C:/Users/deepa/Desktop/RG_Delivery%20N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LIVERY NOTE"/>
      <sheetName val="For Deduct"/>
      <sheetName val="Items Detail"/>
      <sheetName val="Address Book"/>
      <sheetName val="Address for deliveries"/>
      <sheetName val="Invoice"/>
      <sheetName val="RG_Delivery Note"/>
    </sheetNames>
    <definedNames>
      <definedName name="saveasdialog"/>
      <definedName name="WhatsAppmsg"/>
    </definedNames>
    <sheetDataSet>
      <sheetData sheetId="0"/>
      <sheetData sheetId="1"/>
      <sheetData sheetId="2"/>
      <sheetData sheetId="3">
        <row r="1">
          <cell r="A1" t="str">
            <v>Column1</v>
          </cell>
          <cell r="B1" t="str">
            <v>Column2</v>
          </cell>
          <cell r="C1" t="str">
            <v>Column3</v>
          </cell>
          <cell r="E1" t="str">
            <v>Column5</v>
          </cell>
          <cell r="F1" t="str">
            <v>Column6</v>
          </cell>
          <cell r="G1" t="str">
            <v>Column7</v>
          </cell>
          <cell r="AA1" t="str">
            <v>Name</v>
          </cell>
        </row>
        <row r="2">
          <cell r="A2" t="str">
            <v>Part Number</v>
          </cell>
          <cell r="B2" t="str">
            <v>Material description</v>
          </cell>
          <cell r="C2" t="str">
            <v>Available Qty</v>
          </cell>
          <cell r="E2" t="str">
            <v>UOM</v>
          </cell>
          <cell r="F2" t="str">
            <v>Rack#</v>
          </cell>
          <cell r="G2" t="str">
            <v>DRUM</v>
          </cell>
          <cell r="AA2" t="str">
            <v>COMMSCOPE STOCK</v>
          </cell>
        </row>
        <row r="3">
          <cell r="A3" t="str">
            <v>108258427</v>
          </cell>
          <cell r="B3" t="str">
            <v>M10L-262 FACEPLATE</v>
          </cell>
          <cell r="C3" t="str">
            <v>0</v>
          </cell>
          <cell r="E3" t="str">
            <v>PCS</v>
          </cell>
          <cell r="G3" t="str">
            <v>musa</v>
          </cell>
          <cell r="AA3" t="str">
            <v>COMMSCOPE STOCK</v>
          </cell>
        </row>
        <row r="4">
          <cell r="A4" t="str">
            <v>760038240</v>
          </cell>
          <cell r="B4" t="str">
            <v>1U Patchcord Management</v>
          </cell>
          <cell r="C4" t="str">
            <v>38</v>
          </cell>
          <cell r="E4" t="str">
            <v>PC</v>
          </cell>
          <cell r="F4" t="str">
            <v>285A,301C,227A,288A New WH</v>
          </cell>
          <cell r="G4" t="str">
            <v>musa</v>
          </cell>
          <cell r="AA4" t="str">
            <v>COMMSCOPE STOCK</v>
          </cell>
        </row>
        <row r="5">
          <cell r="A5" t="str">
            <v>760038257</v>
          </cell>
          <cell r="B5" t="str">
            <v>2U Patchcord Management</v>
          </cell>
          <cell r="C5" t="str">
            <v>622</v>
          </cell>
          <cell r="E5" t="str">
            <v>PC</v>
          </cell>
          <cell r="F5" t="str">
            <v>229A New WH</v>
          </cell>
          <cell r="G5" t="str">
            <v>musa</v>
          </cell>
          <cell r="AA5" t="str">
            <v>COMMSCOPE STOCK</v>
          </cell>
        </row>
        <row r="6">
          <cell r="A6" t="str">
            <v>760092452</v>
          </cell>
          <cell r="B6" t="str">
            <v>MGS600 OUTLET-BLUE</v>
          </cell>
          <cell r="C6" t="str">
            <v>12</v>
          </cell>
          <cell r="E6" t="str">
            <v>PC</v>
          </cell>
          <cell r="F6" t="str">
            <v>306B</v>
          </cell>
          <cell r="G6" t="str">
            <v>musa</v>
          </cell>
          <cell r="AA6" t="str">
            <v>COMMSCOPE STOCK</v>
          </cell>
        </row>
        <row r="7">
          <cell r="A7" t="str">
            <v>760237046</v>
          </cell>
          <cell r="B7" t="str">
            <v>CPP-SDDM-SL-1U-24</v>
          </cell>
          <cell r="C7" t="str">
            <v>184</v>
          </cell>
          <cell r="E7" t="str">
            <v>PC</v>
          </cell>
          <cell r="F7" t="str">
            <v>286B,228A,306A,284C,286A,284C New WH</v>
          </cell>
          <cell r="G7" t="str">
            <v>musa</v>
          </cell>
          <cell r="AA7" t="str">
            <v>COMMSCOPE STOCK</v>
          </cell>
        </row>
        <row r="8">
          <cell r="A8" t="str">
            <v>1-6457567-6</v>
          </cell>
          <cell r="B8" t="str">
            <v>ASSY,LC DUP, W/ FLNG AQUA</v>
          </cell>
          <cell r="C8" t="str">
            <v>0</v>
          </cell>
          <cell r="E8" t="str">
            <v>PCS</v>
          </cell>
          <cell r="G8" t="str">
            <v>musa</v>
          </cell>
          <cell r="AA8" t="str">
            <v>COMMSCOPE STOCK</v>
          </cell>
        </row>
        <row r="9">
          <cell r="A9" t="str">
            <v>1711214-2</v>
          </cell>
          <cell r="B9" t="str">
            <v>PHONE PATCH PANELS 50 PORTS</v>
          </cell>
          <cell r="C9" t="str">
            <v>25</v>
          </cell>
          <cell r="E9" t="str">
            <v>PC</v>
          </cell>
          <cell r="F9" t="str">
            <v>294B</v>
          </cell>
          <cell r="G9" t="str">
            <v>musa</v>
          </cell>
          <cell r="AA9" t="str">
            <v>COMMSCOPE STOCK</v>
          </cell>
        </row>
        <row r="10">
          <cell r="A10" t="str">
            <v>1711301-1</v>
          </cell>
          <cell r="B10" t="str">
            <v>SINGLE BS FACEPLATE LJ6C UNLOADED</v>
          </cell>
          <cell r="C10" t="str">
            <v>14396</v>
          </cell>
          <cell r="E10" t="str">
            <v>PC</v>
          </cell>
          <cell r="F10" t="str">
            <v>ZONEF,264B,288A,291C,290C</v>
          </cell>
          <cell r="G10" t="str">
            <v>musa</v>
          </cell>
          <cell r="AA10" t="str">
            <v>COMMSCOPE STOCK</v>
          </cell>
        </row>
        <row r="11">
          <cell r="A11" t="str">
            <v>1711348-1</v>
          </cell>
          <cell r="B11" t="str">
            <v>LJ6C Unloaded Snap-In Module, 2-gang, 1 port, white</v>
          </cell>
          <cell r="C11" t="str">
            <v>10432</v>
          </cell>
          <cell r="E11" t="str">
            <v>PC</v>
          </cell>
          <cell r="F11" t="str">
            <v>284B,268C,289C</v>
          </cell>
          <cell r="G11" t="str">
            <v>musa</v>
          </cell>
          <cell r="AA11" t="str">
            <v>COMMSCOPE STOCK</v>
          </cell>
        </row>
        <row r="12">
          <cell r="A12" t="str">
            <v>1725150-6</v>
          </cell>
          <cell r="B12" t="str">
            <v>SL SERIES JACK TOOL KIT</v>
          </cell>
          <cell r="C12" t="str">
            <v>18</v>
          </cell>
          <cell r="E12" t="str">
            <v>PC</v>
          </cell>
          <cell r="F12" t="str">
            <v xml:space="preserve"> New WH</v>
          </cell>
          <cell r="G12" t="str">
            <v>musa</v>
          </cell>
          <cell r="AA12" t="str">
            <v>COMMSCOPE STOCK</v>
          </cell>
        </row>
        <row r="13">
          <cell r="A13" t="str">
            <v>2153449-4</v>
          </cell>
          <cell r="B13" t="str">
            <v>AMP-TWIST SLX,6AS,GY</v>
          </cell>
          <cell r="C13" t="str">
            <v>15578</v>
          </cell>
          <cell r="E13" t="str">
            <v>PC</v>
          </cell>
          <cell r="F13" t="str">
            <v>293A,B New WH</v>
          </cell>
          <cell r="G13" t="str">
            <v>musa</v>
          </cell>
          <cell r="AA13" t="str">
            <v>COMMSCOPE STOCK</v>
          </cell>
        </row>
        <row r="14">
          <cell r="A14" t="str">
            <v>6457567-4</v>
          </cell>
          <cell r="B14" t="str">
            <v>ASSY, ADPTR, DUP, LC, SR BLUE</v>
          </cell>
          <cell r="C14" t="str">
            <v>0</v>
          </cell>
          <cell r="E14" t="str">
            <v>PCS</v>
          </cell>
          <cell r="G14" t="str">
            <v>musa</v>
          </cell>
          <cell r="AA14" t="str">
            <v>COMMSCOPE STOCK</v>
          </cell>
        </row>
        <row r="15">
          <cell r="A15" t="str">
            <v>FBXLCUC11-MXM002</v>
          </cell>
          <cell r="B15" t="str">
            <v>PIGTAIL,RISR,SBJ,LS,0.9MM,LC/UC,AQ</v>
          </cell>
          <cell r="C15" t="str">
            <v>0</v>
          </cell>
          <cell r="E15" t="str">
            <v>PC</v>
          </cell>
          <cell r="G15" t="str">
            <v>musa</v>
          </cell>
          <cell r="AA15" t="str">
            <v>COMMSCOPE STOCK</v>
          </cell>
        </row>
        <row r="16">
          <cell r="A16" t="str">
            <v>FDWLCSC42-JXF010</v>
          </cell>
          <cell r="B16" t="str">
            <v>JUMPER,PLEN,TS,1.6MM,DPLX,LC/SC,YL,FT010</v>
          </cell>
          <cell r="C16" t="str">
            <v>0</v>
          </cell>
          <cell r="E16" t="str">
            <v>PCS</v>
          </cell>
          <cell r="G16" t="str">
            <v>musa</v>
          </cell>
          <cell r="AA16" t="str">
            <v>COMMSCOPE STOCK</v>
          </cell>
        </row>
        <row r="17">
          <cell r="A17" t="str">
            <v>NPC6ASZDB-WT003M</v>
          </cell>
          <cell r="B17" t="str">
            <v>NPC, Cat 6A, Shielded, LSZH, White, 3M</v>
          </cell>
          <cell r="C17" t="str">
            <v>6992</v>
          </cell>
          <cell r="E17" t="str">
            <v>PC</v>
          </cell>
          <cell r="F17" t="str">
            <v>291A,290A,289A,300B,301B,302B,295A,296A,297A,298A,ZoneB,267B,273B,273B,296A,290A,291C,290C,228A</v>
          </cell>
          <cell r="G17" t="str">
            <v>musa</v>
          </cell>
          <cell r="AA17" t="str">
            <v>COMMSCOPE STOCK</v>
          </cell>
        </row>
        <row r="18">
          <cell r="A18" t="str">
            <v>760012161</v>
          </cell>
          <cell r="B18" t="str">
            <v>N-012-DS-5K-FSUAQ/D</v>
          </cell>
          <cell r="C18" t="str">
            <v>0</v>
          </cell>
          <cell r="E18" t="str">
            <v>FT</v>
          </cell>
          <cell r="G18" t="str">
            <v>0 FT = 1 DRUM</v>
          </cell>
          <cell r="AA18" t="str">
            <v>COMMSCOPE STOCK</v>
          </cell>
        </row>
        <row r="19">
          <cell r="A19" t="str">
            <v>760027433</v>
          </cell>
          <cell r="B19" t="str">
            <v>PNL-BK-024-SFA-LC02-BL-SHUTTERED</v>
          </cell>
          <cell r="C19" t="str">
            <v>0</v>
          </cell>
          <cell r="E19" t="str">
            <v>PCS</v>
          </cell>
          <cell r="G19" t="str">
            <v>musa</v>
          </cell>
          <cell r="AA19" t="str">
            <v>COMMSCOPE STOCK</v>
          </cell>
        </row>
        <row r="20">
          <cell r="A20" t="str">
            <v>760031054</v>
          </cell>
          <cell r="B20" t="str">
            <v>Fusion Splice Wallet Kit with 6 splice</v>
          </cell>
          <cell r="C20" t="str">
            <v>58</v>
          </cell>
          <cell r="E20" t="str">
            <v>PC</v>
          </cell>
          <cell r="F20" t="str">
            <v>285B</v>
          </cell>
          <cell r="G20" t="str">
            <v>musa</v>
          </cell>
          <cell r="AA20" t="str">
            <v>COMMSCOPE STOCK</v>
          </cell>
        </row>
        <row r="21">
          <cell r="A21" t="str">
            <v>760053280</v>
          </cell>
          <cell r="B21" t="str">
            <v>D-012-LA-8W-F12NS</v>
          </cell>
          <cell r="C21" t="str">
            <v>1444</v>
          </cell>
          <cell r="E21" t="str">
            <v>FT</v>
          </cell>
          <cell r="F21" t="str">
            <v xml:space="preserve"> New WH</v>
          </cell>
          <cell r="G21" t="str">
            <v xml:space="preserve">2592 FT = 01 DRUM
</v>
          </cell>
          <cell r="AA21" t="str">
            <v>COMMSCOPE STOCK</v>
          </cell>
        </row>
        <row r="22">
          <cell r="A22" t="str">
            <v>760148502</v>
          </cell>
          <cell r="B22" t="str">
            <v>Fusion Splice Tray Kit, stackable,</v>
          </cell>
          <cell r="C22" t="str">
            <v>0</v>
          </cell>
          <cell r="E22" t="str">
            <v>PC</v>
          </cell>
          <cell r="G22" t="str">
            <v>musa</v>
          </cell>
          <cell r="AA22" t="str">
            <v>COMMSCOPE STOCK</v>
          </cell>
        </row>
        <row r="23">
          <cell r="A23" t="str">
            <v>760216762</v>
          </cell>
          <cell r="B23" t="str">
            <v>360DPis-24LC-SM</v>
          </cell>
          <cell r="C23" t="str">
            <v>0</v>
          </cell>
          <cell r="E23" t="str">
            <v>PCS</v>
          </cell>
          <cell r="G23" t="str">
            <v>musa</v>
          </cell>
          <cell r="AA23" t="str">
            <v>COMMSCOPE STOCK</v>
          </cell>
        </row>
        <row r="24">
          <cell r="A24" t="str">
            <v>760230946</v>
          </cell>
          <cell r="B24" t="str">
            <v>TeraSPEED® SYSTIMAX 360</v>
          </cell>
          <cell r="C24" t="str">
            <v>12</v>
          </cell>
          <cell r="E24" t="str">
            <v>PCS</v>
          </cell>
          <cell r="F24" t="str">
            <v xml:space="preserve"> New WH</v>
          </cell>
          <cell r="G24" t="str">
            <v>musa</v>
          </cell>
          <cell r="AA24" t="str">
            <v>COMMSCOPE STOCK</v>
          </cell>
        </row>
        <row r="25">
          <cell r="A25" t="str">
            <v>760231498</v>
          </cell>
          <cell r="B25" t="str">
            <v>SD-4U-FX</v>
          </cell>
          <cell r="C25" t="str">
            <v>0</v>
          </cell>
          <cell r="E25" t="str">
            <v>PCS</v>
          </cell>
          <cell r="G25" t="str">
            <v>musa</v>
          </cell>
          <cell r="AA25" t="str">
            <v>COMMSCOPE STOCK</v>
          </cell>
        </row>
        <row r="26">
          <cell r="A26" t="str">
            <v>760241042</v>
          </cell>
          <cell r="B26" t="str">
            <v>C-012-LN-8W-M12BK/20G/D</v>
          </cell>
          <cell r="C26" t="str">
            <v>0</v>
          </cell>
          <cell r="E26" t="str">
            <v>M</v>
          </cell>
          <cell r="G26" t="str">
            <v>musa</v>
          </cell>
          <cell r="AA26" t="str">
            <v>COMMSCOPE STOCK</v>
          </cell>
        </row>
        <row r="27">
          <cell r="A27" t="str">
            <v>760241043</v>
          </cell>
          <cell r="B27" t="str">
            <v>Z-024-LN-8W-F12BK/20G/E - indoor/outdoor</v>
          </cell>
          <cell r="C27" t="str">
            <v>1250</v>
          </cell>
          <cell r="E27" t="str">
            <v>M</v>
          </cell>
          <cell r="F27" t="str">
            <v/>
          </cell>
          <cell r="G27" t="str">
            <v>1250 Meter = 1 Drum</v>
          </cell>
          <cell r="AA27" t="str">
            <v>COMMSCOPE STOCK</v>
          </cell>
        </row>
        <row r="28">
          <cell r="A28" t="str">
            <v>760242453</v>
          </cell>
          <cell r="B28" t="str">
            <v>AGILE 1U enclosed sliding panel,</v>
          </cell>
          <cell r="C28" t="str">
            <v>0</v>
          </cell>
          <cell r="E28" t="str">
            <v>PCS</v>
          </cell>
          <cell r="G28" t="str">
            <v>musa</v>
          </cell>
          <cell r="AA28" t="str">
            <v>COMMSCOPE STOCK</v>
          </cell>
        </row>
        <row r="29">
          <cell r="A29" t="str">
            <v>0-1859096-1</v>
          </cell>
          <cell r="B29" t="str">
            <v>UNLOADED LJ6C SNAP IN MODULE,</v>
          </cell>
          <cell r="C29" t="str">
            <v>0</v>
          </cell>
          <cell r="E29" t="str">
            <v>PCS</v>
          </cell>
          <cell r="G29" t="str">
            <v>musa</v>
          </cell>
          <cell r="AA29" t="str">
            <v>COMMSCOPE STOCK</v>
          </cell>
        </row>
        <row r="30">
          <cell r="A30" t="str">
            <v>760242454</v>
          </cell>
          <cell r="B30" t="str">
            <v>AGL-1U-ANG-SL</v>
          </cell>
          <cell r="C30" t="str">
            <v>0</v>
          </cell>
          <cell r="E30" t="str">
            <v>PCS</v>
          </cell>
          <cell r="G30" t="str">
            <v>musa</v>
          </cell>
          <cell r="AA30" t="str">
            <v>COMMSCOPE STOCK</v>
          </cell>
        </row>
        <row r="31">
          <cell r="A31" t="str">
            <v>760242494</v>
          </cell>
          <cell r="B31" t="str">
            <v>DM12-12LC-LS-AF</v>
          </cell>
          <cell r="C31" t="str">
            <v>0</v>
          </cell>
          <cell r="E31" t="str">
            <v>PCS</v>
          </cell>
          <cell r="G31" t="str">
            <v>musa</v>
          </cell>
          <cell r="AA31" t="str">
            <v>COMMSCOPE STOCK</v>
          </cell>
        </row>
        <row r="32">
          <cell r="A32" t="str">
            <v>1-5502776-1</v>
          </cell>
          <cell r="B32" t="str">
            <v>DUP REC ASSY, SC/SC CER SLEEVE, BLUE</v>
          </cell>
          <cell r="C32" t="str">
            <v>0</v>
          </cell>
          <cell r="E32" t="str">
            <v>PCS</v>
          </cell>
          <cell r="G32" t="str">
            <v>musa</v>
          </cell>
          <cell r="AA32" t="str">
            <v>COMMSCOPE STOCK</v>
          </cell>
        </row>
        <row r="33">
          <cell r="A33" t="str">
            <v>1-599623-4</v>
          </cell>
          <cell r="B33" t="str">
            <v>C-006-DN-8W-M06YL</v>
          </cell>
          <cell r="C33" t="str">
            <v>0</v>
          </cell>
          <cell r="E33" t="str">
            <v>M</v>
          </cell>
          <cell r="G33" t="str">
            <v>musa</v>
          </cell>
          <cell r="AA33" t="str">
            <v>COMMSCOPE STOCK</v>
          </cell>
        </row>
        <row r="34">
          <cell r="A34" t="str">
            <v>1-599625-4</v>
          </cell>
          <cell r="B34" t="str">
            <v>C-012-DN-8W-M12YL</v>
          </cell>
          <cell r="C34" t="str">
            <v>0</v>
          </cell>
          <cell r="E34" t="str">
            <v>M</v>
          </cell>
          <cell r="G34" t="str">
            <v>musa</v>
          </cell>
          <cell r="AA34" t="str">
            <v>COMMSCOPE STOCK</v>
          </cell>
        </row>
        <row r="35">
          <cell r="A35" t="str">
            <v>1-599624-4</v>
          </cell>
          <cell r="B35" t="str">
            <v>C-008-DN-8W-M08YL</v>
          </cell>
          <cell r="C35" t="str">
            <v>0</v>
          </cell>
          <cell r="E35" t="str">
            <v>M</v>
          </cell>
          <cell r="G35" t="str">
            <v>musa</v>
          </cell>
          <cell r="AA35" t="str">
            <v>COMMSCOPE STOCK</v>
          </cell>
        </row>
        <row r="36">
          <cell r="A36" t="str">
            <v>1-6536508-5</v>
          </cell>
          <cell r="B36" t="str">
            <v>FOSM LEAD 1.8MZ LC/PC-SC/PC DPX/TUN 15M</v>
          </cell>
          <cell r="C36" t="str">
            <v>0</v>
          </cell>
          <cell r="E36" t="str">
            <v>PCS</v>
          </cell>
          <cell r="G36" t="str">
            <v>musa</v>
          </cell>
          <cell r="AA36" t="str">
            <v>COMMSCOPE STOCK</v>
          </cell>
        </row>
        <row r="37">
          <cell r="A37" t="str">
            <v>1-6536967-0</v>
          </cell>
          <cell r="B37" t="str">
            <v>FOMM50 LEAD 1.8MZ OM3 LC-SC DPX 10M</v>
          </cell>
          <cell r="C37" t="str">
            <v>0</v>
          </cell>
          <cell r="E37" t="str">
            <v>PCS</v>
          </cell>
          <cell r="G37" t="str">
            <v>musa</v>
          </cell>
          <cell r="AA37" t="str">
            <v>COMMSCOPE STOCK</v>
          </cell>
        </row>
        <row r="38">
          <cell r="A38" t="str">
            <v>1-6536967-5</v>
          </cell>
          <cell r="B38" t="str">
            <v>FOMM50 LEAD 1.8MZ OM3 LC-SC DPX 15M</v>
          </cell>
          <cell r="C38" t="str">
            <v>0</v>
          </cell>
          <cell r="E38" t="str">
            <v>PCS</v>
          </cell>
          <cell r="G38" t="str">
            <v>musa</v>
          </cell>
          <cell r="AA38" t="str">
            <v>COMMSCOPE STOCK</v>
          </cell>
        </row>
        <row r="39">
          <cell r="A39" t="str">
            <v>1711302-1</v>
          </cell>
          <cell r="B39" t="str">
            <v>DOUBLE BS FACEPLATE LJ6C UNLOADED</v>
          </cell>
          <cell r="C39" t="str">
            <v>241</v>
          </cell>
          <cell r="E39" t="str">
            <v>PC</v>
          </cell>
          <cell r="F39" t="str">
            <v xml:space="preserve"> New WH</v>
          </cell>
          <cell r="G39" t="str">
            <v>musa</v>
          </cell>
          <cell r="AA39" t="str">
            <v>COMMSCOPE STOCK</v>
          </cell>
        </row>
        <row r="40">
          <cell r="A40" t="str">
            <v>1711491-1</v>
          </cell>
          <cell r="B40" t="str">
            <v>BLANKING PLATE LJ6C WHITE</v>
          </cell>
          <cell r="C40" t="str">
            <v>3937</v>
          </cell>
          <cell r="E40" t="str">
            <v>PC</v>
          </cell>
          <cell r="F40" t="str">
            <v>287B</v>
          </cell>
          <cell r="G40" t="str">
            <v>musa</v>
          </cell>
          <cell r="AA40" t="str">
            <v>COMMSCOPE STOCK</v>
          </cell>
        </row>
        <row r="41">
          <cell r="A41" t="str">
            <v>2160042-2</v>
          </cell>
          <cell r="B41" t="str">
            <v>FOMM50 PIGTAIL OM4 0.9S LC 2M</v>
          </cell>
          <cell r="C41" t="str">
            <v>5025</v>
          </cell>
          <cell r="E41" t="str">
            <v>PCS</v>
          </cell>
          <cell r="F41" t="str">
            <v>299B New WH</v>
          </cell>
          <cell r="G41" t="str">
            <v>musa</v>
          </cell>
          <cell r="AA41" t="str">
            <v>COMMSCOPE STOCK</v>
          </cell>
        </row>
        <row r="42">
          <cell r="A42" t="str">
            <v>2160046-1</v>
          </cell>
          <cell r="B42" t="str">
            <v>FOMM50 LEAD OM4 1.8MZ  LC - LC D 1M</v>
          </cell>
          <cell r="C42" t="str">
            <v>293</v>
          </cell>
          <cell r="E42" t="str">
            <v>PC</v>
          </cell>
          <cell r="F42" t="str">
            <v>294B,289B New WH</v>
          </cell>
          <cell r="G42" t="str">
            <v>musa</v>
          </cell>
          <cell r="AA42" t="str">
            <v>COMMSCOPE STOCK</v>
          </cell>
        </row>
        <row r="43">
          <cell r="A43" t="str">
            <v>2160046-3</v>
          </cell>
          <cell r="B43" t="str">
            <v>FOMM50 LEAD OM4 1.8MZ LC - LC D 3M</v>
          </cell>
          <cell r="C43" t="str">
            <v>33</v>
          </cell>
          <cell r="E43" t="str">
            <v>PCS</v>
          </cell>
          <cell r="F43" t="str">
            <v>291B New WH</v>
          </cell>
          <cell r="G43" t="str">
            <v>musa</v>
          </cell>
          <cell r="AA43" t="str">
            <v>COMMSCOPE STOCK</v>
          </cell>
        </row>
        <row r="44">
          <cell r="A44" t="str">
            <v>2-2160046-0</v>
          </cell>
          <cell r="B44" t="str">
            <v>FOMM50 LEAD OM4 1.8MZ LC - LC D 20M</v>
          </cell>
          <cell r="C44" t="str">
            <v>0</v>
          </cell>
          <cell r="E44" t="str">
            <v>PCS</v>
          </cell>
          <cell r="G44" t="str">
            <v>musa</v>
          </cell>
          <cell r="AA44" t="str">
            <v>COMMSCOPE STOCK</v>
          </cell>
        </row>
        <row r="45">
          <cell r="A45" t="str">
            <v>2-5502776-6</v>
          </cell>
          <cell r="B45" t="str">
            <v>DUP REC ASSY, SC/SC CER SLEEVE, AQUA</v>
          </cell>
          <cell r="C45" t="str">
            <v>0</v>
          </cell>
          <cell r="E45" t="str">
            <v>PCS</v>
          </cell>
          <cell r="G45" t="str">
            <v>musa</v>
          </cell>
          <cell r="AA45" t="str">
            <v>COMMSCOPE STOCK</v>
          </cell>
        </row>
        <row r="46">
          <cell r="A46" t="str">
            <v>2-6536501-0</v>
          </cell>
          <cell r="B46" t="str">
            <v>FOSM LEAD 1.8MZ LC/PC-LC/PC DPX TUN 20M</v>
          </cell>
          <cell r="C46" t="str">
            <v>0</v>
          </cell>
          <cell r="E46" t="str">
            <v>PCS</v>
          </cell>
          <cell r="G46" t="str">
            <v>musa</v>
          </cell>
          <cell r="AA46" t="str">
            <v>COMMSCOPE STOCK</v>
          </cell>
        </row>
        <row r="47">
          <cell r="A47" t="str">
            <v>3-2160046-0</v>
          </cell>
          <cell r="B47" t="str">
            <v>FOMM50 LEAD OM4 1.8MZ LC - LC D 30M</v>
          </cell>
          <cell r="C47" t="str">
            <v>50</v>
          </cell>
          <cell r="E47" t="str">
            <v>PC</v>
          </cell>
          <cell r="F47" t="str">
            <v>286B</v>
          </cell>
          <cell r="G47" t="str">
            <v>musa</v>
          </cell>
          <cell r="AA47" t="str">
            <v>COMMSCOPE STOCK</v>
          </cell>
        </row>
        <row r="48">
          <cell r="A48" t="str">
            <v>3-6536501-0</v>
          </cell>
          <cell r="B48" t="str">
            <v>FOSM LEAD 1.8MZ LC/PC-LC/PC DPX TUN 30M</v>
          </cell>
          <cell r="C48" t="str">
            <v>0</v>
          </cell>
          <cell r="E48" t="str">
            <v>PC</v>
          </cell>
          <cell r="G48" t="str">
            <v>musa</v>
          </cell>
          <cell r="AA48" t="str">
            <v>COMMSCOPE STOCK</v>
          </cell>
        </row>
        <row r="49">
          <cell r="A49" t="str">
            <v>4-2160046-0</v>
          </cell>
          <cell r="B49" t="str">
            <v>FOMM50 LEAD OM4 1.8MZ LC - LC D 40M</v>
          </cell>
          <cell r="C49" t="str">
            <v>54</v>
          </cell>
          <cell r="E49" t="str">
            <v>PC</v>
          </cell>
          <cell r="F49" t="str">
            <v>290B</v>
          </cell>
          <cell r="G49" t="str">
            <v>musa</v>
          </cell>
          <cell r="AA49" t="str">
            <v>COMMSCOPE STOCK</v>
          </cell>
        </row>
        <row r="50">
          <cell r="A50" t="str">
            <v>5233582-2</v>
          </cell>
          <cell r="B50" t="str">
            <v>FOSM PIGTAIL 0.9 SC/PC TUNED 2M</v>
          </cell>
          <cell r="C50" t="str">
            <v>0</v>
          </cell>
          <cell r="E50" t="str">
            <v>PCS</v>
          </cell>
          <cell r="G50" t="str">
            <v>musa</v>
          </cell>
          <cell r="AA50" t="str">
            <v>COMMSCOPE STOCK</v>
          </cell>
        </row>
        <row r="51">
          <cell r="A51" t="str">
            <v>558402-1</v>
          </cell>
          <cell r="B51" t="str">
            <v>110Connect XC System Connector Block, 5-pair, PCB, 110 punchdown, white</v>
          </cell>
          <cell r="C51" t="str">
            <v>0</v>
          </cell>
          <cell r="E51" t="str">
            <v>PCS</v>
          </cell>
          <cell r="G51" t="str">
            <v>musa</v>
          </cell>
          <cell r="AA51" t="str">
            <v>COMMSCOPE STOCK</v>
          </cell>
        </row>
        <row r="52">
          <cell r="A52" t="str">
            <v>558417-1</v>
          </cell>
          <cell r="B52" t="str">
            <v>110Connect XC System Designation Strip</v>
          </cell>
          <cell r="C52" t="str">
            <v>0</v>
          </cell>
          <cell r="E52" t="str">
            <v>PCS</v>
          </cell>
          <cell r="G52" t="str">
            <v>musa</v>
          </cell>
          <cell r="AA52" t="str">
            <v>COMMSCOPE STOCK</v>
          </cell>
        </row>
        <row r="53">
          <cell r="A53" t="str">
            <v>558842-1</v>
          </cell>
          <cell r="B53" t="str">
            <v>110Connect XC System Cross-Connect Wiring Block with Legs, 100-pair, Category 5e, .110 punch down</v>
          </cell>
          <cell r="C53" t="str">
            <v>0</v>
          </cell>
          <cell r="E53" t="str">
            <v>PCS</v>
          </cell>
          <cell r="G53" t="str">
            <v>musa</v>
          </cell>
          <cell r="AA53" t="str">
            <v>COMMSCOPE STOCK</v>
          </cell>
        </row>
        <row r="54">
          <cell r="A54" t="str">
            <v>536788-000</v>
          </cell>
          <cell r="B54" t="str">
            <v>FIST-SOSA2-4SE-S</v>
          </cell>
          <cell r="C54" t="str">
            <v>0</v>
          </cell>
          <cell r="E54" t="str">
            <v>PCS</v>
          </cell>
          <cell r="G54" t="str">
            <v>musa</v>
          </cell>
          <cell r="AA54" t="str">
            <v>COMMSCOPE STOCK</v>
          </cell>
        </row>
        <row r="55">
          <cell r="A55" t="str">
            <v>6536501-3</v>
          </cell>
          <cell r="B55" t="str">
            <v>FOSM LEAD 1.8MZ LC/PC-LC/PC DPX TUN 3M</v>
          </cell>
          <cell r="C55" t="str">
            <v>0</v>
          </cell>
          <cell r="E55" t="str">
            <v>PC</v>
          </cell>
          <cell r="G55" t="str">
            <v>musa</v>
          </cell>
          <cell r="AA55" t="str">
            <v>COMMSCOPE STOCK</v>
          </cell>
        </row>
        <row r="56">
          <cell r="A56" t="str">
            <v>6536508-1</v>
          </cell>
          <cell r="B56" t="str">
            <v>FOSM LEAD 1.8MZ LC/PC-SC/PC DPX/TUN 1M</v>
          </cell>
          <cell r="C56" t="str">
            <v>0</v>
          </cell>
          <cell r="E56" t="str">
            <v>PCS</v>
          </cell>
          <cell r="G56" t="str">
            <v>musa</v>
          </cell>
          <cell r="AA56" t="str">
            <v>COMMSCOPE STOCK</v>
          </cell>
        </row>
        <row r="57">
          <cell r="A57" t="str">
            <v>6536501-1</v>
          </cell>
          <cell r="B57" t="str">
            <v>FOSM LEAD 1.8MZ LC/PC-LC/PC DPX TUN 1M</v>
          </cell>
          <cell r="C57" t="str">
            <v>253</v>
          </cell>
          <cell r="E57" t="str">
            <v>PCS</v>
          </cell>
          <cell r="F57" t="str">
            <v>287A</v>
          </cell>
          <cell r="G57" t="str">
            <v>musa</v>
          </cell>
          <cell r="AA57" t="str">
            <v>COMMSCOPE STOCK</v>
          </cell>
        </row>
        <row r="58">
          <cell r="A58" t="str">
            <v>6536501-2</v>
          </cell>
          <cell r="B58" t="str">
            <v>FOSM LEAD 1.8MZ LC/PC-LC/PC DPX TUN 2M</v>
          </cell>
          <cell r="C58" t="str">
            <v>0</v>
          </cell>
          <cell r="E58" t="str">
            <v>PCS</v>
          </cell>
          <cell r="G58" t="str">
            <v>musa</v>
          </cell>
          <cell r="AA58" t="str">
            <v>COMMSCOPE STOCK</v>
          </cell>
        </row>
        <row r="59">
          <cell r="A59" t="str">
            <v>6536967-1</v>
          </cell>
          <cell r="B59" t="str">
            <v>FOMM50 LEAD 1.8MZ OM3 LC-SC DPX 1M</v>
          </cell>
          <cell r="C59" t="str">
            <v>0</v>
          </cell>
          <cell r="E59" t="str">
            <v>PCS</v>
          </cell>
          <cell r="G59" t="str">
            <v>musa</v>
          </cell>
          <cell r="AA59" t="str">
            <v>COMMSCOPE STOCK</v>
          </cell>
        </row>
        <row r="60">
          <cell r="A60" t="str">
            <v>6536967-2</v>
          </cell>
          <cell r="B60" t="str">
            <v>FOMM50 LEAD 1.8MZ OM3 LC-SC DPX 2M</v>
          </cell>
          <cell r="C60" t="str">
            <v>0</v>
          </cell>
          <cell r="E60" t="str">
            <v>PCS</v>
          </cell>
          <cell r="G60" t="str">
            <v>musa</v>
          </cell>
          <cell r="AA60" t="str">
            <v>COMMSCOPE STOCK</v>
          </cell>
        </row>
        <row r="61">
          <cell r="A61" t="str">
            <v>6536967-3</v>
          </cell>
          <cell r="B61" t="str">
            <v>FOMM50 LEAD 1.8MZ OM3 LC-SC DPX 3M</v>
          </cell>
          <cell r="C61" t="str">
            <v>0</v>
          </cell>
          <cell r="E61" t="str">
            <v>PCS</v>
          </cell>
          <cell r="G61" t="str">
            <v>musa</v>
          </cell>
          <cell r="AA61" t="str">
            <v>COMMSCOPE STOCK</v>
          </cell>
        </row>
        <row r="62">
          <cell r="A62" t="str">
            <v>6536967-5</v>
          </cell>
          <cell r="B62" t="str">
            <v>FOMM50 LEAD 1.8MZ OM3 LC-SC DPX 5M</v>
          </cell>
          <cell r="C62" t="str">
            <v>0</v>
          </cell>
          <cell r="E62" t="str">
            <v>PCS</v>
          </cell>
          <cell r="G62" t="str">
            <v>musa</v>
          </cell>
          <cell r="AA62" t="str">
            <v>COMMSCOPE STOCK</v>
          </cell>
        </row>
        <row r="63">
          <cell r="A63" t="str">
            <v>884038014/10</v>
          </cell>
          <cell r="B63" t="str">
            <v>CS34Z3 BLU C6 4/23 U/UTP CPK 305M</v>
          </cell>
          <cell r="C63" t="str">
            <v>0</v>
          </cell>
          <cell r="E63" t="str">
            <v>M</v>
          </cell>
          <cell r="G63" t="str">
            <v>musa</v>
          </cell>
          <cell r="AA63" t="str">
            <v>COMMSCOPE STOCK</v>
          </cell>
        </row>
        <row r="64">
          <cell r="A64" t="str">
            <v>760053348</v>
          </cell>
          <cell r="B64" t="str">
            <v>D-096-LA-8W-F12NS</v>
          </cell>
          <cell r="C64" t="str">
            <v>51240</v>
          </cell>
          <cell r="E64" t="str">
            <v>FT</v>
          </cell>
          <cell r="F64" t="str">
            <v>284A</v>
          </cell>
          <cell r="G64" t="str">
            <v>25000 FT = 1 DRUM
25000 FT = 1 DRUM
1240 FT = 1 DRUM</v>
          </cell>
          <cell r="AA64" t="str">
            <v>COMMSCOPE STOCK</v>
          </cell>
        </row>
        <row r="65">
          <cell r="A65" t="str">
            <v>884019904/10</v>
          </cell>
          <cell r="B65" t="str">
            <v>Copper Cable, category 6 U/UTP, outdoor</v>
          </cell>
          <cell r="C65" t="str">
            <v>0</v>
          </cell>
          <cell r="E65" t="str">
            <v>RL</v>
          </cell>
          <cell r="G65" t="str">
            <v>musa</v>
          </cell>
          <cell r="AA65" t="str">
            <v>COMMSCOPE STOCK</v>
          </cell>
        </row>
        <row r="66">
          <cell r="A66" t="str">
            <v>AJXMPMPAD-MAM012</v>
          </cell>
          <cell r="B66" t="str">
            <v>TRNK,A-ULL,LSZH,OM4,MPO12,F-F,12M</v>
          </cell>
          <cell r="C66" t="str">
            <v>0</v>
          </cell>
          <cell r="E66" t="str">
            <v>PC</v>
          </cell>
          <cell r="G66" t="str">
            <v>musa</v>
          </cell>
          <cell r="AA66" t="str">
            <v>COMMSCOPE STOCK</v>
          </cell>
        </row>
        <row r="67">
          <cell r="A67" t="str">
            <v>AJXMPMPAD-MAM017</v>
          </cell>
          <cell r="B67" t="str">
            <v>TRNK,A-ULL,LSZH,OM4,MPO12,F-F,17M</v>
          </cell>
          <cell r="C67" t="str">
            <v>0</v>
          </cell>
          <cell r="E67" t="str">
            <v>PCS</v>
          </cell>
          <cell r="G67" t="str">
            <v>musa</v>
          </cell>
          <cell r="AA67" t="str">
            <v>COMMSCOPE STOCK</v>
          </cell>
        </row>
        <row r="68">
          <cell r="A68" t="str">
            <v>AJXMPMPAD-MAM022</v>
          </cell>
          <cell r="B68" t="str">
            <v>TRNK,A-ULL,LSZH,OM4,MPO12,F-F,22M</v>
          </cell>
          <cell r="C68" t="str">
            <v>0</v>
          </cell>
          <cell r="E68" t="str">
            <v>PCS</v>
          </cell>
          <cell r="G68" t="str">
            <v>musa</v>
          </cell>
          <cell r="AA68" t="str">
            <v>COMMSCOPE STOCK</v>
          </cell>
        </row>
        <row r="69">
          <cell r="A69" t="str">
            <v>CJ9789-000</v>
          </cell>
          <cell r="B69" t="str">
            <v> FIST-GCO2-FC6-NN</v>
          </cell>
          <cell r="C69" t="str">
            <v>0</v>
          </cell>
          <cell r="E69" t="str">
            <v>PCS</v>
          </cell>
          <cell r="G69" t="str">
            <v>musa</v>
          </cell>
          <cell r="AA69" t="str">
            <v>COMMSCOPE STOCK</v>
          </cell>
        </row>
        <row r="70">
          <cell r="A70" t="str">
            <v>CK9479-000</v>
          </cell>
          <cell r="B70" t="str">
            <v>FIST Gel Sealing Kit for oval splice clo</v>
          </cell>
          <cell r="C70" t="str">
            <v>24</v>
          </cell>
          <cell r="E70" t="str">
            <v>PC</v>
          </cell>
          <cell r="F70" t="str">
            <v>288B</v>
          </cell>
          <cell r="G70" t="str">
            <v>musa</v>
          </cell>
          <cell r="AA70" t="str">
            <v>COMMSCOPE STOCK</v>
          </cell>
        </row>
        <row r="71">
          <cell r="A71" t="str">
            <v>NPC06UZDB-WT010M</v>
          </cell>
          <cell r="B71" t="str">
            <v>NPC CAT 6, UTP, LSZH, WT, 10M</v>
          </cell>
          <cell r="C71" t="str">
            <v>0</v>
          </cell>
          <cell r="E71" t="str">
            <v>PCS</v>
          </cell>
          <cell r="G71" t="str">
            <v>musa</v>
          </cell>
          <cell r="AA71" t="str">
            <v>COMMSCOPE STOCK</v>
          </cell>
        </row>
        <row r="72">
          <cell r="A72" t="str">
            <v>FBWLCUC11-JXF003</v>
          </cell>
          <cell r="B72" t="str">
            <v>TeraSPEED® LC to Unconnectorized,</v>
          </cell>
          <cell r="C72" t="str">
            <v>0</v>
          </cell>
          <cell r="E72" t="str">
            <v>PCS</v>
          </cell>
          <cell r="G72" t="str">
            <v>musa</v>
          </cell>
          <cell r="AA72" t="str">
            <v>COMMSCOPE STOCK</v>
          </cell>
        </row>
        <row r="73">
          <cell r="A73" t="str">
            <v>NPC06UZDB-BL030C</v>
          </cell>
          <cell r="B73" t="str">
            <v>NPC CAT 6, UTP, LSZH, BL, 30C</v>
          </cell>
          <cell r="C73" t="str">
            <v>0</v>
          </cell>
          <cell r="E73" t="str">
            <v>PC</v>
          </cell>
          <cell r="G73" t="str">
            <v>musa</v>
          </cell>
          <cell r="AA73" t="str">
            <v>COMMSCOPE STOCK</v>
          </cell>
        </row>
        <row r="74">
          <cell r="A74" t="str">
            <v>1427632-1</v>
          </cell>
          <cell r="B74" t="str">
            <v>HORIZANTAL CABLE MANAGEMENT 1U</v>
          </cell>
          <cell r="C74" t="str">
            <v>0</v>
          </cell>
          <cell r="E74" t="str">
            <v>PCS</v>
          </cell>
          <cell r="G74" t="str">
            <v>musa</v>
          </cell>
          <cell r="AA74" t="str">
            <v>COMMSCOPE STOCK</v>
          </cell>
        </row>
        <row r="75">
          <cell r="A75" t="str">
            <v>6536880-2</v>
          </cell>
          <cell r="B75" t="str">
            <v>FOSM PIGTAIL 0.9S WHITE LC/PC TUNED 2M</v>
          </cell>
          <cell r="C75" t="str">
            <v>4590</v>
          </cell>
          <cell r="E75" t="str">
            <v>PC - 285B</v>
          </cell>
          <cell r="F75" t="str">
            <v>297B,305B New WH</v>
          </cell>
          <cell r="G75" t="str">
            <v>musa</v>
          </cell>
          <cell r="AA75" t="str">
            <v>COMMSCOPE STOCK</v>
          </cell>
        </row>
        <row r="76">
          <cell r="A76" t="str">
            <v>884059314/10</v>
          </cell>
          <cell r="B76" t="str">
            <v>CS34Z1 WHT C6 4/24 U/UTP CPK 305M</v>
          </cell>
          <cell r="C76" t="str">
            <v>0</v>
          </cell>
          <cell r="E76" t="str">
            <v>M</v>
          </cell>
          <cell r="G76" t="str">
            <v>musa</v>
          </cell>
          <cell r="AA76" t="str">
            <v>COMMSCOPE STOCK</v>
          </cell>
        </row>
        <row r="77">
          <cell r="A77" t="str">
            <v>NPC6ASZDB-BK003M</v>
          </cell>
          <cell r="B77" t="str">
            <v>NPC, Cat 6A, Shielded, LSZH, Black, 3M</v>
          </cell>
          <cell r="C77" t="str">
            <v>15</v>
          </cell>
          <cell r="E77" t="str">
            <v>PCS</v>
          </cell>
          <cell r="F77" t="str">
            <v>291B</v>
          </cell>
          <cell r="G77" t="str">
            <v>musa</v>
          </cell>
          <cell r="AA77" t="str">
            <v>COMMSCOPE STOCK</v>
          </cell>
        </row>
        <row r="78">
          <cell r="A78" t="str">
            <v>NPC6ASZDB-BL001M</v>
          </cell>
          <cell r="B78" t="str">
            <v>NPC, Cat 6A, Shielded, LSZH, Blue, 1M</v>
          </cell>
          <cell r="C78" t="str">
            <v>0</v>
          </cell>
          <cell r="E78" t="str">
            <v>PCS</v>
          </cell>
          <cell r="G78" t="str">
            <v>musa</v>
          </cell>
          <cell r="AA78" t="str">
            <v>COMMSCOPE STOCK</v>
          </cell>
        </row>
        <row r="79">
          <cell r="A79" t="str">
            <v>NPC6ASZDB-GN001M</v>
          </cell>
          <cell r="B79" t="str">
            <v>NPC, Cat 6A, Shielded, LSZH, Green 1m</v>
          </cell>
          <cell r="C79" t="str">
            <v>0</v>
          </cell>
          <cell r="E79" t="str">
            <v>PCS</v>
          </cell>
          <cell r="G79" t="str">
            <v>musa</v>
          </cell>
          <cell r="AA79" t="str">
            <v>COMMSCOPE STOCK</v>
          </cell>
        </row>
        <row r="80">
          <cell r="A80" t="str">
            <v>NPC6ASZDB-YL001M</v>
          </cell>
          <cell r="B80" t="str">
            <v>NPC, Cat 6A, Shielded, LSZH, Yellow, 1M</v>
          </cell>
          <cell r="C80" t="str">
            <v>0</v>
          </cell>
          <cell r="E80" t="str">
            <v>PCS</v>
          </cell>
          <cell r="G80" t="str">
            <v>musa</v>
          </cell>
          <cell r="AA80" t="str">
            <v>COMMSCOPE STOCK</v>
          </cell>
        </row>
        <row r="81">
          <cell r="A81" t="str">
            <v>760237040</v>
          </cell>
          <cell r="B81" t="str">
            <v>CPP-UDDM-SL-1U-24</v>
          </cell>
          <cell r="C81" t="str">
            <v>109</v>
          </cell>
          <cell r="E81" t="str">
            <v>PC</v>
          </cell>
          <cell r="F81" t="str">
            <v>294C</v>
          </cell>
          <cell r="G81" t="str">
            <v>musa</v>
          </cell>
          <cell r="AA81" t="str">
            <v>COMMSCOPE STOCK</v>
          </cell>
        </row>
        <row r="82">
          <cell r="A82" t="str">
            <v>9-1594455-1</v>
          </cell>
          <cell r="B82" t="str">
            <v>POC-P5SOD24N024HGY09NUOR</v>
          </cell>
          <cell r="C82" t="str">
            <v>0</v>
          </cell>
          <cell r="E82" t="str">
            <v>M</v>
          </cell>
          <cell r="G82" t="str">
            <v>musa</v>
          </cell>
          <cell r="AA82" t="str">
            <v>COMMSCOPE STOCK</v>
          </cell>
        </row>
        <row r="83">
          <cell r="A83" t="str">
            <v>760012153</v>
          </cell>
          <cell r="B83" t="str">
            <v>N-006-DS-5K-FSUAQ/D OM4,aqua</v>
          </cell>
          <cell r="C83" t="str">
            <v>0</v>
          </cell>
          <cell r="E83" t="str">
            <v>FT</v>
          </cell>
          <cell r="G83" t="str">
            <v>musa</v>
          </cell>
          <cell r="AA83" t="str">
            <v>COMMSCOPE STOCK</v>
          </cell>
        </row>
        <row r="84">
          <cell r="A84" t="str">
            <v>1-2160046-0</v>
          </cell>
          <cell r="B84" t="str">
            <v>FOMM50 LEAD OM4 1.8MZ LC - LC D 10M</v>
          </cell>
          <cell r="C84" t="str">
            <v>0</v>
          </cell>
          <cell r="E84" t="str">
            <v>PC</v>
          </cell>
          <cell r="G84" t="str">
            <v>musa</v>
          </cell>
          <cell r="AA84" t="str">
            <v>COMMSCOPE STOCK</v>
          </cell>
        </row>
        <row r="85">
          <cell r="A85" t="str">
            <v>1-2160046-5</v>
          </cell>
          <cell r="B85" t="str">
            <v>FOMM50 LEAD OM4 1.8MZ  LC - LC D 15M</v>
          </cell>
          <cell r="C85" t="str">
            <v>0</v>
          </cell>
          <cell r="E85" t="str">
            <v>PCS</v>
          </cell>
          <cell r="G85" t="str">
            <v>musa</v>
          </cell>
          <cell r="AA85" t="str">
            <v>COMMSCOPE STOCK</v>
          </cell>
        </row>
        <row r="86">
          <cell r="A86" t="str">
            <v>2160046-2</v>
          </cell>
          <cell r="B86" t="str">
            <v>FOMM50 LEAD OM4 1.8MZ LC - LC D 2M</v>
          </cell>
          <cell r="C86" t="str">
            <v>224</v>
          </cell>
          <cell r="E86" t="str">
            <v>PC</v>
          </cell>
          <cell r="F86" t="str">
            <v>305B</v>
          </cell>
          <cell r="G86" t="str">
            <v>musa</v>
          </cell>
          <cell r="AA86" t="str">
            <v>COMMSCOPE STOCK</v>
          </cell>
        </row>
        <row r="87">
          <cell r="A87" t="str">
            <v>700009780</v>
          </cell>
          <cell r="B87" t="str">
            <v>N-006-DS-5L-FSUAQ/D</v>
          </cell>
          <cell r="C87" t="str">
            <v>0</v>
          </cell>
          <cell r="E87" t="str">
            <v>FT</v>
          </cell>
          <cell r="G87" t="str">
            <v>musa</v>
          </cell>
          <cell r="AA87" t="str">
            <v>COMMSCOPE STOCK</v>
          </cell>
        </row>
        <row r="88">
          <cell r="A88" t="str">
            <v>760019109</v>
          </cell>
          <cell r="B88" t="str">
            <v>N-024-DS-5L-FSUAQ/D - OM3</v>
          </cell>
          <cell r="C88" t="str">
            <v>0</v>
          </cell>
          <cell r="E88" t="str">
            <v>FT</v>
          </cell>
          <cell r="G88" t="str">
            <v>musa</v>
          </cell>
          <cell r="AA88" t="str">
            <v>COMMSCOPE STOCK</v>
          </cell>
        </row>
        <row r="89">
          <cell r="A89" t="str">
            <v>1-599622-4</v>
          </cell>
          <cell r="B89" t="str">
            <v>C-004-CN-8W-M04YL/28G/GY/E</v>
          </cell>
          <cell r="C89" t="str">
            <v>0</v>
          </cell>
          <cell r="E89" t="str">
            <v>M</v>
          </cell>
          <cell r="G89" t="str">
            <v>musa</v>
          </cell>
          <cell r="AA89" t="str">
            <v>COMMSCOPE STOCK</v>
          </cell>
        </row>
        <row r="90">
          <cell r="A90" t="str">
            <v>1-6536969-0</v>
          </cell>
          <cell r="B90" t="str">
            <v>FOMM50 LEAD 1.8MZ OM3 LC-LC DPX 10M</v>
          </cell>
          <cell r="C90" t="str">
            <v>0</v>
          </cell>
          <cell r="E90" t="str">
            <v>PCS</v>
          </cell>
          <cell r="G90" t="str">
            <v>musa</v>
          </cell>
          <cell r="AA90" t="str">
            <v>COMMSCOPE STOCK</v>
          </cell>
        </row>
        <row r="91">
          <cell r="A91" t="str">
            <v>1-6536969-5</v>
          </cell>
          <cell r="B91" t="str">
            <v>FOMM50 LEAD OM3 1.8MZ LC/LC DPX 15M</v>
          </cell>
          <cell r="C91" t="str">
            <v>0</v>
          </cell>
          <cell r="E91" t="str">
            <v>PCS</v>
          </cell>
          <cell r="G91" t="str">
            <v>musa</v>
          </cell>
          <cell r="AA91" t="str">
            <v>COMMSCOPE STOCK</v>
          </cell>
        </row>
        <row r="92">
          <cell r="A92" t="str">
            <v>1671044-1</v>
          </cell>
          <cell r="B92" t="str">
            <v>DISTR.MOD.DUPL.6XLC_EMPT.</v>
          </cell>
          <cell r="C92" t="str">
            <v>0</v>
          </cell>
          <cell r="E92" t="str">
            <v>PCS</v>
          </cell>
          <cell r="G92" t="str">
            <v>musa</v>
          </cell>
          <cell r="AA92" t="str">
            <v>COMMSCOPE STOCK</v>
          </cell>
        </row>
        <row r="93">
          <cell r="A93" t="str">
            <v>1711277-1</v>
          </cell>
          <cell r="B93" t="str">
            <v>FACE PLATE-FRENCH STYLE 4</v>
          </cell>
          <cell r="C93" t="str">
            <v>0</v>
          </cell>
          <cell r="E93" t="str">
            <v>PCS</v>
          </cell>
          <cell r="G93" t="str">
            <v>musa</v>
          </cell>
          <cell r="AA93" t="str">
            <v>COMMSCOPE STOCK</v>
          </cell>
        </row>
        <row r="94">
          <cell r="A94" t="str">
            <v>2160046-5</v>
          </cell>
          <cell r="B94" t="str">
            <v>FOMM50 LEAD OM4 1.8MZ  LC - LC D 5 M</v>
          </cell>
          <cell r="C94" t="str">
            <v>0</v>
          </cell>
          <cell r="E94" t="str">
            <v>PCS</v>
          </cell>
          <cell r="G94" t="str">
            <v>musa</v>
          </cell>
          <cell r="AA94" t="str">
            <v>COMMSCOPE STOCK</v>
          </cell>
        </row>
        <row r="95">
          <cell r="A95" t="str">
            <v>6536966-2</v>
          </cell>
          <cell r="B95" t="str">
            <v>FOMM50 PIGTAIL0.9S OM3 LC/PC 2M</v>
          </cell>
          <cell r="C95" t="str">
            <v>0</v>
          </cell>
          <cell r="E95" t="str">
            <v>PCS</v>
          </cell>
          <cell r="G95" t="str">
            <v>musa</v>
          </cell>
          <cell r="AA95" t="str">
            <v>COMMSCOPE STOCK</v>
          </cell>
        </row>
        <row r="96">
          <cell r="A96" t="str">
            <v>6536969-1</v>
          </cell>
          <cell r="B96" t="str">
            <v>FOMM50 LEAD 1.8MZ OM3 LC-LC DPX 1M</v>
          </cell>
          <cell r="C96" t="str">
            <v>0</v>
          </cell>
          <cell r="E96" t="str">
            <v>PCS</v>
          </cell>
          <cell r="G96" t="str">
            <v>musa</v>
          </cell>
          <cell r="AA96" t="str">
            <v>COMMSCOPE STOCK</v>
          </cell>
        </row>
        <row r="97">
          <cell r="A97" t="str">
            <v>6536969-2</v>
          </cell>
          <cell r="B97" t="str">
            <v>FOMM50 LEAD OM3 1.8MZ LC-LC DPX 2M</v>
          </cell>
          <cell r="C97" t="str">
            <v>0</v>
          </cell>
          <cell r="E97" t="str">
            <v>PCS</v>
          </cell>
          <cell r="G97" t="str">
            <v>musa</v>
          </cell>
          <cell r="AA97" t="str">
            <v>COMMSCOPE STOCK</v>
          </cell>
        </row>
        <row r="98">
          <cell r="A98" t="str">
            <v>6536969-3</v>
          </cell>
          <cell r="B98" t="str">
            <v>FOMM50 LEAD 1.8MZ OM3 LC-LC DPX 3M</v>
          </cell>
          <cell r="C98" t="str">
            <v>0</v>
          </cell>
          <cell r="E98" t="str">
            <v>PCS</v>
          </cell>
          <cell r="G98" t="str">
            <v>musa</v>
          </cell>
          <cell r="AA98" t="str">
            <v>COMMSCOPE STOCK</v>
          </cell>
        </row>
        <row r="99">
          <cell r="A99" t="str">
            <v>6536969-5</v>
          </cell>
          <cell r="B99" t="str">
            <v>FOMM50 LEAD OM3 1.8MZ LC-LC DPX 5M</v>
          </cell>
          <cell r="C99" t="str">
            <v>0</v>
          </cell>
          <cell r="E99" t="str">
            <v>PCS</v>
          </cell>
          <cell r="G99" t="str">
            <v>musa</v>
          </cell>
          <cell r="AA99" t="str">
            <v>COMMSCOPE STOCK</v>
          </cell>
        </row>
        <row r="100">
          <cell r="A100" t="str">
            <v>NPC06UZDB-WT002M</v>
          </cell>
          <cell r="B100" t="str">
            <v>NPC CAT 6, UTP, LSZH, WT, 2M</v>
          </cell>
          <cell r="C100" t="str">
            <v>0</v>
          </cell>
          <cell r="E100" t="str">
            <v>PC</v>
          </cell>
          <cell r="G100" t="str">
            <v>musa</v>
          </cell>
          <cell r="AA100" t="str">
            <v>COMMSCOPE STOCK</v>
          </cell>
        </row>
        <row r="101">
          <cell r="A101" t="str">
            <v>NPC6ASZDB-WT002M</v>
          </cell>
          <cell r="B101" t="str">
            <v>NPC, Cat 6A, Shielded, LSZH, White, 2M</v>
          </cell>
          <cell r="C101" t="str">
            <v>1</v>
          </cell>
          <cell r="E101" t="str">
            <v>PC</v>
          </cell>
          <cell r="F101" t="str">
            <v>0</v>
          </cell>
          <cell r="G101" t="str">
            <v>musa</v>
          </cell>
          <cell r="AA101" t="str">
            <v>COMMSCOPE STOCK</v>
          </cell>
        </row>
        <row r="102">
          <cell r="A102" t="str">
            <v>NPC6ASZDB-WT010M</v>
          </cell>
          <cell r="B102" t="str">
            <v>NPC, Cat 6A, Shielded, LSZH, White, 10M</v>
          </cell>
          <cell r="C102" t="str">
            <v>0</v>
          </cell>
          <cell r="E102" t="str">
            <v>PCS</v>
          </cell>
          <cell r="G102" t="str">
            <v>musa</v>
          </cell>
          <cell r="AA102" t="str">
            <v>COMMSCOPE STOCK</v>
          </cell>
        </row>
        <row r="103">
          <cell r="A103" t="str">
            <v>1-599625-3</v>
          </cell>
          <cell r="B103" t="str">
            <v>POC-FO-CAB-RRGLT-12X3-1KM</v>
          </cell>
          <cell r="C103" t="str">
            <v>0</v>
          </cell>
          <cell r="E103" t="str">
            <v>M</v>
          </cell>
          <cell r="G103" t="str">
            <v>musa</v>
          </cell>
          <cell r="AA103" t="str">
            <v>COMMSCOPE STOCK</v>
          </cell>
        </row>
        <row r="104">
          <cell r="A104" t="str">
            <v>1-599623-3</v>
          </cell>
          <cell r="B104" t="str">
            <v>POC-FO-CAB-RRGLT-6X3-1KM</v>
          </cell>
          <cell r="C104" t="str">
            <v>0</v>
          </cell>
          <cell r="E104" t="str">
            <v>M</v>
          </cell>
          <cell r="G104" t="str">
            <v>musa</v>
          </cell>
          <cell r="AA104" t="str">
            <v>COMMSCOPE STOCK</v>
          </cell>
        </row>
        <row r="105">
          <cell r="A105" t="str">
            <v>108168469</v>
          </cell>
          <cell r="B105" t="str">
            <v>M12L-262 FACEPLATE KIT</v>
          </cell>
          <cell r="C105" t="str">
            <v>0</v>
          </cell>
          <cell r="E105" t="str">
            <v>PC</v>
          </cell>
          <cell r="G105" t="str">
            <v>musa</v>
          </cell>
          <cell r="AA105" t="str">
            <v>COMMSCOPE STOCK</v>
          </cell>
        </row>
        <row r="106">
          <cell r="A106" t="str">
            <v>760135087</v>
          </cell>
          <cell r="B106" t="str">
            <v>360DP-12SC-SM</v>
          </cell>
          <cell r="C106" t="str">
            <v>84</v>
          </cell>
          <cell r="E106" t="str">
            <v>PC</v>
          </cell>
          <cell r="F106" t="str">
            <v>287B</v>
          </cell>
          <cell r="G106" t="str">
            <v>musa</v>
          </cell>
          <cell r="AA106" t="str">
            <v>COMMSCOPE STOCK</v>
          </cell>
        </row>
        <row r="107">
          <cell r="A107" t="str">
            <v>760231522</v>
          </cell>
          <cell r="B107" t="str">
            <v>HD-4U-SP SPLICING FIBER SHELF</v>
          </cell>
          <cell r="C107" t="str">
            <v>7</v>
          </cell>
          <cell r="E107" t="str">
            <v>PC</v>
          </cell>
          <cell r="F107" t="str">
            <v xml:space="preserve"> New WH</v>
          </cell>
          <cell r="G107" t="str">
            <v>musa</v>
          </cell>
          <cell r="AA107" t="str">
            <v>COMMSCOPE STOCK</v>
          </cell>
        </row>
        <row r="108">
          <cell r="A108" t="str">
            <v>CPCSSZ2-0ZF007</v>
          </cell>
          <cell r="B108" t="str">
            <v>360GS10E-L-BL-7FT</v>
          </cell>
          <cell r="C108" t="str">
            <v>0</v>
          </cell>
          <cell r="E108" t="str">
            <v>PC</v>
          </cell>
          <cell r="G108" t="str">
            <v>musa</v>
          </cell>
          <cell r="AA108" t="str">
            <v>COMMSCOPE STOCK</v>
          </cell>
        </row>
        <row r="109">
          <cell r="A109" t="str">
            <v>CPCSSZ2-0ZF010</v>
          </cell>
          <cell r="B109" t="str">
            <v>360GS10E-L-BL-10FT</v>
          </cell>
          <cell r="C109" t="str">
            <v>0</v>
          </cell>
          <cell r="E109" t="str">
            <v>PC</v>
          </cell>
          <cell r="G109" t="str">
            <v>musa</v>
          </cell>
          <cell r="AA109" t="str">
            <v>COMMSCOPE STOCK</v>
          </cell>
        </row>
        <row r="110">
          <cell r="A110" t="str">
            <v>1671000-8</v>
          </cell>
          <cell r="B110" t="str">
            <v>1UENC_SLID.TR._LC/MM_B</v>
          </cell>
          <cell r="C110" t="str">
            <v>262</v>
          </cell>
          <cell r="E110" t="str">
            <v>PCS</v>
          </cell>
          <cell r="F110" t="str">
            <v>293A,288A,288C,299C,292C New WH</v>
          </cell>
          <cell r="G110" t="str">
            <v>musa</v>
          </cell>
          <cell r="AA110" t="str">
            <v>COMMSCOPE STOCK</v>
          </cell>
        </row>
        <row r="111">
          <cell r="A111" t="str">
            <v>657054-000</v>
          </cell>
          <cell r="B111" t="str">
            <v>SMOUV-1120-01-PK</v>
          </cell>
          <cell r="C111" t="str">
            <v>688</v>
          </cell>
          <cell r="E111" t="str">
            <v>PCS</v>
          </cell>
          <cell r="F111" t="str">
            <v>288B,291B New WH</v>
          </cell>
          <cell r="G111" t="str">
            <v>musa</v>
          </cell>
          <cell r="AA111" t="str">
            <v>COMMSCOPE STOCK</v>
          </cell>
        </row>
        <row r="112">
          <cell r="A112" t="str">
            <v>1-599622-3</v>
          </cell>
          <cell r="B112" t="str">
            <v>POC-FO-CAB-RRGLT-4X3-1KM</v>
          </cell>
          <cell r="C112" t="str">
            <v>0</v>
          </cell>
          <cell r="E112" t="str">
            <v>M</v>
          </cell>
          <cell r="G112" t="str">
            <v>musa</v>
          </cell>
          <cell r="AA112" t="str">
            <v>COMMSCOPE STOCK</v>
          </cell>
        </row>
        <row r="113">
          <cell r="A113" t="str">
            <v>1-599624-3</v>
          </cell>
          <cell r="B113" t="str">
            <v>POC-FO-CAB-RRGLT-8X3-1KM</v>
          </cell>
          <cell r="C113" t="str">
            <v>0</v>
          </cell>
          <cell r="E113" t="str">
            <v>M</v>
          </cell>
          <cell r="G113" t="str">
            <v>musa</v>
          </cell>
          <cell r="AA113" t="str">
            <v>COMMSCOPE STOCK</v>
          </cell>
        </row>
        <row r="114">
          <cell r="A114" t="str">
            <v>1711349-1</v>
          </cell>
          <cell r="B114" t="str">
            <v>UNLOADED 45x22.5 SNAP IN MODULE</v>
          </cell>
          <cell r="C114" t="str">
            <v>0</v>
          </cell>
          <cell r="E114" t="str">
            <v>PCS</v>
          </cell>
          <cell r="G114" t="str">
            <v>musa</v>
          </cell>
          <cell r="AA114" t="str">
            <v>COMMSCOPE STOCK</v>
          </cell>
        </row>
        <row r="115">
          <cell r="A115" t="str">
            <v>2-599622-4</v>
          </cell>
          <cell r="B115" t="str">
            <v>POC-FO-CAB-RRGLT-4X4-2KM</v>
          </cell>
          <cell r="C115" t="str">
            <v>0</v>
          </cell>
          <cell r="E115" t="str">
            <v>M</v>
          </cell>
          <cell r="G115" t="str">
            <v>musa</v>
          </cell>
          <cell r="AA115" t="str">
            <v>COMMSCOPE STOCK</v>
          </cell>
        </row>
        <row r="116">
          <cell r="A116" t="str">
            <v>NPC6ASZDB-WT005M</v>
          </cell>
          <cell r="B116" t="str">
            <v>NPC, Cat 6A, Shielded, LSZH, White, 5M</v>
          </cell>
          <cell r="C116" t="str">
            <v>88</v>
          </cell>
          <cell r="E116" t="str">
            <v>PC</v>
          </cell>
          <cell r="F116" t="str">
            <v>302B,300A</v>
          </cell>
          <cell r="G116" t="str">
            <v>musa</v>
          </cell>
          <cell r="AA116" t="str">
            <v>COMMSCOPE STOCK</v>
          </cell>
        </row>
        <row r="117">
          <cell r="A117" t="str">
            <v>1671281-1</v>
          </cell>
          <cell r="B117" t="str">
            <v>Splice Tray kit SMOUV</v>
          </cell>
          <cell r="C117" t="str">
            <v>18</v>
          </cell>
          <cell r="E117" t="str">
            <v>PC</v>
          </cell>
          <cell r="F117" t="str">
            <v xml:space="preserve"> New WH</v>
          </cell>
          <cell r="G117" t="str">
            <v>musa</v>
          </cell>
          <cell r="AA117" t="str">
            <v>COMMSCOPE STOCK</v>
          </cell>
        </row>
        <row r="118">
          <cell r="A118" t="str">
            <v>760237041</v>
          </cell>
          <cell r="B118" t="str">
            <v>CPP-UDDM-SL-2U-48</v>
          </cell>
          <cell r="C118" t="str">
            <v>80</v>
          </cell>
          <cell r="E118" t="str">
            <v>PC</v>
          </cell>
          <cell r="F118" t="str">
            <v>293A</v>
          </cell>
          <cell r="G118" t="str">
            <v>musa</v>
          </cell>
          <cell r="AA118" t="str">
            <v>COMMSCOPE STOCK</v>
          </cell>
        </row>
        <row r="119">
          <cell r="A119" t="str">
            <v>1375055-2</v>
          </cell>
          <cell r="B119" t="str">
            <v>JACK,SL110,RJ45,CAT6,BLK</v>
          </cell>
          <cell r="C119" t="str">
            <v>0</v>
          </cell>
          <cell r="E119" t="str">
            <v>PC</v>
          </cell>
          <cell r="G119" t="str">
            <v>musa</v>
          </cell>
          <cell r="AA119" t="str">
            <v>COMMSCOPE STOCK</v>
          </cell>
        </row>
        <row r="120">
          <cell r="A120" t="str">
            <v>NPC06UZDB-WT001M</v>
          </cell>
          <cell r="B120" t="str">
            <v>NPC CAT 6, UTP, LSZH, WT, 1M</v>
          </cell>
          <cell r="C120" t="str">
            <v>1592</v>
          </cell>
          <cell r="E120" t="str">
            <v>PC</v>
          </cell>
          <cell r="F120" t="str">
            <v>299C,295C New WH</v>
          </cell>
          <cell r="G120" t="str">
            <v>musa</v>
          </cell>
          <cell r="AA120" t="str">
            <v>COMMSCOPE STOCK</v>
          </cell>
        </row>
        <row r="121">
          <cell r="A121" t="str">
            <v>NPC06UZDB-WT003M</v>
          </cell>
          <cell r="B121" t="str">
            <v>NPC CAT 6, UTP, LSZH, WT, 3M</v>
          </cell>
          <cell r="C121" t="str">
            <v>373</v>
          </cell>
          <cell r="E121" t="str">
            <v>PC</v>
          </cell>
          <cell r="F121" t="str">
            <v>228B,297C</v>
          </cell>
          <cell r="G121" t="str">
            <v>musa</v>
          </cell>
          <cell r="AA121" t="str">
            <v>COMMSCOPE STOCK</v>
          </cell>
        </row>
        <row r="122">
          <cell r="A122" t="str">
            <v>760100891</v>
          </cell>
          <cell r="B122" t="str">
            <v>M10LW4SP 1-Port 1-Gang SS Tel Faceplate</v>
          </cell>
          <cell r="C122" t="str">
            <v>0</v>
          </cell>
          <cell r="E122" t="str">
            <v>PCS</v>
          </cell>
          <cell r="G122" t="str">
            <v>musa</v>
          </cell>
          <cell r="AA122" t="str">
            <v>COMMSCOPE STOCK</v>
          </cell>
        </row>
        <row r="123">
          <cell r="A123" t="str">
            <v>FDWLCSC42-JXF017</v>
          </cell>
          <cell r="B123" t="str">
            <v>JUMPER,PLEN,TS,1.6MM,DPLX,LC/SC,YL,FT017</v>
          </cell>
          <cell r="C123" t="str">
            <v>0</v>
          </cell>
          <cell r="E123" t="str">
            <v>PCS</v>
          </cell>
          <cell r="G123" t="str">
            <v>musa</v>
          </cell>
          <cell r="AA123" t="str">
            <v>COMMSCOPE STOCK</v>
          </cell>
        </row>
        <row r="124">
          <cell r="A124" t="str">
            <v>760248901</v>
          </cell>
          <cell r="B124" t="str">
            <v>WB2-EMT-BK-2P-MOD</v>
          </cell>
          <cell r="C124" t="str">
            <v>0</v>
          </cell>
          <cell r="E124" t="str">
            <v>PCS</v>
          </cell>
          <cell r="G124" t="str">
            <v>musa</v>
          </cell>
          <cell r="AA124" t="str">
            <v>COMMSCOPE STOCK</v>
          </cell>
        </row>
        <row r="125">
          <cell r="A125" t="str">
            <v>700009749</v>
          </cell>
          <cell r="B125" t="str">
            <v>N-012-DS-5L-FSUAQ/D</v>
          </cell>
          <cell r="C125" t="str">
            <v>0</v>
          </cell>
          <cell r="E125" t="str">
            <v>FT</v>
          </cell>
          <cell r="G125" t="str">
            <v>musa</v>
          </cell>
          <cell r="AA125" t="str">
            <v>COMMSCOPE STOCK</v>
          </cell>
        </row>
        <row r="126">
          <cell r="A126" t="str">
            <v>884041954/16</v>
          </cell>
          <cell r="B126" t="str">
            <v>CS44Z3 WHT C6A 4/23 F/FTP RL 500M</v>
          </cell>
          <cell r="C126" t="str">
            <v>2236496</v>
          </cell>
          <cell r="E126" t="str">
            <v>Roll 500 M</v>
          </cell>
          <cell r="F126" t="str">
            <v>272A,438TO455A,B,C New WH</v>
          </cell>
          <cell r="G126" t="str">
            <v>musa</v>
          </cell>
          <cell r="AA126" t="str">
            <v>COMMSCOPE STOCK</v>
          </cell>
        </row>
        <row r="127">
          <cell r="A127" t="str">
            <v>760237047</v>
          </cell>
          <cell r="B127" t="str">
            <v>CPP-SDDM-SL-2U-48</v>
          </cell>
          <cell r="C127" t="str">
            <v>251</v>
          </cell>
          <cell r="E127" t="str">
            <v>PCS</v>
          </cell>
          <cell r="F127" t="str">
            <v xml:space="preserve"> New WH</v>
          </cell>
          <cell r="G127" t="str">
            <v>musa</v>
          </cell>
          <cell r="AA127" t="str">
            <v>COMMSCOPE STOCK</v>
          </cell>
        </row>
        <row r="128">
          <cell r="A128" t="str">
            <v>NPC06UZDB-WT005M</v>
          </cell>
          <cell r="B128" t="str">
            <v>CPP-SDDM-SL-2U-48</v>
          </cell>
          <cell r="C128" t="str">
            <v>0</v>
          </cell>
          <cell r="E128" t="str">
            <v>PC</v>
          </cell>
          <cell r="G128" t="str">
            <v>musa</v>
          </cell>
          <cell r="AA128" t="str">
            <v>COMMSCOPE STOCK</v>
          </cell>
        </row>
        <row r="129">
          <cell r="A129" t="str">
            <v>NPC6ASZDB-WT001M</v>
          </cell>
          <cell r="B129" t="str">
            <v>NPC, Cat 6A, Shielded, LSZH, White, 1M</v>
          </cell>
          <cell r="C129" t="str">
            <v>8447</v>
          </cell>
          <cell r="E129" t="str">
            <v>PC</v>
          </cell>
          <cell r="F129" t="str">
            <v>0</v>
          </cell>
          <cell r="G129" t="str">
            <v>musa</v>
          </cell>
          <cell r="AA129" t="str">
            <v>COMMSCOPE STOCK</v>
          </cell>
        </row>
        <row r="130">
          <cell r="A130" t="str">
            <v>760152587</v>
          </cell>
          <cell r="B130" t="str">
            <v>360-IPR-1100-E-GS6-1U-24</v>
          </cell>
          <cell r="C130" t="str">
            <v>123</v>
          </cell>
          <cell r="E130" t="str">
            <v>PCS</v>
          </cell>
          <cell r="F130" t="str">
            <v xml:space="preserve"> New WH</v>
          </cell>
          <cell r="G130" t="str">
            <v>musa</v>
          </cell>
          <cell r="AA130" t="str">
            <v>COMMSCOPE STOCK</v>
          </cell>
        </row>
        <row r="131">
          <cell r="A131" t="str">
            <v>760152595</v>
          </cell>
          <cell r="B131" t="str">
            <v>360-IPR-1100-E-GS6-2U-48</v>
          </cell>
          <cell r="C131" t="str">
            <v>131</v>
          </cell>
          <cell r="E131" t="str">
            <v>PC</v>
          </cell>
          <cell r="F131" t="str">
            <v>294A,C New WH</v>
          </cell>
          <cell r="G131" t="str">
            <v>musa</v>
          </cell>
          <cell r="AA131" t="str">
            <v>COMMSCOPE STOCK</v>
          </cell>
        </row>
        <row r="132">
          <cell r="A132" t="str">
            <v>1711163-1</v>
          </cell>
          <cell r="B132" t="str">
            <v>CS54Z3 WHT C7 4/23 F/FTP RL 500M</v>
          </cell>
          <cell r="C132" t="str">
            <v>0</v>
          </cell>
          <cell r="E132" t="str">
            <v>500M X 1 Roll</v>
          </cell>
          <cell r="G132" t="str">
            <v>musa</v>
          </cell>
          <cell r="AA132" t="str">
            <v>COMMSCOPE STOCK</v>
          </cell>
        </row>
        <row r="133">
          <cell r="A133" t="str">
            <v>NPC6ASZDB-BL003M</v>
          </cell>
          <cell r="B133" t="str">
            <v>NPC, Cat 6A, Shielded, LSZH, Blue, 3M</v>
          </cell>
          <cell r="C133" t="str">
            <v>15</v>
          </cell>
          <cell r="E133" t="str">
            <v>EA</v>
          </cell>
          <cell r="F133" t="str">
            <v>285B</v>
          </cell>
          <cell r="G133" t="str">
            <v>musa</v>
          </cell>
          <cell r="AA133" t="str">
            <v>COMMSCOPE STOCK</v>
          </cell>
        </row>
        <row r="134">
          <cell r="A134" t="str">
            <v>760106047</v>
          </cell>
          <cell r="B134" t="str">
            <v>2091B GRN C6A 4/23 U/UTP R1000</v>
          </cell>
          <cell r="C134" t="str">
            <v>303000</v>
          </cell>
          <cell r="E134" t="str">
            <v>1000 FT = 1 Box</v>
          </cell>
          <cell r="F134" t="str">
            <v>271A,285C,201A New WH</v>
          </cell>
          <cell r="G134" t="str">
            <v>musa</v>
          </cell>
          <cell r="AA134" t="str">
            <v>COMMSCOPE STOCK</v>
          </cell>
        </row>
        <row r="135">
          <cell r="A135" t="str">
            <v>760106039</v>
          </cell>
          <cell r="B135" t="str">
            <v>3091B BLU C6A 4/23 U/UTP W1000</v>
          </cell>
          <cell r="C135" t="str">
            <v>0</v>
          </cell>
          <cell r="E135" t="str">
            <v>PCS</v>
          </cell>
          <cell r="G135" t="str">
            <v>musa</v>
          </cell>
          <cell r="AA135" t="str">
            <v>COMMSCOPE STOCK</v>
          </cell>
        </row>
        <row r="136">
          <cell r="A136" t="str">
            <v>760105890</v>
          </cell>
          <cell r="B136" t="str">
            <v>2091B GRN C6A 4/23 U/UTP R1000</v>
          </cell>
          <cell r="C136" t="str">
            <v>0</v>
          </cell>
          <cell r="E136" t="str">
            <v>M</v>
          </cell>
          <cell r="G136" t="str">
            <v>musa</v>
          </cell>
          <cell r="AA136" t="str">
            <v>COMMSCOPE STOCK</v>
          </cell>
        </row>
        <row r="137">
          <cell r="A137" t="str">
            <v>NPC6ASZDB-RD001M</v>
          </cell>
          <cell r="B137" t="str">
            <v>NPC, Cat 6A, Shielded, LSZH, Red, 1M</v>
          </cell>
          <cell r="C137" t="str">
            <v>0</v>
          </cell>
          <cell r="E137" t="str">
            <v>PC</v>
          </cell>
          <cell r="G137" t="str">
            <v>musa</v>
          </cell>
          <cell r="AA137" t="str">
            <v>COMMSCOPE STOCK</v>
          </cell>
        </row>
        <row r="138">
          <cell r="A138" t="str">
            <v>CC8480-000</v>
          </cell>
          <cell r="B138" t="str">
            <v>OC-ADP-L2-L2-NNCD</v>
          </cell>
          <cell r="C138" t="str">
            <v>0</v>
          </cell>
          <cell r="E138" t="str">
            <v>EA</v>
          </cell>
          <cell r="G138" t="str">
            <v>musa</v>
          </cell>
          <cell r="AA138" t="str">
            <v>COMMSCOPE STOCK</v>
          </cell>
        </row>
        <row r="139">
          <cell r="A139" t="str">
            <v>1711411-1</v>
          </cell>
          <cell r="B139" t="str">
            <v>IP 44 Industrial Outlet</v>
          </cell>
          <cell r="C139" t="str">
            <v>0</v>
          </cell>
          <cell r="E139" t="str">
            <v>EA</v>
          </cell>
          <cell r="G139" t="str">
            <v>musa</v>
          </cell>
          <cell r="AA139" t="str">
            <v>COMMSCOPE STOCK</v>
          </cell>
        </row>
        <row r="140">
          <cell r="A140" t="str">
            <v>FFXLCLC42-MXF033</v>
          </cell>
          <cell r="B140" t="str">
            <v>JUMPER,LSZH,LS,1.6MM,DPLX,LC/LC,AQ,FT033</v>
          </cell>
          <cell r="C140" t="str">
            <v>48</v>
          </cell>
          <cell r="E140" t="str">
            <v>PC</v>
          </cell>
          <cell r="F140" t="str">
            <v>285B</v>
          </cell>
          <cell r="G140" t="str">
            <v>musa</v>
          </cell>
          <cell r="AA140" t="str">
            <v>COMMSCOPE STOCK</v>
          </cell>
        </row>
        <row r="141">
          <cell r="A141" t="str">
            <v>CW16452-000</v>
          </cell>
          <cell r="B141" t="str">
            <v>Fiber Optic Patch Cord. singlcmode</v>
          </cell>
          <cell r="C141" t="str">
            <v>0</v>
          </cell>
          <cell r="E141" t="str">
            <v>EA</v>
          </cell>
          <cell r="G141" t="str">
            <v>musa</v>
          </cell>
          <cell r="AA141" t="str">
            <v>COMMSCOPE STOCK</v>
          </cell>
        </row>
        <row r="142">
          <cell r="A142" t="str">
            <v>760039867</v>
          </cell>
          <cell r="B142" t="str">
            <v>RS-2AF-16SF RoloSplice/2Fus Spl</v>
          </cell>
          <cell r="C142" t="str">
            <v>92</v>
          </cell>
          <cell r="E142" t="str">
            <v>PC</v>
          </cell>
          <cell r="F142" t="str">
            <v>290B,451B New WH</v>
          </cell>
          <cell r="G142" t="str">
            <v>musa</v>
          </cell>
          <cell r="AA142" t="str">
            <v>COMMSCOPE STOCK</v>
          </cell>
        </row>
        <row r="143">
          <cell r="A143" t="str">
            <v>760241035</v>
          </cell>
          <cell r="B143" t="str">
            <v>C-012-LA-8\V-M 1213K/20G/13</v>
          </cell>
          <cell r="C143" t="str">
            <v>2721</v>
          </cell>
          <cell r="E143" t="str">
            <v>M</v>
          </cell>
          <cell r="F143" t="str">
            <v>306B</v>
          </cell>
          <cell r="G143" t="str">
            <v>2721 Meter = 1 Drum</v>
          </cell>
          <cell r="AA143" t="str">
            <v>COMMSCOPE STOCK</v>
          </cell>
        </row>
        <row r="144">
          <cell r="A144" t="str">
            <v>760068718</v>
          </cell>
          <cell r="B144" t="str">
            <v>Z-004-DS-8W-FSUBK/D</v>
          </cell>
          <cell r="C144" t="str">
            <v>6888</v>
          </cell>
          <cell r="E144" t="str">
            <v>FT</v>
          </cell>
          <cell r="F144" t="str">
            <v>289A</v>
          </cell>
          <cell r="G144" t="str">
            <v>6888 FT = 1 Drum</v>
          </cell>
          <cell r="AA144" t="str">
            <v>COMMSCOPE STOCK</v>
          </cell>
        </row>
        <row r="145">
          <cell r="A145" t="str">
            <v>760053876</v>
          </cell>
          <cell r="B145" t="str">
            <v>D-048-LN-8W-F12NS</v>
          </cell>
          <cell r="C145" t="str">
            <v>0</v>
          </cell>
          <cell r="E145" t="str">
            <v>FT</v>
          </cell>
          <cell r="G145" t="str">
            <v>musa</v>
          </cell>
          <cell r="AA145" t="str">
            <v>COMMSCOPE STOCK</v>
          </cell>
        </row>
        <row r="146">
          <cell r="A146" t="str">
            <v>3-2160016-0</v>
          </cell>
          <cell r="B146" t="str">
            <v>FOMM50 LEAD OMA 1.8MZ LC - LC D 30M</v>
          </cell>
          <cell r="C146" t="str">
            <v>0</v>
          </cell>
          <cell r="E146" t="str">
            <v>M</v>
          </cell>
          <cell r="G146" t="str">
            <v>musa</v>
          </cell>
          <cell r="AA146" t="str">
            <v>COMMSCOPE STOCK</v>
          </cell>
        </row>
        <row r="147">
          <cell r="A147" t="str">
            <v>2-599625-3</v>
          </cell>
          <cell r="B147" t="str">
            <v>C-012.CN-5L-M12AQ/28G/GY/E</v>
          </cell>
          <cell r="C147" t="str">
            <v>0</v>
          </cell>
          <cell r="E147" t="str">
            <v>M</v>
          </cell>
          <cell r="G147" t="str">
            <v>musa</v>
          </cell>
          <cell r="AA147" t="str">
            <v>COMMSCOPE STOCK</v>
          </cell>
        </row>
        <row r="148">
          <cell r="A148" t="str">
            <v>2-599617-3</v>
          </cell>
          <cell r="B148" t="str">
            <v>C-M 2-CN-5L-M 12AQ/281YGY/D</v>
          </cell>
          <cell r="C148" t="str">
            <v>22</v>
          </cell>
          <cell r="E148" t="str">
            <v>M</v>
          </cell>
          <cell r="F148" t="str">
            <v>303A</v>
          </cell>
          <cell r="G148" t="str">
            <v xml:space="preserve">
22 M = 1 Drum</v>
          </cell>
          <cell r="AA148" t="str">
            <v>COMMSCOPE STOCK</v>
          </cell>
        </row>
        <row r="149">
          <cell r="A149" t="str">
            <v>760053314</v>
          </cell>
          <cell r="B149" t="str">
            <v>D-048-LA-8W-Fl 2NS</v>
          </cell>
          <cell r="C149" t="str">
            <v>25364</v>
          </cell>
          <cell r="E149" t="str">
            <v>FT</v>
          </cell>
          <cell r="F149" t="str">
            <v>0</v>
          </cell>
          <cell r="G149" t="str">
            <v>13126 FT = 01 DRUM
12138 FT = 01 DRUM</v>
          </cell>
          <cell r="AA149" t="str">
            <v>COMMSCOPE STOCK</v>
          </cell>
        </row>
        <row r="150">
          <cell r="A150" t="str">
            <v>2-599617-4</v>
          </cell>
          <cell r="B150" t="str">
            <v>C-012-CN-8W-M12YL/28D/GY/D</v>
          </cell>
          <cell r="C150" t="str">
            <v>0</v>
          </cell>
          <cell r="E150" t="str">
            <v>M</v>
          </cell>
          <cell r="G150" t="str">
            <v xml:space="preserve">0M = 01 Drum
</v>
          </cell>
          <cell r="AA150" t="str">
            <v>COMMSCOPE STOCK</v>
          </cell>
        </row>
        <row r="151">
          <cell r="A151" t="str">
            <v>2-599623-4</v>
          </cell>
          <cell r="B151" t="str">
            <v>C-006-CN-8W-M06YL/28G/GY/E</v>
          </cell>
          <cell r="C151" t="str">
            <v>0</v>
          </cell>
          <cell r="E151" t="str">
            <v>M</v>
          </cell>
          <cell r="G151" t="str">
            <v>musa</v>
          </cell>
          <cell r="AA151" t="str">
            <v>COMMSCOPE STOCK</v>
          </cell>
        </row>
        <row r="152">
          <cell r="A152" t="str">
            <v>760237406</v>
          </cell>
          <cell r="B152" t="str">
            <v>CPP-SDDM-SL-IU-24</v>
          </cell>
          <cell r="C152" t="str">
            <v>0</v>
          </cell>
          <cell r="E152" t="str">
            <v>EA</v>
          </cell>
          <cell r="G152" t="str">
            <v>musa</v>
          </cell>
          <cell r="AA152" t="str">
            <v>COMMSCOPE STOCK</v>
          </cell>
        </row>
        <row r="153">
          <cell r="A153" t="str">
            <v>760107334</v>
          </cell>
          <cell r="B153" t="str">
            <v>3091B SLT C6A 4/23 U/UTP W1000</v>
          </cell>
          <cell r="C153" t="str">
            <v>25997</v>
          </cell>
          <cell r="E153" t="str">
            <v>1000  X FT</v>
          </cell>
          <cell r="F153" t="str">
            <v>304B,288C,304C,228C,275B,261B</v>
          </cell>
          <cell r="G153" t="str">
            <v>musa</v>
          </cell>
          <cell r="AA153" t="str">
            <v>COMMSCOPE STOCK</v>
          </cell>
        </row>
        <row r="154">
          <cell r="A154" t="str">
            <v>760236037</v>
          </cell>
          <cell r="B154" t="str">
            <v>3091B ORG C6A 4/23 U/UTP W1000</v>
          </cell>
          <cell r="C154" t="str">
            <v>49000</v>
          </cell>
          <cell r="E154" t="str">
            <v>RL X 1000 FT</v>
          </cell>
          <cell r="F154" t="str">
            <v>268B,ZoneE,288C,272A,228C,272A</v>
          </cell>
          <cell r="G154" t="str">
            <v>musa</v>
          </cell>
          <cell r="AA154" t="str">
            <v>COMMSCOPE STOCK</v>
          </cell>
        </row>
        <row r="155">
          <cell r="A155" t="str">
            <v>760119198</v>
          </cell>
          <cell r="B155" t="str">
            <v>3091B GRN C6A 4/23 U/UTP W1000</v>
          </cell>
          <cell r="C155" t="str">
            <v>24000</v>
          </cell>
          <cell r="E155" t="str">
            <v>1000  X FT</v>
          </cell>
          <cell r="F155" t="str">
            <v>270B,269B</v>
          </cell>
          <cell r="G155" t="str">
            <v>musa</v>
          </cell>
          <cell r="AA155" t="str">
            <v>COMMSCOPE STOCK</v>
          </cell>
        </row>
        <row r="156">
          <cell r="A156" t="str">
            <v>CW6452-000</v>
          </cell>
          <cell r="B156" t="str">
            <v>Fiber Optic Patch Cord. singlcmode</v>
          </cell>
          <cell r="C156" t="str">
            <v>0</v>
          </cell>
          <cell r="E156" t="str">
            <v>EA</v>
          </cell>
          <cell r="G156" t="str">
            <v>musa</v>
          </cell>
          <cell r="AA156" t="str">
            <v>COMMSCOPE STOCK</v>
          </cell>
        </row>
        <row r="157">
          <cell r="A157" t="str">
            <v>F05119-000</v>
          </cell>
          <cell r="B157" t="str">
            <v>OC-ADP-L5-L5-NNCD</v>
          </cell>
          <cell r="C157" t="str">
            <v>3595</v>
          </cell>
          <cell r="E157" t="str">
            <v>PC</v>
          </cell>
          <cell r="F157" t="str">
            <v>287B</v>
          </cell>
          <cell r="G157" t="str">
            <v>musa</v>
          </cell>
          <cell r="AA157" t="str">
            <v>COMMSCOPE STOCK</v>
          </cell>
        </row>
        <row r="158">
          <cell r="A158" t="str">
            <v>760019117</v>
          </cell>
          <cell r="B158" t="str">
            <v>N-024-DS-5K-FSUAQ/D</v>
          </cell>
          <cell r="C158" t="str">
            <v>0</v>
          </cell>
          <cell r="E158" t="str">
            <v>FT</v>
          </cell>
          <cell r="G158" t="str">
            <v>musa</v>
          </cell>
          <cell r="AA158" t="str">
            <v>COMMSCOPE STOCK</v>
          </cell>
        </row>
        <row r="159">
          <cell r="A159" t="str">
            <v>FFXLCLC42-MXF065</v>
          </cell>
          <cell r="B159" t="str">
            <v>JUMPER,LSZH,LS,1.6MM,DPLX,LC/LC,AQ,FT065</v>
          </cell>
          <cell r="C159" t="str">
            <v>0</v>
          </cell>
          <cell r="E159" t="str">
            <v>PC</v>
          </cell>
          <cell r="G159" t="str">
            <v>musa</v>
          </cell>
          <cell r="AA159" t="str">
            <v>COMMSCOPE STOCK</v>
          </cell>
        </row>
        <row r="160">
          <cell r="A160" t="str">
            <v>FFXLCLC42-MXF050</v>
          </cell>
          <cell r="B160" t="str">
            <v>JUMPER,LSZH,LS,1.6MM,DPLX,LC/LC,AQ,FT050</v>
          </cell>
          <cell r="C160" t="str">
            <v>0</v>
          </cell>
          <cell r="E160" t="str">
            <v>PC</v>
          </cell>
          <cell r="G160" t="str">
            <v>musa</v>
          </cell>
          <cell r="AA160" t="str">
            <v>COMMSCOPE STOCK</v>
          </cell>
        </row>
        <row r="161">
          <cell r="A161" t="str">
            <v>760193771</v>
          </cell>
          <cell r="B161" t="str">
            <v>360G2-1U-MOD-SD</v>
          </cell>
          <cell r="C161" t="str">
            <v>44</v>
          </cell>
          <cell r="E161" t="str">
            <v>PC</v>
          </cell>
          <cell r="F161" t="str">
            <v>0</v>
          </cell>
          <cell r="G161" t="str">
            <v>musa</v>
          </cell>
          <cell r="AA161" t="str">
            <v>COMMSCOPE STOCK</v>
          </cell>
        </row>
        <row r="162">
          <cell r="A162" t="str">
            <v>760231506</v>
          </cell>
          <cell r="B162" t="str">
            <v>HD-1U-SP SPLICING FIBER SHELF</v>
          </cell>
          <cell r="C162" t="str">
            <v>58</v>
          </cell>
          <cell r="E162" t="str">
            <v>EA</v>
          </cell>
          <cell r="F162" t="str">
            <v xml:space="preserve"> New WH</v>
          </cell>
          <cell r="G162" t="str">
            <v>musa</v>
          </cell>
          <cell r="AA162" t="str">
            <v>COMMSCOPE STOCK</v>
          </cell>
        </row>
        <row r="163">
          <cell r="A163" t="str">
            <v>6-2111981-3</v>
          </cell>
          <cell r="B163" t="str">
            <v>MP-6AS-B-1:6A SHD 5.1-6.0, 100</v>
          </cell>
          <cell r="C163" t="str">
            <v>0</v>
          </cell>
          <cell r="E163" t="str">
            <v>EA</v>
          </cell>
          <cell r="G163" t="str">
            <v>musa</v>
          </cell>
          <cell r="AA163" t="str">
            <v>COMMSCOPE STOCK</v>
          </cell>
        </row>
        <row r="164">
          <cell r="A164" t="str">
            <v>760109496</v>
          </cell>
          <cell r="B164" t="str">
            <v>360G2 Cartridge 12-LC-SM-BL-Pigtails</v>
          </cell>
          <cell r="C164" t="str">
            <v>236</v>
          </cell>
          <cell r="E164" t="str">
            <v>PC</v>
          </cell>
          <cell r="F164" t="str">
            <v>285B,451B New WH</v>
          </cell>
          <cell r="G164" t="str">
            <v>musa</v>
          </cell>
          <cell r="AA164" t="str">
            <v>COMMSCOPE STOCK</v>
          </cell>
        </row>
        <row r="165">
          <cell r="A165" t="str">
            <v>760178129</v>
          </cell>
          <cell r="B165" t="str">
            <v>1592A BLK C6A 4/23 F/UTP R1000</v>
          </cell>
          <cell r="C165" t="str">
            <v>50000</v>
          </cell>
          <cell r="E165" t="str">
            <v>1000 X FT</v>
          </cell>
          <cell r="F165" t="str">
            <v>293BC</v>
          </cell>
          <cell r="G165" t="str">
            <v>musa</v>
          </cell>
          <cell r="AA165" t="str">
            <v>COMMSCOPE STOCK</v>
          </cell>
        </row>
        <row r="166">
          <cell r="A166" t="str">
            <v>1711006-1</v>
          </cell>
          <cell r="B166" t="str">
            <v>CA OUT C6 PR4 UTP PE BLA 24AWG SOL 500m</v>
          </cell>
          <cell r="C166" t="str">
            <v>0</v>
          </cell>
          <cell r="E166" t="str">
            <v>M</v>
          </cell>
          <cell r="G166" t="str">
            <v>musa</v>
          </cell>
          <cell r="AA166" t="str">
            <v>COMMSCOPE STOCK</v>
          </cell>
        </row>
        <row r="167">
          <cell r="A167" t="str">
            <v>1859096-1</v>
          </cell>
          <cell r="B167" t="str">
            <v>UNLOADED LJ6C ANGLED SNAP IN MODULE</v>
          </cell>
          <cell r="C167" t="str">
            <v>295</v>
          </cell>
          <cell r="E167" t="str">
            <v>PC</v>
          </cell>
          <cell r="F167" t="str">
            <v>286B</v>
          </cell>
          <cell r="G167" t="str">
            <v>musa</v>
          </cell>
          <cell r="AA167" t="str">
            <v>COMMSCOPE STOCK</v>
          </cell>
        </row>
        <row r="168">
          <cell r="A168" t="str">
            <v>FGS-MSNC-F</v>
          </cell>
          <cell r="B168" t="str">
            <v>FGS-MSNC-F: KIT,FGS HINGED COVER,12" YEL</v>
          </cell>
          <cell r="C168" t="str">
            <v>0</v>
          </cell>
          <cell r="E168" t="str">
            <v>EA</v>
          </cell>
          <cell r="G168" t="str">
            <v>musa</v>
          </cell>
          <cell r="AA168" t="str">
            <v>COMMSCOPE STOCK</v>
          </cell>
        </row>
        <row r="169">
          <cell r="A169" t="str">
            <v>FGS-MSHS-H</v>
          </cell>
          <cell r="B169" t="str">
            <v>FGS-MSHS-H: FGS 24" STRAIGHT S</v>
          </cell>
          <cell r="C169" t="str">
            <v>27</v>
          </cell>
          <cell r="E169" t="str">
            <v>PC</v>
          </cell>
          <cell r="F169" t="str">
            <v>WH3</v>
          </cell>
          <cell r="G169" t="str">
            <v>musa</v>
          </cell>
          <cell r="AA169" t="str">
            <v>COMMSCOPE STOCK</v>
          </cell>
        </row>
        <row r="170">
          <cell r="A170" t="str">
            <v>FGS-MSHS-F</v>
          </cell>
          <cell r="B170" t="str">
            <v>FGS-MSHS-F: STRAIGHT, 4X12X6 FT, FGS YEL</v>
          </cell>
          <cell r="C170" t="str">
            <v>0</v>
          </cell>
          <cell r="E170" t="str">
            <v>EA</v>
          </cell>
          <cell r="G170" t="str">
            <v>musa</v>
          </cell>
          <cell r="AA170" t="str">
            <v>COMMSCOPE STOCK</v>
          </cell>
        </row>
        <row r="171">
          <cell r="A171" t="str">
            <v>884032314/10</v>
          </cell>
          <cell r="B171" t="str">
            <v>CS34Z3 WHT C6 4/24 U/UTP CPK 305M</v>
          </cell>
          <cell r="C171" t="str">
            <v>221124</v>
          </cell>
          <cell r="E171" t="str">
            <v>Box 305M</v>
          </cell>
          <cell r="F171" t="str">
            <v>0</v>
          </cell>
          <cell r="G171" t="str">
            <v>musa</v>
          </cell>
          <cell r="AA171" t="str">
            <v>COMMSCOPE STOCK</v>
          </cell>
        </row>
        <row r="172">
          <cell r="A172" t="str">
            <v>1-6536501-5</v>
          </cell>
          <cell r="B172" t="str">
            <v>FOSM LEAD 1.8MZ LC/PC-LC/PC DPX TUN 15M</v>
          </cell>
          <cell r="C172" t="str">
            <v>0</v>
          </cell>
          <cell r="E172" t="str">
            <v>EA</v>
          </cell>
          <cell r="G172" t="str">
            <v>musa</v>
          </cell>
          <cell r="AA172" t="str">
            <v>COMMSCOPE STOCK</v>
          </cell>
        </row>
        <row r="173">
          <cell r="A173" t="str">
            <v>6536501-5</v>
          </cell>
          <cell r="B173" t="str">
            <v>FOSM LEAD 1.8MZ LC/PC-LC/PC DPX TUN 5M</v>
          </cell>
          <cell r="C173" t="str">
            <v>0</v>
          </cell>
          <cell r="E173" t="str">
            <v>PCS</v>
          </cell>
          <cell r="G173" t="str">
            <v>musa</v>
          </cell>
          <cell r="AA173" t="str">
            <v>COMMSCOPE STOCK</v>
          </cell>
        </row>
        <row r="174">
          <cell r="A174" t="str">
            <v>760053298</v>
          </cell>
          <cell r="B174" t="str">
            <v>D-024-LA-8W-F12NS</v>
          </cell>
          <cell r="C174" t="str">
            <v>263088</v>
          </cell>
          <cell r="E174" t="str">
            <v>FT</v>
          </cell>
          <cell r="F174" t="str">
            <v>ZONEF New WH (18 meter differecne showing)</v>
          </cell>
          <cell r="G174" t="str">
            <v>1412 FT = 01 DRUM
590 FT = 01 DRUM
13600 FT = 01 DRUM
6674 FT = 01 DRUM
13778 FT = 01 DRUM
13778 FT = 01 DRUM
13778 FT = 01 DRUM
13562 FT = 01 DRUM
13700 FT = 01 DRUM
13549 FT = 01 DRUM
13572 FT = 01 DRUM
10280 FT = 01 DRUM
13180 FT = 01 DRUM
13672 FT = 01 DRUM
13386 FT = 01 DRUM
13588 FT = 01 DRUM
13344 FT = 01 DRUM
14086 FT = 01 DRUM
13820 FT = 01 DRUM
13262 FT = 01 DRUM
13259 FT = 01 DRUM
13200 FT = 01 DRUM</v>
          </cell>
          <cell r="AA174" t="str">
            <v>COMMSCOPE STOCK</v>
          </cell>
        </row>
        <row r="175">
          <cell r="A175" t="str">
            <v>760053843</v>
          </cell>
          <cell r="B175" t="str">
            <v>D-012-LN-8W-F12NS</v>
          </cell>
          <cell r="C175" t="str">
            <v>0</v>
          </cell>
          <cell r="E175" t="str">
            <v>FT</v>
          </cell>
          <cell r="G175" t="str">
            <v>musa</v>
          </cell>
          <cell r="AA175" t="str">
            <v>COMMSCOPE STOCK</v>
          </cell>
        </row>
        <row r="176">
          <cell r="A176" t="str">
            <v>760053850</v>
          </cell>
          <cell r="B176" t="str">
            <v>D-024-LN-8W-F12NS</v>
          </cell>
          <cell r="C176" t="str">
            <v>0</v>
          </cell>
          <cell r="E176" t="str">
            <v>FT</v>
          </cell>
          <cell r="G176" t="str">
            <v>musa</v>
          </cell>
          <cell r="AA176" t="str">
            <v>COMMSCOPE STOCK</v>
          </cell>
        </row>
        <row r="177">
          <cell r="A177" t="str">
            <v>760053892</v>
          </cell>
          <cell r="B177" t="str">
            <v>D-072-LN-8W-F12NS</v>
          </cell>
          <cell r="C177" t="str">
            <v>0</v>
          </cell>
          <cell r="E177" t="str">
            <v>FT</v>
          </cell>
          <cell r="G177" t="str">
            <v>musa</v>
          </cell>
          <cell r="AA177" t="str">
            <v>COMMSCOPE STOCK</v>
          </cell>
        </row>
        <row r="178">
          <cell r="A178" t="str">
            <v>FFXLCLC42-MXF017</v>
          </cell>
          <cell r="B178" t="str">
            <v>JUMPER,LSZH,LS,1.6MM,DPLX,LC/LC,AQ,FT017</v>
          </cell>
          <cell r="C178" t="str">
            <v>0</v>
          </cell>
          <cell r="E178" t="str">
            <v>PC</v>
          </cell>
          <cell r="G178" t="str">
            <v>musa</v>
          </cell>
          <cell r="AA178" t="str">
            <v>COMMSCOPE STOCK</v>
          </cell>
        </row>
        <row r="179">
          <cell r="A179" t="str">
            <v>A14037-000</v>
          </cell>
          <cell r="B179" t="str">
            <v>OC-ADP-L1-L1-NNCD</v>
          </cell>
          <cell r="C179" t="str">
            <v>7433</v>
          </cell>
          <cell r="E179" t="str">
            <v>PC</v>
          </cell>
          <cell r="F179" t="str">
            <v xml:space="preserve"> New WH</v>
          </cell>
          <cell r="G179" t="str">
            <v>musa</v>
          </cell>
          <cell r="AA179" t="str">
            <v>COMMSCOPE STOCK</v>
          </cell>
        </row>
        <row r="180">
          <cell r="A180" t="str">
            <v>760246284</v>
          </cell>
          <cell r="B180" t="str">
            <v>SINGLE GANG,L, 2 PORT OUTDOOR COVER</v>
          </cell>
          <cell r="C180" t="str">
            <v>0</v>
          </cell>
          <cell r="E180" t="str">
            <v>EA</v>
          </cell>
          <cell r="G180" t="str">
            <v>musa</v>
          </cell>
          <cell r="AA180" t="str">
            <v>COMMSCOPE STOCK</v>
          </cell>
        </row>
        <row r="181">
          <cell r="A181" t="str">
            <v>CC0872-000</v>
          </cell>
          <cell r="B181" t="str">
            <v>OCP-L2-02MASEN-XX</v>
          </cell>
          <cell r="C181" t="str">
            <v>0</v>
          </cell>
          <cell r="E181" t="str">
            <v>EA</v>
          </cell>
          <cell r="F181" t="str">
            <v xml:space="preserve"> New WH</v>
          </cell>
          <cell r="G181" t="str">
            <v>musa</v>
          </cell>
          <cell r="AA181" t="str">
            <v>COMMSCOPE STOCK</v>
          </cell>
        </row>
        <row r="182">
          <cell r="A182" t="str">
            <v>CO15542-01F005</v>
          </cell>
          <cell r="B182" t="str">
            <v>PCOSP-6U-BK-5FT</v>
          </cell>
          <cell r="C182" t="str">
            <v>100</v>
          </cell>
          <cell r="E182" t="str">
            <v>PC</v>
          </cell>
          <cell r="F182" t="str">
            <v>295A</v>
          </cell>
          <cell r="G182" t="str">
            <v>musa</v>
          </cell>
          <cell r="AA182" t="str">
            <v>COMMSCOPE STOCK</v>
          </cell>
        </row>
        <row r="183">
          <cell r="A183" t="str">
            <v>CV6320-000</v>
          </cell>
          <cell r="B183" t="str">
            <v>TENIO-B6-S12-12-N</v>
          </cell>
          <cell r="C183" t="str">
            <v>0</v>
          </cell>
          <cell r="E183" t="str">
            <v>EA</v>
          </cell>
          <cell r="G183" t="str">
            <v>musa</v>
          </cell>
          <cell r="AA183" t="str">
            <v>COMMSCOPE STOCK</v>
          </cell>
        </row>
        <row r="184">
          <cell r="A184" t="str">
            <v>CW3858-000</v>
          </cell>
          <cell r="B184" t="str">
            <v>BUDI-2S-T-04L1ES</v>
          </cell>
          <cell r="C184" t="str">
            <v>0</v>
          </cell>
          <cell r="E184" t="str">
            <v>EA</v>
          </cell>
          <cell r="G184" t="str">
            <v>musa</v>
          </cell>
          <cell r="AA184" t="str">
            <v>COMMSCOPE STOCK</v>
          </cell>
        </row>
        <row r="185">
          <cell r="A185" t="str">
            <v>CW6616-000</v>
          </cell>
          <cell r="B185" t="str">
            <v>TENIO-SKG4-3/6</v>
          </cell>
          <cell r="C185" t="str">
            <v>0</v>
          </cell>
          <cell r="E185" t="str">
            <v>EA</v>
          </cell>
          <cell r="G185" t="str">
            <v>musa</v>
          </cell>
          <cell r="AA185" t="str">
            <v>COMMSCOPE STOCK</v>
          </cell>
        </row>
        <row r="186">
          <cell r="A186" t="str">
            <v>CW6617-000</v>
          </cell>
          <cell r="B186" t="str">
            <v>TENIO-SKG2-9/12</v>
          </cell>
          <cell r="C186" t="str">
            <v>0</v>
          </cell>
          <cell r="E186" t="str">
            <v>PC</v>
          </cell>
          <cell r="F186" t="str">
            <v>288B</v>
          </cell>
          <cell r="G186" t="str">
            <v>musa</v>
          </cell>
          <cell r="AA186" t="str">
            <v>COMMSCOPE STOCK</v>
          </cell>
        </row>
        <row r="187">
          <cell r="A187" t="str">
            <v>EM2982-001</v>
          </cell>
          <cell r="B187" t="str">
            <v>HFTP-N0-LN00-E</v>
          </cell>
          <cell r="C187" t="str">
            <v>0</v>
          </cell>
          <cell r="E187" t="str">
            <v>PC</v>
          </cell>
          <cell r="G187" t="str">
            <v>musa</v>
          </cell>
          <cell r="AA187" t="str">
            <v>COMMSCOPE STOCK</v>
          </cell>
        </row>
        <row r="188">
          <cell r="A188" t="str">
            <v>760244933</v>
          </cell>
          <cell r="B188" t="str">
            <v>CTU-L</v>
          </cell>
          <cell r="C188" t="str">
            <v>0</v>
          </cell>
          <cell r="E188" t="str">
            <v>PC</v>
          </cell>
          <cell r="F188" t="str">
            <v>291B</v>
          </cell>
          <cell r="G188" t="str">
            <v>musa</v>
          </cell>
          <cell r="AA188" t="str">
            <v>COMMSCOPE STOCK</v>
          </cell>
        </row>
        <row r="189">
          <cell r="A189" t="str">
            <v>FFWLCLC42-JXF035</v>
          </cell>
          <cell r="B189" t="str">
            <v>JUMPER,LSZH,TS,1.6MM,DPLX,LC/LC,YL,FT035</v>
          </cell>
          <cell r="C189" t="str">
            <v>18</v>
          </cell>
          <cell r="E189" t="str">
            <v>PC</v>
          </cell>
          <cell r="F189" t="str">
            <v>291B,297B</v>
          </cell>
          <cell r="G189" t="str">
            <v>musa</v>
          </cell>
          <cell r="AA189" t="str">
            <v>COMMSCOPE STOCK</v>
          </cell>
        </row>
        <row r="190">
          <cell r="A190" t="str">
            <v>1-6536501-0</v>
          </cell>
          <cell r="B190" t="str">
            <v>FOSM LEAD 1.8MZ LC/PC-LC/PC DPX TUN 10M</v>
          </cell>
          <cell r="C190" t="str">
            <v>0</v>
          </cell>
          <cell r="E190" t="str">
            <v>EA</v>
          </cell>
          <cell r="G190" t="str">
            <v>musa</v>
          </cell>
          <cell r="AA190" t="str">
            <v>COMMSCOPE STOCK</v>
          </cell>
        </row>
        <row r="191">
          <cell r="A191" t="str">
            <v>CO11192-01F005</v>
          </cell>
          <cell r="B191" t="str">
            <v>PCOSP-6AS-BK-5FT</v>
          </cell>
          <cell r="C191" t="str">
            <v>0</v>
          </cell>
          <cell r="E191" t="str">
            <v>PC</v>
          </cell>
          <cell r="G191" t="str">
            <v>musa</v>
          </cell>
          <cell r="AA191" t="str">
            <v>COMMSCOPE STOCK</v>
          </cell>
        </row>
        <row r="192">
          <cell r="A192" t="str">
            <v>CPCSSZ2-03F003</v>
          </cell>
          <cell r="B192" t="str">
            <v>360GS10E-L-DG-3FT</v>
          </cell>
          <cell r="C192" t="str">
            <v>20</v>
          </cell>
          <cell r="E192" t="str">
            <v>PC</v>
          </cell>
          <cell r="F192" t="str">
            <v>285A_1PCS,300C</v>
          </cell>
          <cell r="G192" t="str">
            <v>musa</v>
          </cell>
          <cell r="AA192" t="str">
            <v>COMMSCOPE STOCK</v>
          </cell>
        </row>
        <row r="193">
          <cell r="A193" t="str">
            <v>CPCSSZ2-08F003</v>
          </cell>
          <cell r="B193" t="str">
            <v>360GS10E-L-WH-3FT</v>
          </cell>
          <cell r="C193" t="str">
            <v>0</v>
          </cell>
          <cell r="E193" t="str">
            <v>PCS</v>
          </cell>
          <cell r="G193" t="str">
            <v>musa</v>
          </cell>
          <cell r="AA193" t="str">
            <v>COMMSCOPE STOCK</v>
          </cell>
        </row>
        <row r="194">
          <cell r="A194" t="str">
            <v>760188243</v>
          </cell>
          <cell r="B194" t="str">
            <v>LF81 WHITE-262</v>
          </cell>
          <cell r="C194" t="str">
            <v>0</v>
          </cell>
          <cell r="E194" t="str">
            <v>PC</v>
          </cell>
          <cell r="G194" t="str">
            <v>musa</v>
          </cell>
          <cell r="AA194" t="str">
            <v>COMMSCOPE STOCK</v>
          </cell>
        </row>
        <row r="195">
          <cell r="A195" t="str">
            <v>760187195</v>
          </cell>
          <cell r="B195" t="str">
            <v>360-E-MOD-2U-48</v>
          </cell>
          <cell r="C195" t="str">
            <v>0</v>
          </cell>
          <cell r="E195" t="str">
            <v>PCS</v>
          </cell>
          <cell r="G195" t="str">
            <v>musa</v>
          </cell>
          <cell r="AA195" t="str">
            <v>COMMSCOPE STOCK</v>
          </cell>
        </row>
        <row r="196">
          <cell r="A196" t="str">
            <v>CW8862-000</v>
          </cell>
          <cell r="B196" t="str">
            <v>TENIO-SKG-DUMMY</v>
          </cell>
          <cell r="C196" t="str">
            <v>0</v>
          </cell>
          <cell r="E196" t="str">
            <v>EA</v>
          </cell>
          <cell r="G196" t="str">
            <v>musa</v>
          </cell>
          <cell r="AA196" t="str">
            <v>COMMSCOPE STOCK</v>
          </cell>
        </row>
        <row r="197">
          <cell r="A197" t="str">
            <v>760083980</v>
          </cell>
          <cell r="B197" t="str">
            <v>LR Kit, Ret. Post CRRP-8H</v>
          </cell>
          <cell r="C197" t="str">
            <v>0</v>
          </cell>
          <cell r="E197" t="str">
            <v>EA</v>
          </cell>
          <cell r="G197" t="str">
            <v>musa</v>
          </cell>
          <cell r="AA197" t="str">
            <v>COMMSCOPE STOCK</v>
          </cell>
        </row>
        <row r="198">
          <cell r="A198" t="str">
            <v>FGS-MH4E-H</v>
          </cell>
          <cell r="B198" t="str">
            <v>FGS-MH4E-H: FGS 24" HORZ 45 DEG ELBOW</v>
          </cell>
          <cell r="C198" t="str">
            <v>0</v>
          </cell>
          <cell r="E198" t="str">
            <v>PC</v>
          </cell>
          <cell r="F198" t="str">
            <v>ZoneE</v>
          </cell>
          <cell r="G198" t="str">
            <v>musa</v>
          </cell>
          <cell r="AA198" t="str">
            <v>COMMSCOPE STOCK</v>
          </cell>
        </row>
        <row r="199">
          <cell r="A199" t="str">
            <v>FGS-MDSA-HF</v>
          </cell>
          <cell r="B199" t="str">
            <v>FGS-MDSA-HF: FGS 24" TO 12" REDUCER ADAP</v>
          </cell>
          <cell r="C199" t="str">
            <v>0</v>
          </cell>
          <cell r="E199" t="str">
            <v>EA</v>
          </cell>
          <cell r="G199" t="str">
            <v>musa</v>
          </cell>
          <cell r="AA199" t="str">
            <v>COMMSCOPE STOCK</v>
          </cell>
        </row>
        <row r="200">
          <cell r="A200" t="str">
            <v>FGS-FDSA-HF</v>
          </cell>
          <cell r="B200" t="str">
            <v>FGS-FDSA-HF: FGS 24" COVER, 24" TO 12" R</v>
          </cell>
          <cell r="C200" t="str">
            <v>0</v>
          </cell>
          <cell r="E200" t="str">
            <v>EA</v>
          </cell>
          <cell r="G200" t="str">
            <v>musa</v>
          </cell>
          <cell r="AA200" t="str">
            <v>COMMSCOPE STOCK</v>
          </cell>
        </row>
        <row r="201">
          <cell r="A201" t="str">
            <v>FGS-MH9E-F</v>
          </cell>
          <cell r="B201" t="str">
            <v>FGS-MH9E-F: ELBOW,90 HORIZ,4X12,YEL,FGS</v>
          </cell>
          <cell r="C201" t="str">
            <v>0</v>
          </cell>
          <cell r="E201" t="str">
            <v>EA</v>
          </cell>
          <cell r="G201" t="str">
            <v>musa</v>
          </cell>
          <cell r="AA201" t="str">
            <v>COMMSCOPE STOCK</v>
          </cell>
        </row>
        <row r="202">
          <cell r="A202" t="str">
            <v>FGS-MEXP-E-A/B/F</v>
          </cell>
          <cell r="B202" t="str">
            <v>FGS-MEXP-E-A/B/F: KIT, DWNSPT EXP EXIT 2</v>
          </cell>
          <cell r="C202" t="str">
            <v>0</v>
          </cell>
          <cell r="E202" t="str">
            <v>EA</v>
          </cell>
          <cell r="G202" t="str">
            <v>musa</v>
          </cell>
          <cell r="AA202" t="str">
            <v>COMMSCOPE STOCK</v>
          </cell>
        </row>
        <row r="203">
          <cell r="A203" t="str">
            <v>FGS-KT03-A</v>
          </cell>
          <cell r="B203" t="str">
            <v>FGS-KT03-A: KIT,ADAPTER,4X4 TO DUAL 2</v>
          </cell>
          <cell r="C203" t="str">
            <v>136</v>
          </cell>
          <cell r="E203" t="str">
            <v>PC</v>
          </cell>
          <cell r="F203" t="str">
            <v>ZoneB,268C,297B,289C</v>
          </cell>
          <cell r="G203" t="str">
            <v>musa</v>
          </cell>
          <cell r="AA203" t="str">
            <v>COMMSCOPE STOCK</v>
          </cell>
        </row>
        <row r="204">
          <cell r="A204" t="str">
            <v>FGS-MEXP-A/B/F</v>
          </cell>
          <cell r="B204" t="str">
            <v>FGS-MEXP-A/B/F: KIT,2X2 EXPRESS EXIT YLW</v>
          </cell>
          <cell r="C204" t="str">
            <v>4</v>
          </cell>
          <cell r="E204" t="str">
            <v>PC</v>
          </cell>
          <cell r="F204" t="str">
            <v>288B,294B,410C,292A,450C</v>
          </cell>
          <cell r="G204" t="str">
            <v>musa</v>
          </cell>
          <cell r="AA204" t="str">
            <v>COMMSCOPE STOCK</v>
          </cell>
        </row>
        <row r="205">
          <cell r="A205" t="str">
            <v>FGS-MHRT-F</v>
          </cell>
          <cell r="B205" t="str">
            <v>FGS-MHRT-F: TEE,HORIZ,4X12,YEL,FGS</v>
          </cell>
          <cell r="C205" t="str">
            <v>0</v>
          </cell>
          <cell r="E205" t="str">
            <v>PCS</v>
          </cell>
          <cell r="G205" t="str">
            <v>musa</v>
          </cell>
          <cell r="AA205" t="str">
            <v>COMMSCOPE STOCK</v>
          </cell>
        </row>
        <row r="206">
          <cell r="A206" t="str">
            <v>FGS-MHXP-H</v>
          </cell>
          <cell r="B206" t="str">
            <v>FGS-MHXP-H: FGS 24" HORZ CROSS YELLOW</v>
          </cell>
          <cell r="C206" t="str">
            <v>0</v>
          </cell>
          <cell r="E206" t="str">
            <v>EA</v>
          </cell>
          <cell r="G206" t="str">
            <v>musa</v>
          </cell>
          <cell r="AA206" t="str">
            <v>COMMSCOPE STOCK</v>
          </cell>
        </row>
        <row r="207">
          <cell r="A207" t="str">
            <v>FGS-SHRT-F</v>
          </cell>
          <cell r="B207" t="str">
            <v>FGS-SHRT-F: COVER, TEE, 4X12, FGS</v>
          </cell>
          <cell r="C207" t="str">
            <v>0</v>
          </cell>
          <cell r="E207" t="str">
            <v>EA</v>
          </cell>
          <cell r="G207" t="str">
            <v>musa</v>
          </cell>
          <cell r="AA207" t="str">
            <v>COMMSCOPE STOCK</v>
          </cell>
        </row>
        <row r="208">
          <cell r="A208" t="str">
            <v>FGS-SH9E-F</v>
          </cell>
          <cell r="B208" t="str">
            <v>FGS-SH9E-F: COVER, ELBOW, 4X12,90 HORI</v>
          </cell>
          <cell r="C208" t="str">
            <v>0</v>
          </cell>
          <cell r="E208" t="str">
            <v>EA</v>
          </cell>
          <cell r="G208" t="str">
            <v>musa</v>
          </cell>
          <cell r="AA208" t="str">
            <v>COMMSCOPE STOCK</v>
          </cell>
        </row>
        <row r="209">
          <cell r="A209" t="str">
            <v>FGS-MFAW-F</v>
          </cell>
          <cell r="B209" t="str">
            <v>FGS-MFAW-H: FGS 24" JUNCTION S</v>
          </cell>
          <cell r="C209" t="str">
            <v>0</v>
          </cell>
          <cell r="E209" t="str">
            <v>EA</v>
          </cell>
          <cell r="G209" t="str">
            <v>musa</v>
          </cell>
          <cell r="AA209" t="str">
            <v>COMMSCOPE STOCK</v>
          </cell>
        </row>
        <row r="210">
          <cell r="A210" t="str">
            <v>FGS-MFAW-H</v>
          </cell>
          <cell r="B210" t="str">
            <v>FGS-MFAW-F: JUNCTION,SNAP-FIT,4X12,YEL</v>
          </cell>
          <cell r="C210" t="str">
            <v>408</v>
          </cell>
          <cell r="E210" t="str">
            <v>PC</v>
          </cell>
          <cell r="F210" t="str">
            <v>ZoneE,292B,227B,451B New WH</v>
          </cell>
          <cell r="G210" t="str">
            <v>musa</v>
          </cell>
          <cell r="AA210" t="str">
            <v>COMMSCOPE STOCK</v>
          </cell>
        </row>
        <row r="211">
          <cell r="A211" t="str">
            <v>760109470</v>
          </cell>
          <cell r="B211" t="str">
            <v>360G2 Cartridge 12-LC-LS-AQ-Pigtails</v>
          </cell>
          <cell r="C211" t="str">
            <v>2</v>
          </cell>
          <cell r="E211" t="str">
            <v>EA</v>
          </cell>
          <cell r="F211" t="str">
            <v>288B</v>
          </cell>
          <cell r="G211" t="str">
            <v>musa</v>
          </cell>
          <cell r="AA211" t="str">
            <v>COMMSCOPE STOCK</v>
          </cell>
        </row>
        <row r="212">
          <cell r="A212" t="str">
            <v>FGS-HNTP-F-12MM</v>
          </cell>
          <cell r="B212" t="str">
            <v>FGS-HNTP-F-12MM: KIT,TRPZ BRKT,12FGS</v>
          </cell>
          <cell r="C212" t="str">
            <v>0</v>
          </cell>
          <cell r="E212" t="str">
            <v>EA</v>
          </cell>
          <cell r="G212" t="str">
            <v>musa</v>
          </cell>
          <cell r="AA212" t="str">
            <v>COMMSCOPE STOCK</v>
          </cell>
        </row>
        <row r="213">
          <cell r="A213" t="str">
            <v>FGS-MHRT-H</v>
          </cell>
          <cell r="B213" t="str">
            <v>FGS-MHRT-H: TEE,HORIZONTAL,FGS,24" YELLO</v>
          </cell>
          <cell r="C213" t="str">
            <v>122</v>
          </cell>
          <cell r="E213" t="str">
            <v>PC</v>
          </cell>
          <cell r="F213" t="str">
            <v>WH3,292B,450B,441C,448A,C,438B,433C,434C New WH</v>
          </cell>
          <cell r="G213" t="str">
            <v>musa</v>
          </cell>
          <cell r="AA213" t="str">
            <v>COMMSCOPE STOCK</v>
          </cell>
        </row>
        <row r="214">
          <cell r="A214" t="str">
            <v>760046649</v>
          </cell>
          <cell r="B214" t="str">
            <v>Z-004-DS-5L-FSUBK/D</v>
          </cell>
          <cell r="C214" t="str">
            <v>0</v>
          </cell>
          <cell r="E214" t="str">
            <v>FT</v>
          </cell>
          <cell r="G214" t="str">
            <v>musa</v>
          </cell>
          <cell r="AA214" t="str">
            <v>COMMSCOPE STOCK</v>
          </cell>
        </row>
        <row r="215">
          <cell r="A215" t="str">
            <v>FFXLCLC42-MXF007</v>
          </cell>
          <cell r="B215" t="str">
            <v>JUMPER,LSZH,LS,1.6MM,DPLX,LC/LC,AQ,FT007</v>
          </cell>
          <cell r="C215" t="str">
            <v>0</v>
          </cell>
          <cell r="E215" t="str">
            <v>PC</v>
          </cell>
          <cell r="G215" t="str">
            <v>musa</v>
          </cell>
          <cell r="AA215" t="str">
            <v>COMMSCOPE STOCK</v>
          </cell>
        </row>
        <row r="216">
          <cell r="A216" t="str">
            <v>760084046</v>
          </cell>
          <cell r="B216" t="str">
            <v>LR Kit, T-Junct. Splice CRTJSK</v>
          </cell>
          <cell r="C216" t="str">
            <v>0</v>
          </cell>
          <cell r="E216" t="str">
            <v>PCS</v>
          </cell>
          <cell r="G216" t="str">
            <v>musa</v>
          </cell>
          <cell r="AA216" t="str">
            <v>COMMSCOPE STOCK</v>
          </cell>
        </row>
        <row r="217">
          <cell r="A217" t="str">
            <v>CS2725-000</v>
          </cell>
          <cell r="B217" t="str">
            <v>OC-ADP-L5-L5-NNCD-AQUA</v>
          </cell>
          <cell r="C217" t="str">
            <v>0</v>
          </cell>
          <cell r="E217" t="str">
            <v>PCS</v>
          </cell>
          <cell r="G217" t="str">
            <v>musa</v>
          </cell>
          <cell r="AA217" t="str">
            <v>COMMSCOPE STOCK</v>
          </cell>
        </row>
        <row r="218">
          <cell r="A218" t="str">
            <v>760244932</v>
          </cell>
          <cell r="B218" t="str">
            <v>CTU-S</v>
          </cell>
          <cell r="C218" t="str">
            <v>0</v>
          </cell>
          <cell r="E218" t="str">
            <v>PCS</v>
          </cell>
          <cell r="G218" t="str">
            <v>musa</v>
          </cell>
          <cell r="AA218" t="str">
            <v>COMMSCOPE STOCK</v>
          </cell>
        </row>
        <row r="219">
          <cell r="A219" t="str">
            <v>CPCSSZ2-04F003</v>
          </cell>
          <cell r="B219" t="str">
            <v>360GS10E-L-GN-3FT</v>
          </cell>
          <cell r="C219" t="str">
            <v>0</v>
          </cell>
          <cell r="E219" t="str">
            <v>PCS</v>
          </cell>
          <cell r="G219" t="str">
            <v>musa</v>
          </cell>
          <cell r="AA219" t="str">
            <v>COMMSCOPE STOCK</v>
          </cell>
        </row>
        <row r="220">
          <cell r="A220" t="str">
            <v>760039875</v>
          </cell>
          <cell r="B220" t="str">
            <v>G2-SRF(Small-Diameter-Cbl Fitting-1Kit)</v>
          </cell>
          <cell r="C220" t="str">
            <v>0</v>
          </cell>
          <cell r="E220" t="str">
            <v>PCS</v>
          </cell>
          <cell r="G220" t="str">
            <v>musa</v>
          </cell>
          <cell r="AA220" t="str">
            <v>COMMSCOPE STOCK</v>
          </cell>
        </row>
        <row r="221">
          <cell r="A221" t="str">
            <v>COP1KZ2-88F003</v>
          </cell>
          <cell r="B221" t="str">
            <v>ECO SCCA-CAT6A-L-WH-3FT</v>
          </cell>
          <cell r="C221" t="str">
            <v>150</v>
          </cell>
          <cell r="E221" t="str">
            <v>PC</v>
          </cell>
          <cell r="F221" t="str">
            <v>240B,284B</v>
          </cell>
          <cell r="G221" t="str">
            <v>musa</v>
          </cell>
          <cell r="AA221" t="str">
            <v>COMMSCOPE STOCK</v>
          </cell>
        </row>
        <row r="222">
          <cell r="A222" t="str">
            <v>CPCSSZ2-04F010</v>
          </cell>
          <cell r="B222" t="str">
            <v>360GS10E-L-GN-10FT</v>
          </cell>
          <cell r="C222" t="str">
            <v>0</v>
          </cell>
          <cell r="E222" t="str">
            <v>PCS</v>
          </cell>
          <cell r="G222" t="str">
            <v>musa</v>
          </cell>
          <cell r="AA222" t="str">
            <v>COMMSCOPE STOCK</v>
          </cell>
        </row>
        <row r="223">
          <cell r="A223" t="str">
            <v>CPCSSZ2-06F010</v>
          </cell>
          <cell r="B223" t="str">
            <v>360GS10E-L-OR-10FT</v>
          </cell>
          <cell r="C223" t="str">
            <v>0</v>
          </cell>
          <cell r="E223" t="str">
            <v>PCS</v>
          </cell>
          <cell r="G223" t="str">
            <v>musa</v>
          </cell>
          <cell r="AA223" t="str">
            <v>COMMSCOPE STOCK</v>
          </cell>
        </row>
        <row r="224">
          <cell r="A224" t="str">
            <v>760053868</v>
          </cell>
          <cell r="B224" t="str">
            <v>D-036-LN-8W-F12NS</v>
          </cell>
          <cell r="C224" t="str">
            <v>0</v>
          </cell>
          <cell r="E224" t="str">
            <v>FT</v>
          </cell>
          <cell r="G224" t="str">
            <v>musa</v>
          </cell>
          <cell r="AA224" t="str">
            <v>COMMSCOPE STOCK</v>
          </cell>
        </row>
        <row r="225">
          <cell r="A225" t="str">
            <v>760092437</v>
          </cell>
          <cell r="B225" t="str">
            <v>MGS600 OUTLET-GRAY</v>
          </cell>
          <cell r="C225" t="str">
            <v>35</v>
          </cell>
          <cell r="E225" t="str">
            <v>PC</v>
          </cell>
          <cell r="F225" t="str">
            <v>228B,304B</v>
          </cell>
          <cell r="G225" t="str">
            <v>musa</v>
          </cell>
          <cell r="AA225" t="str">
            <v>COMMSCOPE STOCK</v>
          </cell>
        </row>
        <row r="226">
          <cell r="A226" t="str">
            <v>CPCSSZ2-06F003</v>
          </cell>
          <cell r="B226" t="str">
            <v>360GS10E-L-OR-3FT</v>
          </cell>
          <cell r="C226" t="str">
            <v>1</v>
          </cell>
          <cell r="E226" t="str">
            <v>PC</v>
          </cell>
          <cell r="F226" t="str">
            <v>269A,304B,285B</v>
          </cell>
          <cell r="G226" t="str">
            <v>musa</v>
          </cell>
          <cell r="AA226" t="str">
            <v>COMMSCOPE STOCK</v>
          </cell>
        </row>
        <row r="227">
          <cell r="A227" t="str">
            <v>760085662</v>
          </cell>
          <cell r="B227" t="str">
            <v>Ladder Rack, 10'L x 24" W, CR-SLR-10L24W</v>
          </cell>
          <cell r="C227" t="str">
            <v>0</v>
          </cell>
          <cell r="E227" t="str">
            <v>PCS</v>
          </cell>
          <cell r="G227" t="str">
            <v>musa</v>
          </cell>
          <cell r="AA227" t="str">
            <v>COMMSCOPE STOCK</v>
          </cell>
        </row>
        <row r="228">
          <cell r="A228" t="str">
            <v>760109124</v>
          </cell>
          <cell r="B228" t="str">
            <v>Kit, Grnd Strap, Ladder Rk (CRGND)</v>
          </cell>
          <cell r="C228" t="str">
            <v>0</v>
          </cell>
          <cell r="E228" t="str">
            <v>PCS</v>
          </cell>
          <cell r="G228" t="str">
            <v>musa</v>
          </cell>
          <cell r="AA228" t="str">
            <v>COMMSCOPE STOCK</v>
          </cell>
        </row>
        <row r="229">
          <cell r="A229" t="str">
            <v>760083923</v>
          </cell>
          <cell r="B229" t="str">
            <v>LR Kit, Support Brkt. CRSBK5-8TR</v>
          </cell>
          <cell r="C229" t="str">
            <v>0</v>
          </cell>
          <cell r="E229" t="str">
            <v>PCS</v>
          </cell>
          <cell r="G229" t="str">
            <v>musa</v>
          </cell>
          <cell r="AA229" t="str">
            <v>COMMSCOPE STOCK</v>
          </cell>
        </row>
        <row r="230">
          <cell r="A230" t="str">
            <v>FGS-FH4E-H</v>
          </cell>
          <cell r="B230" t="str">
            <v>FGS-FH4E-H: FGS 24" COVER, 45DEG</v>
          </cell>
          <cell r="C230" t="str">
            <v>7</v>
          </cell>
          <cell r="E230" t="str">
            <v>PC</v>
          </cell>
          <cell r="F230" t="str">
            <v>WH3</v>
          </cell>
          <cell r="G230" t="str">
            <v>musa</v>
          </cell>
          <cell r="AA230" t="str">
            <v>COMMSCOPE STOCK</v>
          </cell>
        </row>
        <row r="231">
          <cell r="A231" t="str">
            <v>760083899</v>
          </cell>
          <cell r="B231" t="str">
            <v>LR Kit, Butt Splice CRBSK</v>
          </cell>
          <cell r="C231" t="str">
            <v>0</v>
          </cell>
          <cell r="E231" t="str">
            <v>PCS</v>
          </cell>
          <cell r="G231" t="str">
            <v>musa</v>
          </cell>
          <cell r="AA231" t="str">
            <v>COMMSCOPE STOCK</v>
          </cell>
        </row>
        <row r="232">
          <cell r="A232" t="str">
            <v>FGS-MHRT-H/F-VS</v>
          </cell>
          <cell r="B232" t="str">
            <v>FGS-MHRT-H/F-VS: KIT FGS 24" T</v>
          </cell>
          <cell r="C232" t="str">
            <v>208</v>
          </cell>
          <cell r="E232" t="str">
            <v>PC</v>
          </cell>
          <cell r="F232" t="str">
            <v>227A</v>
          </cell>
          <cell r="G232" t="str">
            <v>musa</v>
          </cell>
          <cell r="AA232" t="str">
            <v>COMMSCOPE STOCK</v>
          </cell>
        </row>
        <row r="233">
          <cell r="A233" t="str">
            <v>CPCSSZ2-03F010</v>
          </cell>
          <cell r="B233" t="str">
            <v>360GS10E-L-DG-10FT</v>
          </cell>
          <cell r="C233" t="str">
            <v>5314</v>
          </cell>
          <cell r="E233" t="str">
            <v>PC</v>
          </cell>
          <cell r="F233" t="str">
            <v>304A,271B,269A</v>
          </cell>
          <cell r="G233" t="str">
            <v>musa</v>
          </cell>
          <cell r="AA233" t="str">
            <v>COMMSCOPE STOCK</v>
          </cell>
        </row>
        <row r="234">
          <cell r="A234" t="str">
            <v>CPCSSZ2-03F017</v>
          </cell>
          <cell r="B234" t="str">
            <v>360GS10E-L-DG-17FT</v>
          </cell>
          <cell r="C234" t="str">
            <v>500</v>
          </cell>
          <cell r="E234" t="str">
            <v>PCS</v>
          </cell>
          <cell r="F234" t="str">
            <v xml:space="preserve"> New WH</v>
          </cell>
          <cell r="G234" t="str">
            <v>musa</v>
          </cell>
          <cell r="AA234" t="str">
            <v>COMMSCOPE STOCK</v>
          </cell>
        </row>
        <row r="235">
          <cell r="A235" t="str">
            <v>CPCSSZ2-03F020</v>
          </cell>
          <cell r="B235" t="str">
            <v>360GS10E-L-DG-20FT</v>
          </cell>
          <cell r="C235" t="str">
            <v>0</v>
          </cell>
          <cell r="E235" t="str">
            <v>PCS</v>
          </cell>
          <cell r="G235" t="str">
            <v>musa</v>
          </cell>
          <cell r="AA235" t="str">
            <v>COMMSCOPE STOCK</v>
          </cell>
        </row>
        <row r="236">
          <cell r="A236" t="str">
            <v>CPCSSZ2-03F033</v>
          </cell>
          <cell r="B236" t="str">
            <v>360GS10E-L-DG-33FT</v>
          </cell>
          <cell r="C236" t="str">
            <v>0</v>
          </cell>
          <cell r="E236" t="str">
            <v>PCS</v>
          </cell>
          <cell r="G236" t="str">
            <v>musa</v>
          </cell>
          <cell r="AA236" t="str">
            <v>COMMSCOPE STOCK</v>
          </cell>
        </row>
        <row r="237">
          <cell r="A237" t="str">
            <v>FFWLCLC42-JXF007</v>
          </cell>
          <cell r="B237" t="str">
            <v>JUMPER,LSZH,TS,1.6MM,DPLX,LC/LC,YL,FT007</v>
          </cell>
          <cell r="C237" t="str">
            <v>500</v>
          </cell>
          <cell r="E237" t="str">
            <v>PC</v>
          </cell>
          <cell r="F237" t="str">
            <v xml:space="preserve"> New WH</v>
          </cell>
          <cell r="G237" t="str">
            <v>musa</v>
          </cell>
          <cell r="AA237" t="str">
            <v>COMMSCOPE STOCK</v>
          </cell>
        </row>
        <row r="238">
          <cell r="A238" t="str">
            <v>FFWLCLC42-JXF066</v>
          </cell>
          <cell r="B238" t="str">
            <v>JUMPER,LSZH,TS,1.6MM,DPLX,LC/LC,YL,FT066</v>
          </cell>
          <cell r="C238" t="str">
            <v>0</v>
          </cell>
          <cell r="E238" t="str">
            <v>PCS</v>
          </cell>
          <cell r="G238" t="str">
            <v>musa</v>
          </cell>
          <cell r="AA238" t="str">
            <v>COMMSCOPE STOCK</v>
          </cell>
        </row>
        <row r="239">
          <cell r="A239" t="str">
            <v>FGS-KT03-CA1</v>
          </cell>
          <cell r="B239" t="str">
            <v>FGS-KT03-CA1 SINGLE FLEX TUBE EXIT</v>
          </cell>
          <cell r="C239" t="str">
            <v>0</v>
          </cell>
          <cell r="E239" t="str">
            <v>PCS</v>
          </cell>
          <cell r="G239" t="str">
            <v>musa</v>
          </cell>
          <cell r="AA239" t="str">
            <v>COMMSCOPE STOCK</v>
          </cell>
        </row>
        <row r="240">
          <cell r="A240" t="str">
            <v>FGS-FHXP-H</v>
          </cell>
          <cell r="B240" t="str">
            <v>FGS-FHXP-H: FGS 24" COVER, 24" CROSS</v>
          </cell>
          <cell r="C240" t="str">
            <v>0</v>
          </cell>
          <cell r="E240" t="str">
            <v>PCS</v>
          </cell>
          <cell r="G240" t="str">
            <v>musa</v>
          </cell>
          <cell r="AA240" t="str">
            <v>COMMSCOPE STOCK</v>
          </cell>
        </row>
        <row r="241">
          <cell r="A241" t="str">
            <v>CPCSSZ2-03F007</v>
          </cell>
          <cell r="B241" t="str">
            <v>360GS10E-L Modular Patch Cord</v>
          </cell>
          <cell r="C241" t="str">
            <v>125</v>
          </cell>
          <cell r="E241" t="str">
            <v>PC</v>
          </cell>
          <cell r="F241" t="str">
            <v>0</v>
          </cell>
          <cell r="G241" t="str">
            <v>musa</v>
          </cell>
          <cell r="AA241" t="str">
            <v>COMMSCOPE STOCK</v>
          </cell>
        </row>
        <row r="242">
          <cell r="A242" t="str">
            <v>FGS-HNTP-H-5/8</v>
          </cell>
          <cell r="B242" t="str">
            <v>FGS-HNTP-H-5/8: FGS 24" TRAPEZE BRKT KIT</v>
          </cell>
          <cell r="C242" t="str">
            <v>750</v>
          </cell>
          <cell r="E242" t="str">
            <v>PC</v>
          </cell>
          <cell r="F242" t="str">
            <v>294A,WH3,408C,405A,411C,298B,299B,450C</v>
          </cell>
          <cell r="G242" t="str">
            <v>musa</v>
          </cell>
          <cell r="AA242" t="str">
            <v>COMMSCOPE STOCK</v>
          </cell>
        </row>
        <row r="243">
          <cell r="A243" t="str">
            <v>FFWLCLC42-JXF017</v>
          </cell>
          <cell r="B243" t="str">
            <v>JUMPER,LSZH,TS,1.6MM,DPLX,LC/LC,YL,FT017</v>
          </cell>
          <cell r="C243" t="str">
            <v>468</v>
          </cell>
          <cell r="E243" t="str">
            <v>EA</v>
          </cell>
          <cell r="F243" t="str">
            <v xml:space="preserve"> New WH</v>
          </cell>
          <cell r="G243" t="str">
            <v>musa</v>
          </cell>
          <cell r="AA243" t="str">
            <v>COMMSCOPE STOCK</v>
          </cell>
        </row>
        <row r="244">
          <cell r="A244" t="str">
            <v>FGS-FSFC-H</v>
          </cell>
          <cell r="B244" t="str">
            <v>FGS-FSFC-H: FGS 24" COVER, 6' STRAIGHT</v>
          </cell>
          <cell r="C244" t="str">
            <v>100</v>
          </cell>
          <cell r="E244" t="str">
            <v>PC</v>
          </cell>
          <cell r="F244" t="str">
            <v>411C,405A,409C,228A New WH</v>
          </cell>
          <cell r="G244" t="str">
            <v>musa</v>
          </cell>
          <cell r="AA244" t="str">
            <v>COMMSCOPE STOCK</v>
          </cell>
        </row>
        <row r="245">
          <cell r="A245" t="str">
            <v>760107318</v>
          </cell>
          <cell r="B245" t="str">
            <v>3091B WHT C6A 4/23 U/UTP W1000</v>
          </cell>
          <cell r="C245" t="str">
            <v>0</v>
          </cell>
          <cell r="E245" t="str">
            <v>1000 FT = 1 Box</v>
          </cell>
          <cell r="G245" t="str">
            <v>musa</v>
          </cell>
          <cell r="AA245" t="str">
            <v>COMMSCOPE STOCK</v>
          </cell>
        </row>
        <row r="246">
          <cell r="A246" t="str">
            <v>760092429</v>
          </cell>
          <cell r="B246" t="str">
            <v>MGS600 OUTLET-WHITE</v>
          </cell>
          <cell r="C246" t="str">
            <v>6053</v>
          </cell>
          <cell r="E246" t="str">
            <v>PC</v>
          </cell>
          <cell r="F246" t="str">
            <v>285A,291B</v>
          </cell>
          <cell r="G246" t="str">
            <v>musa</v>
          </cell>
          <cell r="AA246" t="str">
            <v>COMMSCOPE STOCK</v>
          </cell>
        </row>
        <row r="247">
          <cell r="A247" t="str">
            <v>FFWLCLC42-JXF015</v>
          </cell>
          <cell r="B247" t="str">
            <v>JUMPER,LSZH,TS,1.6MM,DPLX,LC/UPC, Fiber Patch</v>
          </cell>
          <cell r="C247" t="str">
            <v>0</v>
          </cell>
          <cell r="E247" t="str">
            <v>EA</v>
          </cell>
          <cell r="G247" t="str">
            <v>musa</v>
          </cell>
          <cell r="AA247" t="str">
            <v>COMMSCOPE STOCK</v>
          </cell>
        </row>
        <row r="248">
          <cell r="A248" t="str">
            <v>760139600</v>
          </cell>
          <cell r="B248" t="str">
            <v>D-004-LN-8W-F04NS</v>
          </cell>
          <cell r="C248" t="str">
            <v>0</v>
          </cell>
          <cell r="E248" t="str">
            <v>M</v>
          </cell>
          <cell r="G248" t="str">
            <v>musa</v>
          </cell>
          <cell r="AA248" t="str">
            <v>COMMSCOPE STOCK</v>
          </cell>
        </row>
        <row r="249">
          <cell r="A249" t="str">
            <v>760092403</v>
          </cell>
          <cell r="B249" t="str">
            <v>MGS600 OUTLET-GREEN</v>
          </cell>
          <cell r="C249" t="str">
            <v>21</v>
          </cell>
          <cell r="E249" t="str">
            <v>PC</v>
          </cell>
          <cell r="F249" t="str">
            <v>228B</v>
          </cell>
          <cell r="G249" t="str">
            <v>musa</v>
          </cell>
          <cell r="AA249" t="str">
            <v>COMMSCOPE STOCK</v>
          </cell>
        </row>
        <row r="250">
          <cell r="A250" t="str">
            <v>CPCSSZ2-0ZF003</v>
          </cell>
          <cell r="B250" t="str">
            <v>360GS10E-L-BL-3FT</v>
          </cell>
          <cell r="C250" t="str">
            <v>0</v>
          </cell>
          <cell r="E250" t="str">
            <v>PCS</v>
          </cell>
          <cell r="G250" t="str">
            <v>musa</v>
          </cell>
          <cell r="AA250" t="str">
            <v>COMMSCOPE STOCK</v>
          </cell>
        </row>
        <row r="251">
          <cell r="A251" t="str">
            <v>760109462</v>
          </cell>
          <cell r="B251" t="str">
            <v>360G2 MOD Panel Blank</v>
          </cell>
          <cell r="C251" t="str">
            <v>7</v>
          </cell>
          <cell r="E251" t="str">
            <v>PCS</v>
          </cell>
          <cell r="F251" t="str">
            <v>0</v>
          </cell>
          <cell r="G251" t="str">
            <v>musa</v>
          </cell>
          <cell r="AA251" t="str">
            <v>COMMSCOPE STOCK</v>
          </cell>
        </row>
        <row r="252">
          <cell r="A252" t="str">
            <v>760095554</v>
          </cell>
          <cell r="B252" t="str">
            <v>307 1E SLT C64/23 U/UTP W1000</v>
          </cell>
          <cell r="C252" t="str">
            <v>0</v>
          </cell>
          <cell r="E252" t="str">
            <v>ROLL</v>
          </cell>
          <cell r="G252" t="str">
            <v>musa</v>
          </cell>
          <cell r="AA252" t="str">
            <v>COMMSCOPE STOCK</v>
          </cell>
        </row>
        <row r="253">
          <cell r="A253" t="str">
            <v>760207274</v>
          </cell>
          <cell r="B253" t="str">
            <v>CPP-UDDM-M-1U-24</v>
          </cell>
          <cell r="C253" t="str">
            <v>0</v>
          </cell>
          <cell r="E253" t="str">
            <v>PCS</v>
          </cell>
          <cell r="G253" t="str">
            <v>musa</v>
          </cell>
          <cell r="AA253" t="str">
            <v>COMMSCOPE STOCK</v>
          </cell>
        </row>
        <row r="254">
          <cell r="A254" t="str">
            <v>FGS-FHRT-H</v>
          </cell>
          <cell r="B254" t="str">
            <v>FGS-FHRT-H: FGS 24" COVER, 24" TO 24"TE</v>
          </cell>
          <cell r="C254" t="str">
            <v>60</v>
          </cell>
          <cell r="E254" t="str">
            <v>PCS</v>
          </cell>
          <cell r="F254" t="str">
            <v xml:space="preserve"> New WH</v>
          </cell>
          <cell r="G254" t="str">
            <v>musa</v>
          </cell>
          <cell r="AA254" t="str">
            <v>COMMSCOPE STOCK</v>
          </cell>
        </row>
        <row r="255">
          <cell r="A255" t="str">
            <v>1-1375055-3</v>
          </cell>
          <cell r="B255" t="str">
            <v>JACK,SL110,RJ45,CAT6,A.WHT</v>
          </cell>
          <cell r="C255" t="str">
            <v>1341</v>
          </cell>
          <cell r="E255" t="str">
            <v>PC</v>
          </cell>
          <cell r="F255" t="str">
            <v>303B,280A,296B</v>
          </cell>
          <cell r="G255" t="str">
            <v>musa</v>
          </cell>
          <cell r="AA255" t="str">
            <v>COMMSCOPE STOCK</v>
          </cell>
        </row>
        <row r="256">
          <cell r="A256" t="str">
            <v>418280-000</v>
          </cell>
          <cell r="B256" t="str">
            <v>SMOUV-1120-02-PK</v>
          </cell>
          <cell r="C256" t="str">
            <v>1</v>
          </cell>
          <cell r="E256" t="str">
            <v>PC</v>
          </cell>
          <cell r="F256" t="str">
            <v>288B</v>
          </cell>
          <cell r="G256" t="str">
            <v>musa</v>
          </cell>
          <cell r="AA256" t="str">
            <v>COMMSCOPE STOCK</v>
          </cell>
        </row>
        <row r="257">
          <cell r="A257" t="str">
            <v>CW6618-000</v>
          </cell>
          <cell r="B257" t="str">
            <v>TENIO-SKG2-13/16</v>
          </cell>
          <cell r="C257" t="str">
            <v>0</v>
          </cell>
          <cell r="E257" t="str">
            <v>PC</v>
          </cell>
          <cell r="F257" t="str">
            <v>285A</v>
          </cell>
          <cell r="G257" t="str">
            <v>musa</v>
          </cell>
          <cell r="AA257" t="str">
            <v>COMMSCOPE STOCK</v>
          </cell>
        </row>
        <row r="258">
          <cell r="A258" t="str">
            <v>CV6799-000</v>
          </cell>
          <cell r="B258" t="str">
            <v>TENIO-SKG3-5/8</v>
          </cell>
          <cell r="C258" t="str">
            <v>0</v>
          </cell>
          <cell r="E258" t="str">
            <v>EA</v>
          </cell>
          <cell r="G258" t="str">
            <v>musa</v>
          </cell>
          <cell r="AA258" t="str">
            <v>COMMSCOPE STOCK</v>
          </cell>
        </row>
        <row r="259">
          <cell r="A259" t="str">
            <v>FFWLCLC42-JXF033</v>
          </cell>
          <cell r="B259" t="str">
            <v>JUMPER,LSZH,TS,1.6MM,DPLX,LC/LC,YL,FT033</v>
          </cell>
          <cell r="C259" t="str">
            <v>45</v>
          </cell>
          <cell r="E259" t="str">
            <v>PCS</v>
          </cell>
          <cell r="F259" t="str">
            <v>289B,305B</v>
          </cell>
          <cell r="G259" t="str">
            <v>musa</v>
          </cell>
          <cell r="AA259" t="str">
            <v>COMMSCOPE STOCK</v>
          </cell>
        </row>
        <row r="260">
          <cell r="A260" t="str">
            <v>FFWLCLC42-JXF050</v>
          </cell>
          <cell r="B260" t="str">
            <v>JUMPER,LSZH,TS,1.6MM,DPLX,LC/LC,YL,FT050</v>
          </cell>
          <cell r="C260" t="str">
            <v>192</v>
          </cell>
          <cell r="E260" t="str">
            <v>EA</v>
          </cell>
          <cell r="F260" t="str">
            <v>292A</v>
          </cell>
          <cell r="G260" t="str">
            <v>musa</v>
          </cell>
          <cell r="AA260" t="str">
            <v>COMMSCOPE STOCK</v>
          </cell>
        </row>
        <row r="261">
          <cell r="A261" t="str">
            <v>FFWLCLC42-JXF003</v>
          </cell>
          <cell r="B261" t="str">
            <v>JUMPER,LSZH,TS,1.6MM,DPLX,LC/LC,YL,FT003</v>
          </cell>
          <cell r="C261" t="str">
            <v>495</v>
          </cell>
          <cell r="E261" t="str">
            <v>PC</v>
          </cell>
          <cell r="F261" t="str">
            <v>286B New WH</v>
          </cell>
          <cell r="G261" t="str">
            <v>musa</v>
          </cell>
          <cell r="AA261" t="str">
            <v>COMMSCOPE STOCK</v>
          </cell>
        </row>
        <row r="262">
          <cell r="A262" t="str">
            <v>FFXLCLC42-MXF010</v>
          </cell>
          <cell r="B262" t="str">
            <v>JUMPER,LSZH,LS,1.6MM,DPLX,LC/LC,AQ,FT010</v>
          </cell>
          <cell r="C262" t="str">
            <v>20</v>
          </cell>
          <cell r="E262" t="str">
            <v>EA</v>
          </cell>
          <cell r="G262" t="str">
            <v>musa</v>
          </cell>
          <cell r="AA262" t="str">
            <v>COMMSCOPE STOCK</v>
          </cell>
        </row>
        <row r="263">
          <cell r="A263" t="str">
            <v>FFWLCLC42-JXF065</v>
          </cell>
          <cell r="B263" t="str">
            <v>JUMPER,LSZH,TS,1.6mm,DPLX,LC/LC,YL,FT065</v>
          </cell>
          <cell r="C263" t="str">
            <v>480</v>
          </cell>
          <cell r="E263" t="str">
            <v>PC</v>
          </cell>
          <cell r="F263" t="str">
            <v>286B,287B,292A</v>
          </cell>
          <cell r="G263" t="str">
            <v>musa</v>
          </cell>
          <cell r="AA263" t="str">
            <v>COMMSCOPE STOCK</v>
          </cell>
        </row>
        <row r="264">
          <cell r="A264" t="str">
            <v>FFWLCLC42-JXF010</v>
          </cell>
          <cell r="B264" t="str">
            <v>JUMPER,LSZH,TS,1.6MM,DPLX,LC/LC,YL,FT010</v>
          </cell>
          <cell r="C264" t="str">
            <v>2</v>
          </cell>
          <cell r="E264" t="str">
            <v>PC</v>
          </cell>
          <cell r="F264" t="str">
            <v>301C,228A,304B</v>
          </cell>
          <cell r="G264" t="str">
            <v>musa</v>
          </cell>
          <cell r="AA264" t="str">
            <v>COMMSCOPE STOCK</v>
          </cell>
        </row>
        <row r="265">
          <cell r="A265" t="str">
            <v>EH6496-000</v>
          </cell>
          <cell r="B265" t="str">
            <v>AMP-TWIST SLX,6AS,GY</v>
          </cell>
          <cell r="C265" t="str">
            <v>0</v>
          </cell>
          <cell r="E265" t="str">
            <v>EA</v>
          </cell>
          <cell r="G265" t="str">
            <v>musa</v>
          </cell>
          <cell r="AA265" t="str">
            <v>COMMSCOPE STOCK</v>
          </cell>
        </row>
        <row r="266">
          <cell r="A266" t="str">
            <v>760249249</v>
          </cell>
          <cell r="B266" t="str">
            <v>FPS-BS-1P-W, 1 PORT SHUTTERED WHITE</v>
          </cell>
          <cell r="C266" t="str">
            <v>775</v>
          </cell>
          <cell r="E266" t="str">
            <v>PC</v>
          </cell>
          <cell r="F266" t="str">
            <v>300B,306B,299B</v>
          </cell>
          <cell r="G266" t="str">
            <v>musa</v>
          </cell>
          <cell r="AA266" t="str">
            <v>COMMSCOPE STOCK</v>
          </cell>
        </row>
        <row r="267">
          <cell r="A267" t="str">
            <v>760249251</v>
          </cell>
          <cell r="B267" t="str">
            <v>FPS-BS-2P-W, 2 PORT SHUTTERED WHITE</v>
          </cell>
          <cell r="C267" t="str">
            <v>4986</v>
          </cell>
          <cell r="E267" t="str">
            <v>PC</v>
          </cell>
          <cell r="F267" t="str">
            <v>292B,304B New WH</v>
          </cell>
          <cell r="G267" t="str">
            <v>musa</v>
          </cell>
          <cell r="AA267" t="str">
            <v>COMMSCOPE STOCK</v>
          </cell>
        </row>
        <row r="268">
          <cell r="A268" t="str">
            <v>CPCSSZ2-07F010</v>
          </cell>
          <cell r="B268" t="str">
            <v>GigaSPEED X10D® 360GS10E Solid Low Smoke</v>
          </cell>
          <cell r="C268" t="str">
            <v>0</v>
          </cell>
          <cell r="E268" t="str">
            <v>PC</v>
          </cell>
          <cell r="G268" t="str">
            <v>musa</v>
          </cell>
          <cell r="AA268" t="str">
            <v>COMMSCOPE STOCK</v>
          </cell>
        </row>
        <row r="269">
          <cell r="A269" t="str">
            <v>760234921</v>
          </cell>
          <cell r="B269" t="str">
            <v>CEILING CONNECTOR ASSEMBLY</v>
          </cell>
          <cell r="C269" t="str">
            <v>0</v>
          </cell>
          <cell r="E269" t="str">
            <v>PCS</v>
          </cell>
          <cell r="G269" t="str">
            <v>musa</v>
          </cell>
          <cell r="AA269" t="str">
            <v>COMMSCOPE STOCK</v>
          </cell>
        </row>
        <row r="270">
          <cell r="A270" t="str">
            <v>FGS-MHXP-P-H</v>
          </cell>
          <cell r="B270" t="str">
            <v>FGS-MHXP-P-H:FGS 24" HORZ CROSS YELLOW</v>
          </cell>
          <cell r="C270" t="str">
            <v>0</v>
          </cell>
          <cell r="E270" t="str">
            <v>PCS</v>
          </cell>
          <cell r="G270" t="str">
            <v>musa</v>
          </cell>
          <cell r="AA270" t="str">
            <v>COMMSCOPE STOCK</v>
          </cell>
        </row>
        <row r="271">
          <cell r="A271" t="str">
            <v>CPCSSZ2-0ZF005</v>
          </cell>
          <cell r="B271" t="str">
            <v>360GS10E-L-BL-5FT</v>
          </cell>
          <cell r="C271" t="str">
            <v>0</v>
          </cell>
          <cell r="E271" t="str">
            <v>PCS</v>
          </cell>
          <cell r="G271" t="str">
            <v>musa</v>
          </cell>
          <cell r="AA271" t="str">
            <v>COMMSCOPE STOCK</v>
          </cell>
        </row>
        <row r="272">
          <cell r="A272" t="str">
            <v>760253100</v>
          </cell>
          <cell r="B272" t="str">
            <v>FPUS-BS-1P-W,1 Port Unshuttered White</v>
          </cell>
          <cell r="C272" t="str">
            <v>0</v>
          </cell>
          <cell r="E272" t="str">
            <v>PC</v>
          </cell>
          <cell r="G272" t="str">
            <v>musa</v>
          </cell>
          <cell r="AA272" t="str">
            <v>COMMSCOPE STOCK</v>
          </cell>
        </row>
        <row r="273">
          <cell r="A273" t="str">
            <v>760053330</v>
          </cell>
          <cell r="B273" t="str">
            <v>D-072-LA-8W-F12NS</v>
          </cell>
          <cell r="C273" t="str">
            <v>17480</v>
          </cell>
          <cell r="E273" t="str">
            <v>FT</v>
          </cell>
          <cell r="F273" t="str">
            <v>ZONEF</v>
          </cell>
          <cell r="G273" t="str">
            <v>17480 FT = 01 DRUM</v>
          </cell>
          <cell r="AA273" t="str">
            <v>COMMSCOPE STOCK</v>
          </cell>
        </row>
        <row r="274">
          <cell r="A274" t="str">
            <v>760053355</v>
          </cell>
          <cell r="B274" t="str">
            <v>D-144-LA-8W-F12NS</v>
          </cell>
          <cell r="C274" t="str">
            <v>50000</v>
          </cell>
          <cell r="E274" t="str">
            <v>FT</v>
          </cell>
          <cell r="F274" t="str">
            <v>0</v>
          </cell>
          <cell r="G274" t="str">
            <v>25000 FT = 01 DRUM
25000 FT = 01 DRUM</v>
          </cell>
          <cell r="AA274" t="str">
            <v>COMMSCOPE STOCK</v>
          </cell>
        </row>
        <row r="275">
          <cell r="A275" t="str">
            <v>760242980</v>
          </cell>
          <cell r="B275" t="str">
            <v>360DPiP-24LC-SM</v>
          </cell>
          <cell r="C275" t="str">
            <v>0</v>
          </cell>
          <cell r="E275" t="str">
            <v>PC</v>
          </cell>
          <cell r="G275" t="str">
            <v>musa</v>
          </cell>
          <cell r="AA275" t="str">
            <v>COMMSCOPE STOCK</v>
          </cell>
        </row>
        <row r="276">
          <cell r="A276" t="str">
            <v>CA111K2-08F003</v>
          </cell>
          <cell r="B276" t="str">
            <v>G10SP-L-WH-3FT</v>
          </cell>
          <cell r="C276" t="str">
            <v>1215</v>
          </cell>
          <cell r="E276" t="str">
            <v>PC</v>
          </cell>
          <cell r="F276" t="str">
            <v>283B,286B,294B,295B</v>
          </cell>
          <cell r="G276" t="str">
            <v>musa</v>
          </cell>
          <cell r="AA276" t="str">
            <v>COMMSCOPE STOCK</v>
          </cell>
        </row>
        <row r="277">
          <cell r="A277" t="str">
            <v>9-1592145-9</v>
          </cell>
          <cell r="B277" t="str">
            <v>C-012-DS-5K-MSUAQ/GY/C</v>
          </cell>
          <cell r="C277" t="str">
            <v>7853</v>
          </cell>
          <cell r="E277" t="str">
            <v>M</v>
          </cell>
          <cell r="F277" t="str">
            <v>285A,303A</v>
          </cell>
          <cell r="G277" t="str">
            <v xml:space="preserve">86 M = 01 DRUM
4080 M = 01 DRUM
1645 M = 01 DRUM
1319 M = 01 DRUM
500 M = 01 DRUM
2017 M = 01 DRUM
</v>
          </cell>
          <cell r="AA277" t="str">
            <v>COMMSCOPE STOCK</v>
          </cell>
        </row>
        <row r="278">
          <cell r="A278" t="str">
            <v>760168443</v>
          </cell>
          <cell r="B278" t="str">
            <v>360G2-IP-96F-LC-SD-KIT-5PK</v>
          </cell>
          <cell r="C278" t="str">
            <v>0</v>
          </cell>
          <cell r="E278" t="str">
            <v>PC</v>
          </cell>
          <cell r="G278" t="str">
            <v>musa</v>
          </cell>
          <cell r="AA278" t="str">
            <v>COMMSCOPE STOCK</v>
          </cell>
        </row>
        <row r="279">
          <cell r="A279" t="str">
            <v>CK9477-000</v>
          </cell>
          <cell r="B279" t="str">
            <v> FIST-RSKG-4</v>
          </cell>
          <cell r="C279" t="str">
            <v>66</v>
          </cell>
          <cell r="E279" t="str">
            <v>PC</v>
          </cell>
          <cell r="F279" t="str">
            <v>303B</v>
          </cell>
          <cell r="G279" t="str">
            <v>musa</v>
          </cell>
          <cell r="AA279" t="str">
            <v>COMMSCOPE STOCK</v>
          </cell>
        </row>
        <row r="280">
          <cell r="A280" t="str">
            <v>888118-000</v>
          </cell>
          <cell r="B280" t="str">
            <v>FIST-MOBRA4-FIX</v>
          </cell>
          <cell r="C280" t="str">
            <v>69</v>
          </cell>
          <cell r="E280" t="str">
            <v>PC</v>
          </cell>
          <cell r="F280" t="str">
            <v>305B</v>
          </cell>
          <cell r="G280" t="str">
            <v>musa</v>
          </cell>
          <cell r="AA280" t="str">
            <v>COMMSCOPE STOCK</v>
          </cell>
        </row>
        <row r="281">
          <cell r="A281" t="str">
            <v>CA111K2-08F010</v>
          </cell>
          <cell r="B281" t="str">
            <v>G10SP-L-WH-10FT</v>
          </cell>
          <cell r="C281" t="str">
            <v>0</v>
          </cell>
          <cell r="E281" t="str">
            <v>PCS</v>
          </cell>
          <cell r="G281" t="str">
            <v>musa</v>
          </cell>
          <cell r="AA281" t="str">
            <v>COMMSCOPE STOCK</v>
          </cell>
        </row>
        <row r="282">
          <cell r="A282" t="str">
            <v>760098442</v>
          </cell>
          <cell r="B282" t="str">
            <v>D-004-LA-8W-F04NS</v>
          </cell>
          <cell r="C282" t="str">
            <v>7965</v>
          </cell>
          <cell r="E282" t="str">
            <v>FT</v>
          </cell>
          <cell r="F282" t="str">
            <v>226A</v>
          </cell>
          <cell r="G282" t="str">
            <v xml:space="preserve">
7965 FT = 01 Drum</v>
          </cell>
          <cell r="AA282" t="str">
            <v>COMMSCOPE STOCK</v>
          </cell>
        </row>
        <row r="283">
          <cell r="A283" t="str">
            <v>810010171/DB</v>
          </cell>
          <cell r="B283" t="str">
            <v>B-288-LN-8W-M24NS/17T 200</v>
          </cell>
          <cell r="C283" t="str">
            <v>6041</v>
          </cell>
          <cell r="E283" t="str">
            <v>M</v>
          </cell>
          <cell r="F283" t="str">
            <v>0</v>
          </cell>
          <cell r="G283" t="str">
            <v xml:space="preserve">6041 M = 01 Drum
</v>
          </cell>
          <cell r="AA283" t="str">
            <v>COMMSCOPE STOCK</v>
          </cell>
        </row>
        <row r="284">
          <cell r="A284" t="str">
            <v>760117366</v>
          </cell>
          <cell r="B284" t="str">
            <v>360-PM-GS3-2U-48 Panel</v>
          </cell>
          <cell r="C284" t="str">
            <v>50</v>
          </cell>
          <cell r="E284" t="str">
            <v>PCS</v>
          </cell>
          <cell r="G284" t="str">
            <v>musa</v>
          </cell>
          <cell r="AA284" t="str">
            <v>COMMSCOPE STOCK</v>
          </cell>
        </row>
        <row r="285">
          <cell r="A285" t="str">
            <v>760102244</v>
          </cell>
          <cell r="B285" t="str">
            <v>360-PM-GS3-2U-24 Panel</v>
          </cell>
          <cell r="C285" t="str">
            <v>0</v>
          </cell>
          <cell r="E285" t="str">
            <v>PCS</v>
          </cell>
          <cell r="G285" t="str">
            <v>musa</v>
          </cell>
          <cell r="AA285" t="str">
            <v>COMMSCOPE STOCK</v>
          </cell>
        </row>
        <row r="286">
          <cell r="A286" t="str">
            <v>64201013-00</v>
          </cell>
          <cell r="B286" t="str">
            <v>6420 1 013-00: FRAME DISTRIBUTION 108A</v>
          </cell>
          <cell r="C286" t="str">
            <v>0</v>
          </cell>
          <cell r="E286" t="str">
            <v>PCS</v>
          </cell>
          <cell r="G286" t="str">
            <v>musa</v>
          </cell>
          <cell r="AA286" t="str">
            <v>COMMSCOPE STOCK</v>
          </cell>
        </row>
        <row r="287">
          <cell r="A287" t="str">
            <v>60891120-02</v>
          </cell>
          <cell r="B287" t="str">
            <v>6089 1 120-02: LSA PROFIL CONN.MOD 2/10</v>
          </cell>
          <cell r="C287" t="str">
            <v>0</v>
          </cell>
          <cell r="E287" t="str">
            <v>PCS</v>
          </cell>
          <cell r="G287" t="str">
            <v>musa</v>
          </cell>
          <cell r="AA287" t="str">
            <v>COMMSCOPE STOCK</v>
          </cell>
        </row>
        <row r="288">
          <cell r="A288" t="str">
            <v>60891121-02</v>
          </cell>
          <cell r="B288" t="str">
            <v>6089 1 121-02: TRENNMODUL 2/10-PRF-1/0</v>
          </cell>
          <cell r="C288" t="str">
            <v>0</v>
          </cell>
          <cell r="E288" t="str">
            <v>PCS</v>
          </cell>
          <cell r="G288" t="str">
            <v>musa</v>
          </cell>
          <cell r="AA288" t="str">
            <v>COMMSCOPE STOCK</v>
          </cell>
        </row>
        <row r="289">
          <cell r="A289" t="str">
            <v>64690001-17</v>
          </cell>
          <cell r="B289" t="str">
            <v>6469 0 001-17: ARRESTOR 3YVJ-230J1Q10</v>
          </cell>
          <cell r="C289" t="str">
            <v>0</v>
          </cell>
          <cell r="E289" t="str">
            <v>PCS</v>
          </cell>
          <cell r="G289" t="str">
            <v>musa</v>
          </cell>
          <cell r="AA289" t="str">
            <v>COMMSCOPE STOCK</v>
          </cell>
        </row>
        <row r="290">
          <cell r="A290" t="str">
            <v>64172055-11</v>
          </cell>
          <cell r="B290" t="str">
            <v>6417 2 055-11: LSA-PLUS INSERTION TOOLS</v>
          </cell>
          <cell r="C290" t="str">
            <v>0</v>
          </cell>
          <cell r="E290" t="str">
            <v>PCS</v>
          </cell>
          <cell r="G290" t="str">
            <v>musa</v>
          </cell>
          <cell r="AA290" t="str">
            <v>COMMSCOPE STOCK</v>
          </cell>
        </row>
        <row r="291">
          <cell r="A291" t="str">
            <v>60892023-01</v>
          </cell>
          <cell r="B291" t="str">
            <v>6089 2 023-01: 10-PAIR GAS TUBE.PROTECTI</v>
          </cell>
          <cell r="C291" t="str">
            <v>40</v>
          </cell>
          <cell r="E291" t="str">
            <v>PC</v>
          </cell>
          <cell r="F291" t="str">
            <v>296B</v>
          </cell>
          <cell r="G291" t="str">
            <v>musa</v>
          </cell>
          <cell r="AA291" t="str">
            <v>COMMSCOPE STOCK</v>
          </cell>
        </row>
        <row r="292">
          <cell r="A292" t="str">
            <v>PFC-S04L16</v>
          </cell>
          <cell r="B292" t="str">
            <v>PFC,SINGLEMODE,4F,I/O,16AWG,METER/D</v>
          </cell>
          <cell r="C292" t="str">
            <v>0</v>
          </cell>
          <cell r="E292" t="str">
            <v>M</v>
          </cell>
          <cell r="G292" t="str">
            <v>0 M = 1 Drum</v>
          </cell>
          <cell r="AA292" t="str">
            <v>COMMSCOPE STOCK</v>
          </cell>
        </row>
        <row r="293">
          <cell r="A293" t="str">
            <v>760105122</v>
          </cell>
          <cell r="B293" t="str">
            <v>3091B WH 4/23 R1000</v>
          </cell>
          <cell r="C293" t="str">
            <v>0</v>
          </cell>
          <cell r="E293" t="str">
            <v>ROLL</v>
          </cell>
          <cell r="G293" t="str">
            <v>musa</v>
          </cell>
          <cell r="AA293" t="str">
            <v>COMMSCOPE STOCK</v>
          </cell>
        </row>
        <row r="294">
          <cell r="A294" t="str">
            <v>760231514</v>
          </cell>
          <cell r="B294" t="str">
            <v>HD-2U-SP SPLICING FIBER SHELF</v>
          </cell>
          <cell r="C294" t="str">
            <v>56</v>
          </cell>
          <cell r="E294" t="str">
            <v>PCS</v>
          </cell>
          <cell r="F294" t="str">
            <v xml:space="preserve"> New WH</v>
          </cell>
          <cell r="G294" t="str">
            <v>musa</v>
          </cell>
          <cell r="AA294" t="str">
            <v>COMMSCOPE STOCK</v>
          </cell>
        </row>
        <row r="295">
          <cell r="A295" t="str">
            <v>CU5172-000</v>
          </cell>
          <cell r="B295" t="str">
            <v>FIST-OSKG20</v>
          </cell>
          <cell r="C295" t="str">
            <v>78</v>
          </cell>
          <cell r="E295" t="str">
            <v>PC</v>
          </cell>
          <cell r="F295" t="str">
            <v>286B</v>
          </cell>
          <cell r="G295" t="str">
            <v>musa</v>
          </cell>
          <cell r="AA295" t="str">
            <v>COMMSCOPE STOCK</v>
          </cell>
        </row>
        <row r="296">
          <cell r="A296" t="str">
            <v>760105148</v>
          </cell>
          <cell r="B296" t="str">
            <v>360 IPATCH UPG KIT G2 LC - 5EA</v>
          </cell>
          <cell r="C296" t="str">
            <v>1</v>
          </cell>
          <cell r="E296" t="str">
            <v>PC</v>
          </cell>
          <cell r="F296" t="str">
            <v>291B</v>
          </cell>
          <cell r="G296" t="str">
            <v>musa</v>
          </cell>
          <cell r="AA296" t="str">
            <v>COMMSCOPE STOCK</v>
          </cell>
        </row>
        <row r="297">
          <cell r="A297" t="str">
            <v>103897-000</v>
          </cell>
          <cell r="B297" t="str">
            <v>SMOUV-1120-02</v>
          </cell>
          <cell r="C297" t="str">
            <v>200</v>
          </cell>
          <cell r="E297" t="str">
            <v>PCS</v>
          </cell>
          <cell r="F297" t="str">
            <v>299B</v>
          </cell>
          <cell r="G297" t="str">
            <v>musa</v>
          </cell>
          <cell r="AA297" t="str">
            <v>COMMSCOPE STOCK</v>
          </cell>
        </row>
        <row r="298">
          <cell r="A298" t="str">
            <v>760152801</v>
          </cell>
          <cell r="B298" t="str">
            <v>HGS620 Shielded Outlet</v>
          </cell>
          <cell r="C298" t="str">
            <v>246</v>
          </cell>
          <cell r="E298" t="str">
            <v>PC</v>
          </cell>
          <cell r="F298" t="str">
            <v>290B</v>
          </cell>
          <cell r="G298" t="str">
            <v>musa</v>
          </cell>
          <cell r="AA298" t="str">
            <v>COMMSCOPE STOCK</v>
          </cell>
        </row>
        <row r="299">
          <cell r="A299" t="str">
            <v>760249256</v>
          </cell>
          <cell r="B299" t="str">
            <v>FPUS-BS-2P-W, 2 PORT UNSHUTTERED WHITE</v>
          </cell>
          <cell r="C299" t="str">
            <v>50</v>
          </cell>
          <cell r="E299" t="str">
            <v>PCS</v>
          </cell>
          <cell r="F299" t="str">
            <v>285B</v>
          </cell>
          <cell r="G299" t="str">
            <v>musa</v>
          </cell>
          <cell r="AA299" t="str">
            <v>COMMSCOPE STOCK</v>
          </cell>
        </row>
        <row r="300">
          <cell r="A300" t="str">
            <v>760200428</v>
          </cell>
          <cell r="B300" t="str">
            <v>M10CF Faceplate, 1-port, White</v>
          </cell>
          <cell r="C300" t="str">
            <v>0</v>
          </cell>
          <cell r="E300" t="str">
            <v>PCS</v>
          </cell>
          <cell r="G300" t="str">
            <v>musa</v>
          </cell>
          <cell r="AA300" t="str">
            <v>COMMSCOPE STOCK</v>
          </cell>
        </row>
        <row r="301">
          <cell r="A301" t="str">
            <v>760209965</v>
          </cell>
          <cell r="B301" t="str">
            <v>HD-4U</v>
          </cell>
          <cell r="C301" t="str">
            <v>0</v>
          </cell>
          <cell r="E301" t="str">
            <v>PCS</v>
          </cell>
          <cell r="F301" t="str">
            <v xml:space="preserve"> New WH</v>
          </cell>
          <cell r="G301" t="str">
            <v>musa</v>
          </cell>
          <cell r="AA301" t="str">
            <v>COMMSCOPE STOCK</v>
          </cell>
        </row>
        <row r="302">
          <cell r="A302" t="str">
            <v>CPC3392-03F017</v>
          </cell>
          <cell r="B302" t="str">
            <v>GigaSPEED XL GS8E Stranded Low Smoke Zer</v>
          </cell>
          <cell r="C302" t="str">
            <v>50</v>
          </cell>
          <cell r="E302" t="str">
            <v>PC</v>
          </cell>
          <cell r="F302" t="str">
            <v>306B</v>
          </cell>
          <cell r="G302" t="str">
            <v>musa</v>
          </cell>
          <cell r="AA302" t="str">
            <v>COMMSCOPE STOCK</v>
          </cell>
        </row>
        <row r="303">
          <cell r="A303" t="str">
            <v>760209957</v>
          </cell>
          <cell r="B303" t="str">
            <v>HD-2U Sliding Fiber Shelf</v>
          </cell>
          <cell r="C303" t="str">
            <v>0</v>
          </cell>
          <cell r="E303" t="str">
            <v>PCS</v>
          </cell>
          <cell r="G303" t="str">
            <v>musa</v>
          </cell>
          <cell r="AA303" t="str">
            <v>COMMSCOPE STOCK</v>
          </cell>
        </row>
        <row r="304">
          <cell r="A304" t="str">
            <v>CPC3392-03F003</v>
          </cell>
          <cell r="B304" t="str">
            <v>GS8E-L-DG-3FT                          </v>
          </cell>
          <cell r="C304" t="str">
            <v>0</v>
          </cell>
          <cell r="E304" t="str">
            <v>PCS</v>
          </cell>
          <cell r="G304" t="str">
            <v>musa</v>
          </cell>
          <cell r="AA304" t="str">
            <v>COMMSCOPE STOCK</v>
          </cell>
        </row>
        <row r="305">
          <cell r="A305" t="str">
            <v>CPC3392-03F010</v>
          </cell>
          <cell r="B305" t="str">
            <v>GS8E-L-DG-10FT                         </v>
          </cell>
          <cell r="C305" t="str">
            <v>0</v>
          </cell>
          <cell r="E305" t="str">
            <v>PC</v>
          </cell>
          <cell r="G305" t="str">
            <v>musa</v>
          </cell>
          <cell r="AA305" t="str">
            <v>COMMSCOPE STOCK</v>
          </cell>
        </row>
        <row r="306">
          <cell r="A306" t="str">
            <v>760205401</v>
          </cell>
          <cell r="B306" t="str">
            <v>D-008-LA-8W-F08NS</v>
          </cell>
          <cell r="C306" t="str">
            <v>0</v>
          </cell>
          <cell r="E306" t="str">
            <v>FT</v>
          </cell>
          <cell r="G306" t="str">
            <v xml:space="preserve">
0 FT = 01 Drum</v>
          </cell>
          <cell r="AA306" t="str">
            <v>COMMSCOPE STOCK</v>
          </cell>
        </row>
        <row r="307">
          <cell r="A307" t="str">
            <v>153396-000</v>
          </cell>
          <cell r="B307" t="str">
            <v>FIST-GCO2-BD16-GV</v>
          </cell>
          <cell r="C307" t="str">
            <v>69</v>
          </cell>
          <cell r="E307" t="str">
            <v>PC</v>
          </cell>
          <cell r="F307" t="str">
            <v>290A,289A,ZONEF,297A,290C</v>
          </cell>
          <cell r="G307" t="str">
            <v>musa</v>
          </cell>
          <cell r="AA307" t="str">
            <v>COMMSCOPE STOCK</v>
          </cell>
        </row>
        <row r="308">
          <cell r="A308" t="str">
            <v>760201194</v>
          </cell>
          <cell r="B308" t="str">
            <v>360 iPatch FTP Evolve 24P Panel, Blank</v>
          </cell>
          <cell r="C308" t="str">
            <v>9</v>
          </cell>
          <cell r="E308" t="str">
            <v>PC</v>
          </cell>
          <cell r="F308" t="str">
            <v>291B</v>
          </cell>
          <cell r="G308" t="str">
            <v>musa</v>
          </cell>
          <cell r="AA308" t="str">
            <v>COMMSCOPE STOCK</v>
          </cell>
        </row>
        <row r="309">
          <cell r="A309" t="str">
            <v>760201145</v>
          </cell>
          <cell r="B309" t="str">
            <v>360 iPatch 1100 GS6 Evolve 24P Panel</v>
          </cell>
          <cell r="C309" t="str">
            <v>0</v>
          </cell>
          <cell r="E309" t="str">
            <v>PCS</v>
          </cell>
          <cell r="G309" t="str">
            <v>musa</v>
          </cell>
          <cell r="AA309" t="str">
            <v>COMMSCOPE STOCK</v>
          </cell>
        </row>
        <row r="310">
          <cell r="A310" t="str">
            <v>760152561</v>
          </cell>
          <cell r="B310" t="str">
            <v>360-IPR-1100-E-GS3-1U-24</v>
          </cell>
          <cell r="C310" t="str">
            <v>45</v>
          </cell>
          <cell r="E310" t="str">
            <v>PC</v>
          </cell>
          <cell r="F310" t="str">
            <v>0</v>
          </cell>
          <cell r="G310" t="str">
            <v>musa</v>
          </cell>
          <cell r="AA310" t="str">
            <v>COMMSCOPE STOCK</v>
          </cell>
        </row>
        <row r="311">
          <cell r="A311" t="str">
            <v>700206725</v>
          </cell>
          <cell r="B311" t="str">
            <v>MGS400 WHITE OUTLET</v>
          </cell>
          <cell r="C311" t="str">
            <v>2500</v>
          </cell>
          <cell r="E311" t="str">
            <v>PCS</v>
          </cell>
          <cell r="F311" t="str">
            <v>0</v>
          </cell>
          <cell r="G311" t="str">
            <v>musa</v>
          </cell>
          <cell r="AA311" t="str">
            <v>COMMSCOPE STOCK</v>
          </cell>
        </row>
        <row r="312">
          <cell r="A312" t="str">
            <v>FFXLCLC42-MXF003</v>
          </cell>
          <cell r="B312" t="str">
            <v>JUMPER,LSZH,LS,1.6MM,DPLX,LC/LC,AQ,FT003</v>
          </cell>
          <cell r="C312" t="str">
            <v>109</v>
          </cell>
          <cell r="E312" t="str">
            <v>PC</v>
          </cell>
          <cell r="F312" t="str">
            <v>285B,304B,289B</v>
          </cell>
          <cell r="G312" t="str">
            <v>musa</v>
          </cell>
          <cell r="AA312" t="str">
            <v>COMMSCOPE STOCK</v>
          </cell>
        </row>
        <row r="313">
          <cell r="A313" t="str">
            <v>810010117/DB</v>
          </cell>
          <cell r="B313" t="str">
            <v>B-004-CN-8F-M04BK/30G</v>
          </cell>
          <cell r="C313" t="str">
            <v>0</v>
          </cell>
          <cell r="E313" t="str">
            <v>M</v>
          </cell>
          <cell r="G313" t="str">
            <v>0 M = 1 DRUM</v>
          </cell>
          <cell r="AA313" t="str">
            <v>COMMSCOPE STOCK</v>
          </cell>
        </row>
        <row r="314">
          <cell r="A314" t="str">
            <v>760244986</v>
          </cell>
          <cell r="B314" t="str">
            <v>B-024-LN-8 W-M 1 2NS/l SCJ</v>
          </cell>
          <cell r="C314" t="str">
            <v>0</v>
          </cell>
          <cell r="E314" t="str">
            <v>M</v>
          </cell>
          <cell r="G314" t="str">
            <v xml:space="preserve">0 M = 1 DRUM
</v>
          </cell>
          <cell r="AA314" t="str">
            <v>COMMSCOPE STOCK</v>
          </cell>
        </row>
        <row r="315">
          <cell r="A315" t="str">
            <v>760244990</v>
          </cell>
          <cell r="B315" t="str">
            <v>B-072-LN-8W-M12NS/150</v>
          </cell>
          <cell r="C315" t="str">
            <v>6205</v>
          </cell>
          <cell r="E315" t="str">
            <v>M</v>
          </cell>
          <cell r="F315" t="str">
            <v>284A</v>
          </cell>
          <cell r="G315" t="str">
            <v xml:space="preserve">2536 M = 1 DRUM
2639 M = 1 DRUM
1030 M = 1 DRUM
</v>
          </cell>
          <cell r="AA315" t="str">
            <v>COMMSCOPE STOCK</v>
          </cell>
        </row>
        <row r="316">
          <cell r="A316" t="str">
            <v>760244991</v>
          </cell>
          <cell r="B316" t="str">
            <v>B-096-LN-8W-M 12NS/15G</v>
          </cell>
          <cell r="C316" t="str">
            <v>11233</v>
          </cell>
          <cell r="E316" t="str">
            <v>M</v>
          </cell>
          <cell r="F316" t="str">
            <v>284A</v>
          </cell>
          <cell r="G316" t="str">
            <v>4200 M = 1 DRUM
2500 M = 1 DRUM
3300 M = 1 DRUM
1233 M = 1 DRUM</v>
          </cell>
          <cell r="AA316" t="str">
            <v>COMMSCOPE STOCK</v>
          </cell>
        </row>
        <row r="317">
          <cell r="A317" t="str">
            <v>760189597</v>
          </cell>
          <cell r="B317" t="str">
            <v>3296A WHT C6A 4/23 F/FTP R1640</v>
          </cell>
          <cell r="C317" t="str">
            <v>3280</v>
          </cell>
          <cell r="E317" t="str">
            <v>1640 FT = 1 Roll</v>
          </cell>
          <cell r="F317" t="str">
            <v>306C,284A</v>
          </cell>
          <cell r="G317" t="str">
            <v>1640 FT = 1 DRUM
1640 FT = 1 DRUM</v>
          </cell>
          <cell r="AA317" t="str">
            <v>COMMSCOPE STOCK</v>
          </cell>
        </row>
        <row r="318">
          <cell r="A318" t="str">
            <v>2160852-2</v>
          </cell>
          <cell r="B318" t="str">
            <v>OCP-LF-02MASEN-XX</v>
          </cell>
          <cell r="C318" t="str">
            <v>50</v>
          </cell>
          <cell r="E318" t="str">
            <v>PC</v>
          </cell>
          <cell r="F318" t="str">
            <v xml:space="preserve"> New WH</v>
          </cell>
          <cell r="G318" t="str">
            <v>musa</v>
          </cell>
          <cell r="AA318" t="str">
            <v>COMMSCOPE STOCK</v>
          </cell>
        </row>
        <row r="319">
          <cell r="A319" t="str">
            <v>2-2160565-0</v>
          </cell>
          <cell r="B319" t="str">
            <v>OCP-SF-20MASIA-XX</v>
          </cell>
          <cell r="C319" t="str">
            <v>1005</v>
          </cell>
          <cell r="E319" t="str">
            <v>PC</v>
          </cell>
          <cell r="F319" t="str">
            <v>290B</v>
          </cell>
          <cell r="G319" t="str">
            <v>musa</v>
          </cell>
          <cell r="AA319" t="str">
            <v>COMMSCOPE STOCK</v>
          </cell>
        </row>
        <row r="320">
          <cell r="A320" t="str">
            <v>488880-000</v>
          </cell>
          <cell r="B320" t="str">
            <v>FIST-SOSA2-2SE-S</v>
          </cell>
          <cell r="C320" t="str">
            <v>0</v>
          </cell>
          <cell r="E320" t="str">
            <v>PCS</v>
          </cell>
          <cell r="F320" t="str">
            <v xml:space="preserve"> New WH</v>
          </cell>
          <cell r="G320" t="str">
            <v>musa</v>
          </cell>
          <cell r="AA320" t="str">
            <v>COMMSCOPE STOCK</v>
          </cell>
        </row>
        <row r="321">
          <cell r="A321" t="str">
            <v>760244985</v>
          </cell>
          <cell r="B321" t="str">
            <v>B-012-LN-8W-M12NS/15G</v>
          </cell>
          <cell r="C321" t="str">
            <v>0</v>
          </cell>
          <cell r="E321" t="str">
            <v>M</v>
          </cell>
          <cell r="G321" t="str">
            <v>musa</v>
          </cell>
          <cell r="AA321" t="str">
            <v>COMMSCOPE STOCK</v>
          </cell>
        </row>
        <row r="322">
          <cell r="A322" t="str">
            <v>760254800</v>
          </cell>
          <cell r="B322" t="str">
            <v>C-006-DS-8W-MSUBK/GY/C</v>
          </cell>
          <cell r="C322" t="str">
            <v>56109</v>
          </cell>
          <cell r="E322" t="str">
            <v>M</v>
          </cell>
          <cell r="F322" t="str">
            <v>289A New WH</v>
          </cell>
          <cell r="G322" t="str">
            <v xml:space="preserve">3059 M = 1 DRUM         2022 M = 1 DRUM 
48932 M = 1 DRUM
2083 M = 1 DRUM             </v>
          </cell>
          <cell r="AA322" t="str">
            <v>COMMSCOPE STOCK</v>
          </cell>
        </row>
        <row r="323">
          <cell r="A323" t="str">
            <v>760254801</v>
          </cell>
          <cell r="B323" t="str">
            <v>C-012-DS-8W-MSUBK/GY/C</v>
          </cell>
          <cell r="C323" t="str">
            <v>45289</v>
          </cell>
          <cell r="E323" t="str">
            <v>M</v>
          </cell>
          <cell r="F323" t="str">
            <v>0</v>
          </cell>
          <cell r="G323" t="str">
            <v>360 M = 01 DRUM
4020 M = 01 DRUM
4050 M = 01 DRUM
4040 M = 01 DRUM
2020 M = 01 DRUM
4040 M = 01 DRUM
4053 M = 01 DRUM
4082 M = 01 DRUM
4020 M = 01 DRUM
4052 M = 01 DRUM
4001 M = 01 DRUM
4070 M = 01 DRUM
4100 M = 01 DRUM
4100 M = 01 DRUM</v>
          </cell>
          <cell r="AA323" t="str">
            <v>COMMSCOPE STOCK</v>
          </cell>
        </row>
        <row r="324">
          <cell r="A324" t="str">
            <v>9-1594455-9</v>
          </cell>
          <cell r="B324" t="str">
            <v>C-024-DS-5K-MSUAQ/GY/C</v>
          </cell>
          <cell r="C324" t="str">
            <v>15371</v>
          </cell>
          <cell r="E324" t="str">
            <v>M</v>
          </cell>
          <cell r="F324" t="str">
            <v>288A,287A,286A</v>
          </cell>
          <cell r="G324" t="str">
            <v>4048 M = 1 DRUM
3133M = 1 DRUM
4099 M = 1 DRUM
4094 M = 1 DRUM</v>
          </cell>
          <cell r="AA324" t="str">
            <v>COMMSCOPE STOCK</v>
          </cell>
        </row>
        <row r="325">
          <cell r="A325" t="str">
            <v>760244992</v>
          </cell>
          <cell r="B325" t="str">
            <v>B-144-LN-8W-M 12NS/15G</v>
          </cell>
          <cell r="C325" t="str">
            <v>0</v>
          </cell>
          <cell r="E325" t="str">
            <v>M</v>
          </cell>
          <cell r="G325" t="str">
            <v>0 M = 1 Drum</v>
          </cell>
          <cell r="AA325" t="str">
            <v>COMMSCOPE STOCK</v>
          </cell>
        </row>
        <row r="326">
          <cell r="A326" t="str">
            <v>760244988</v>
          </cell>
          <cell r="B326" t="str">
            <v>B-048-LN-8W-M 12NS/1 5G</v>
          </cell>
          <cell r="C326" t="str">
            <v>798</v>
          </cell>
          <cell r="E326" t="str">
            <v>M</v>
          </cell>
          <cell r="F326" t="str">
            <v>302A,303A</v>
          </cell>
          <cell r="G326" t="str">
            <v>278 M = 1 DRUM
520 M = 1 DRUM</v>
          </cell>
          <cell r="AA326" t="str">
            <v>COMMSCOPE STOCK</v>
          </cell>
        </row>
        <row r="327">
          <cell r="A327" t="str">
            <v>FGS-KT03-CAI</v>
          </cell>
          <cell r="B327" t="str">
            <v xml:space="preserve">FGS-KT03-CA1 SINGLE FLEX TUBE :EXIT </v>
          </cell>
          <cell r="C327" t="str">
            <v>0</v>
          </cell>
          <cell r="E327" t="str">
            <v>PCS</v>
          </cell>
          <cell r="G327" t="str">
            <v>musa</v>
          </cell>
          <cell r="AA327" t="str">
            <v>COMMSCOPE STOCK</v>
          </cell>
        </row>
        <row r="328">
          <cell r="A328" t="str">
            <v>760256175</v>
          </cell>
          <cell r="B328" t="str">
            <v>HFTP-AM-LN00-E</v>
          </cell>
          <cell r="C328" t="str">
            <v>4</v>
          </cell>
          <cell r="E328" t="str">
            <v>PC</v>
          </cell>
          <cell r="F328" t="str">
            <v>304B,285B</v>
          </cell>
          <cell r="G328" t="str">
            <v>musa</v>
          </cell>
          <cell r="AA328" t="str">
            <v>COMMSCOPE STOCK</v>
          </cell>
        </row>
        <row r="329">
          <cell r="A329" t="str">
            <v>CK9475-000</v>
          </cell>
          <cell r="B329" t="str">
            <v>FIST-RSKG-1</v>
          </cell>
          <cell r="C329" t="str">
            <v>7</v>
          </cell>
          <cell r="E329" t="str">
            <v>PC</v>
          </cell>
          <cell r="G329" t="str">
            <v>musa</v>
          </cell>
          <cell r="AA329" t="str">
            <v>COMMSCOPE STOCK</v>
          </cell>
        </row>
        <row r="330">
          <cell r="A330" t="str">
            <v>760107326</v>
          </cell>
          <cell r="B330" t="str">
            <v>3091B BLU C6A 4/23 U/UTP W1000</v>
          </cell>
          <cell r="C330" t="str">
            <v>140000</v>
          </cell>
          <cell r="E330" t="str">
            <v>1000 FT = 1 Box</v>
          </cell>
          <cell r="F330" t="str">
            <v/>
          </cell>
          <cell r="G330" t="str">
            <v>musa</v>
          </cell>
          <cell r="AA330" t="str">
            <v>COMMSCOPE STOCK</v>
          </cell>
        </row>
        <row r="331">
          <cell r="A331" t="str">
            <v>760206047</v>
          </cell>
          <cell r="B331" t="str">
            <v>3091B SLT C6A 4/23 U/UTP R1000</v>
          </cell>
          <cell r="C331" t="str">
            <v>0</v>
          </cell>
          <cell r="E331" t="str">
            <v>PCS</v>
          </cell>
          <cell r="G331" t="str">
            <v>musa</v>
          </cell>
          <cell r="AA331" t="str">
            <v>COMMSCOPE STOCK</v>
          </cell>
        </row>
        <row r="332">
          <cell r="A332" t="str">
            <v>CPC3392-07F010</v>
          </cell>
          <cell r="B332" t="str">
            <v>GS8E-L-RD-10FT</v>
          </cell>
          <cell r="C332" t="str">
            <v>0</v>
          </cell>
          <cell r="E332" t="str">
            <v>PCS</v>
          </cell>
          <cell r="G332" t="str">
            <v>musa</v>
          </cell>
          <cell r="AA332" t="str">
            <v>COMMSCOPE STOCK</v>
          </cell>
        </row>
        <row r="333">
          <cell r="A333" t="str">
            <v>CPC3392-09F010</v>
          </cell>
          <cell r="B333" t="str">
            <v>GS8E-L-YL-10FT</v>
          </cell>
          <cell r="C333" t="str">
            <v>0</v>
          </cell>
          <cell r="E333" t="str">
            <v>PCS</v>
          </cell>
          <cell r="G333" t="str">
            <v>musa</v>
          </cell>
          <cell r="AA333" t="str">
            <v>COMMSCOPE STOCK</v>
          </cell>
        </row>
        <row r="334">
          <cell r="A334" t="str">
            <v>5-1933433-3</v>
          </cell>
          <cell r="B334" t="str">
            <v>KIT,8P,MP,.310 ,CAT6/6A,SHIELDED 100PC</v>
          </cell>
          <cell r="C334" t="str">
            <v>0</v>
          </cell>
          <cell r="E334" t="str">
            <v>PCS</v>
          </cell>
          <cell r="G334" t="str">
            <v>musa</v>
          </cell>
          <cell r="AA334" t="str">
            <v>COMMSCOPE STOCK</v>
          </cell>
        </row>
        <row r="335">
          <cell r="A335" t="str">
            <v>FFXLCLC42-MXF164</v>
          </cell>
          <cell r="B335" t="str">
            <v>JUMPER,LSZH,LS,1.6MM,DPLX,LC/LC,AQ,FT164</v>
          </cell>
          <cell r="C335" t="str">
            <v>0</v>
          </cell>
          <cell r="E335" t="str">
            <v>PCS</v>
          </cell>
          <cell r="G335" t="str">
            <v>musa</v>
          </cell>
          <cell r="AA335" t="str">
            <v>COMMSCOPE STOCK</v>
          </cell>
        </row>
        <row r="336">
          <cell r="A336" t="str">
            <v>FFXLCLC42-MXF328</v>
          </cell>
          <cell r="B336" t="str">
            <v>JUMPER,LSZH,LS,1.6mm,DPX,LC/LC, FT328</v>
          </cell>
          <cell r="C336" t="str">
            <v>0</v>
          </cell>
          <cell r="E336" t="str">
            <v>PCS</v>
          </cell>
          <cell r="G336" t="str">
            <v>musa</v>
          </cell>
          <cell r="AA336" t="str">
            <v>COMMSCOPE STOCK</v>
          </cell>
        </row>
        <row r="337">
          <cell r="A337" t="str">
            <v>FJXMPMPAD-MBF017</v>
          </cell>
          <cell r="B337" t="str">
            <v>FOA LS 550 MP(f)-MP(f) 12f IPD LSZH</v>
          </cell>
          <cell r="C337" t="str">
            <v>0</v>
          </cell>
          <cell r="E337" t="str">
            <v>PCS</v>
          </cell>
          <cell r="G337" t="str">
            <v>musa</v>
          </cell>
          <cell r="AA337" t="str">
            <v>COMMSCOPE STOCK</v>
          </cell>
        </row>
        <row r="338">
          <cell r="A338" t="str">
            <v>EM1613-001</v>
          </cell>
          <cell r="B338" t="str">
            <v>SCIL-B-TRAY-24A-KIT-S</v>
          </cell>
          <cell r="C338" t="str">
            <v>0</v>
          </cell>
          <cell r="E338" t="str">
            <v>PCS</v>
          </cell>
          <cell r="G338" t="str">
            <v>musa</v>
          </cell>
          <cell r="AA338" t="str">
            <v>COMMSCOPE STOCK</v>
          </cell>
        </row>
        <row r="339">
          <cell r="A339" t="str">
            <v>FJXMPMPAD-MBF050</v>
          </cell>
          <cell r="B339" t="str">
            <v>FOA LS 550 MP(f)-MP(f) 12f IPD LSZH</v>
          </cell>
          <cell r="C339" t="str">
            <v>0</v>
          </cell>
          <cell r="E339" t="str">
            <v>PCS</v>
          </cell>
          <cell r="G339" t="str">
            <v>musa</v>
          </cell>
          <cell r="AA339" t="str">
            <v>COMMSCOPE STOCK</v>
          </cell>
        </row>
        <row r="340">
          <cell r="A340" t="str">
            <v>FJXMPMPAD-MBF010</v>
          </cell>
          <cell r="B340" t="str">
            <v>FOA LS 550 MP(f)-MP(f) 12f IPD LSZH</v>
          </cell>
          <cell r="C340" t="str">
            <v>0</v>
          </cell>
          <cell r="E340" t="str">
            <v>PCS</v>
          </cell>
          <cell r="G340" t="str">
            <v>musa</v>
          </cell>
          <cell r="AA340" t="str">
            <v>COMMSCOPE STOCK</v>
          </cell>
        </row>
        <row r="341">
          <cell r="A341" t="str">
            <v>760201202</v>
          </cell>
          <cell r="B341" t="str">
            <v>360 iPatch FTP Evolve 48P Panel, Blank</v>
          </cell>
          <cell r="C341" t="str">
            <v>1</v>
          </cell>
          <cell r="E341" t="str">
            <v>PC</v>
          </cell>
          <cell r="F341" t="str">
            <v>288B</v>
          </cell>
          <cell r="G341" t="str">
            <v>musa</v>
          </cell>
          <cell r="AA341" t="str">
            <v>COMMSCOPE STOCK</v>
          </cell>
        </row>
        <row r="342">
          <cell r="A342" t="str">
            <v>108168543</v>
          </cell>
          <cell r="B342" t="str">
            <v>M14L-262 FACEPLATE KIT</v>
          </cell>
          <cell r="C342" t="str">
            <v>0</v>
          </cell>
          <cell r="E342" t="str">
            <v>PCS</v>
          </cell>
          <cell r="G342" t="str">
            <v>musa</v>
          </cell>
          <cell r="AA342" t="str">
            <v>COMMSCOPE STOCK</v>
          </cell>
        </row>
        <row r="343">
          <cell r="A343" t="str">
            <v>760244890</v>
          </cell>
          <cell r="B343" t="str">
            <v>O-024-LN-8W-M l 2NS/20G/HTS</v>
          </cell>
          <cell r="C343" t="str">
            <v>3076</v>
          </cell>
          <cell r="E343" t="str">
            <v>M</v>
          </cell>
          <cell r="F343" t="str">
            <v>272C,271C,303A,301A</v>
          </cell>
          <cell r="G343" t="str">
            <v>1067 M = 1 DRUM
2009 M = 1 DRUM</v>
          </cell>
          <cell r="AA343" t="str">
            <v>COMMSCOPE STOCK</v>
          </cell>
        </row>
        <row r="344">
          <cell r="A344" t="str">
            <v>760244889</v>
          </cell>
          <cell r="B344" t="str">
            <v>O-012-LN-8W-M12NS/20G/HTS</v>
          </cell>
          <cell r="C344" t="str">
            <v>701</v>
          </cell>
          <cell r="E344" t="str">
            <v>M</v>
          </cell>
          <cell r="F344" t="str">
            <v>288A,303B,304B,305B,306B,301A</v>
          </cell>
          <cell r="G344" t="str">
            <v>701 M = 1 DRUM</v>
          </cell>
          <cell r="AA344" t="str">
            <v>COMMSCOPE STOCK</v>
          </cell>
        </row>
        <row r="345">
          <cell r="A345" t="str">
            <v>760241058</v>
          </cell>
          <cell r="B345" t="str">
            <v>O-048-LN-8W-M12BK/20G</v>
          </cell>
          <cell r="C345" t="str">
            <v>367</v>
          </cell>
          <cell r="E345" t="str">
            <v>M</v>
          </cell>
          <cell r="F345" t="str">
            <v/>
          </cell>
          <cell r="G345" t="str">
            <v>367 M = 1 DRUM</v>
          </cell>
          <cell r="AA345" t="str">
            <v>COMMSCOPE STOCK</v>
          </cell>
        </row>
        <row r="346">
          <cell r="A346" t="str">
            <v>760241059</v>
          </cell>
          <cell r="B346" t="str">
            <v>O-072-LN-8W-M12BK/20G</v>
          </cell>
          <cell r="C346" t="str">
            <v>564</v>
          </cell>
          <cell r="E346" t="str">
            <v>M</v>
          </cell>
          <cell r="F346" t="str">
            <v>288A,303A</v>
          </cell>
          <cell r="G346" t="str">
            <v xml:space="preserve">
564 M = 1 DRUM</v>
          </cell>
          <cell r="AA346" t="str">
            <v>COMMSCOPE STOCK</v>
          </cell>
        </row>
        <row r="347">
          <cell r="A347" t="str">
            <v>760241060</v>
          </cell>
          <cell r="B347" t="str">
            <v>O-096-LN-8W-M12BK/20G</v>
          </cell>
          <cell r="C347" t="str">
            <v>0</v>
          </cell>
          <cell r="E347" t="str">
            <v>M</v>
          </cell>
          <cell r="G347" t="str">
            <v>musa</v>
          </cell>
          <cell r="AA347" t="str">
            <v>COMMSCOPE STOCK</v>
          </cell>
        </row>
        <row r="348">
          <cell r="A348" t="str">
            <v>FFXLCLC42-MXF066</v>
          </cell>
          <cell r="B348" t="str">
            <v>Commscope LC-LC MM OM4 66Feet 20Mtr</v>
          </cell>
          <cell r="C348" t="str">
            <v>0</v>
          </cell>
          <cell r="E348" t="str">
            <v>PC</v>
          </cell>
          <cell r="G348" t="str">
            <v>musa</v>
          </cell>
          <cell r="AA348" t="str">
            <v>COMMSCOPE STOCK</v>
          </cell>
        </row>
        <row r="349">
          <cell r="A349" t="str">
            <v>760193755</v>
          </cell>
          <cell r="B349" t="str">
            <v>360MP-1U-PANEL</v>
          </cell>
          <cell r="C349" t="str">
            <v>0</v>
          </cell>
          <cell r="E349" t="str">
            <v>PC</v>
          </cell>
          <cell r="G349" t="str">
            <v>musa</v>
          </cell>
          <cell r="AA349" t="str">
            <v>COMMSCOPE STOCK</v>
          </cell>
        </row>
        <row r="350">
          <cell r="A350" t="str">
            <v>FBWLCUC11-JXF005</v>
          </cell>
          <cell r="B350" t="str">
            <v>PIGTAIL,RISR,SBJ,TS,0.9MM,LC/UC,YL,FT005</v>
          </cell>
          <cell r="C350" t="str">
            <v>1500</v>
          </cell>
          <cell r="E350" t="str">
            <v>PC</v>
          </cell>
          <cell r="F350" t="str">
            <v xml:space="preserve"> New WH</v>
          </cell>
          <cell r="G350" t="str">
            <v>musa</v>
          </cell>
          <cell r="AA350" t="str">
            <v>COMMSCOPE STOCK</v>
          </cell>
        </row>
        <row r="351">
          <cell r="A351" t="str">
            <v>6-2111984-3</v>
          </cell>
          <cell r="B351" t="str">
            <v>MP-6AS-C-1:6A SHD 5.7-7.0, 100</v>
          </cell>
          <cell r="C351" t="str">
            <v>400</v>
          </cell>
          <cell r="E351" t="str">
            <v>PC</v>
          </cell>
          <cell r="F351" t="str">
            <v>296B</v>
          </cell>
          <cell r="G351" t="str">
            <v>musa</v>
          </cell>
          <cell r="AA351" t="str">
            <v>COMMSCOPE STOCK</v>
          </cell>
        </row>
        <row r="352">
          <cell r="A352" t="str">
            <v>760245495</v>
          </cell>
          <cell r="B352" t="str">
            <v>G2-SP-12LC</v>
          </cell>
          <cell r="C352" t="str">
            <v>0</v>
          </cell>
          <cell r="E352" t="str">
            <v>EA</v>
          </cell>
          <cell r="G352" t="str">
            <v>musa</v>
          </cell>
          <cell r="AA352" t="str">
            <v>COMMSCOPE STOCK</v>
          </cell>
        </row>
        <row r="353">
          <cell r="A353" t="str">
            <v>760172908</v>
          </cell>
          <cell r="B353" t="str">
            <v>HTK-19-SS-1U-SILVER</v>
          </cell>
          <cell r="C353" t="str">
            <v>0</v>
          </cell>
          <cell r="E353" t="str">
            <v>PC</v>
          </cell>
          <cell r="G353" t="str">
            <v>musa</v>
          </cell>
          <cell r="AA353" t="str">
            <v>COMMSCOPE STOCK</v>
          </cell>
        </row>
        <row r="354">
          <cell r="A354" t="str">
            <v>FFWLCLC42-JXF005</v>
          </cell>
          <cell r="B354" t="str">
            <v>JUMPER,LSZH,TS,1.6MM,DPLX,LC/LC,YL,FT005</v>
          </cell>
          <cell r="C354" t="str">
            <v>0</v>
          </cell>
          <cell r="E354" t="str">
            <v>PC</v>
          </cell>
          <cell r="G354" t="str">
            <v>musa</v>
          </cell>
          <cell r="AA354" t="str">
            <v>COMMSCOPE STOCK</v>
          </cell>
        </row>
        <row r="355">
          <cell r="A355" t="str">
            <v>760172288</v>
          </cell>
          <cell r="B355" t="str">
            <v>WBE-EMT-BK-1P-PNL</v>
          </cell>
          <cell r="C355" t="str">
            <v>0</v>
          </cell>
          <cell r="E355" t="str">
            <v>PC</v>
          </cell>
          <cell r="G355" t="str">
            <v>musa</v>
          </cell>
          <cell r="AA355" t="str">
            <v>COMMSCOPE STOCK</v>
          </cell>
        </row>
        <row r="356">
          <cell r="A356" t="str">
            <v>884016558/16</v>
          </cell>
          <cell r="B356" t="str">
            <v>CS54ZC WHT C7 4/23 F/FTP RL 500M</v>
          </cell>
          <cell r="C356" t="str">
            <v>0</v>
          </cell>
          <cell r="E356" t="str">
            <v>Roll 500 M</v>
          </cell>
          <cell r="G356" t="str">
            <v>musa</v>
          </cell>
          <cell r="AA356" t="str">
            <v>COMMSCOPE STOCK</v>
          </cell>
        </row>
        <row r="357">
          <cell r="A357" t="str">
            <v>760207282</v>
          </cell>
          <cell r="B357" t="str">
            <v>Discrete Distribution Module Panel, M-se</v>
          </cell>
          <cell r="C357" t="str">
            <v>0</v>
          </cell>
          <cell r="E357" t="str">
            <v>PC</v>
          </cell>
          <cell r="G357" t="str">
            <v>musa</v>
          </cell>
          <cell r="AA357" t="str">
            <v>COMMSCOPE STOCK</v>
          </cell>
        </row>
        <row r="358">
          <cell r="A358" t="str">
            <v>CPC3392-03F001</v>
          </cell>
          <cell r="B358" t="str">
            <v>GS8E-L-DG-1FT</v>
          </cell>
          <cell r="C358" t="str">
            <v>0</v>
          </cell>
          <cell r="E358" t="str">
            <v>PC</v>
          </cell>
          <cell r="G358" t="str">
            <v>musa</v>
          </cell>
          <cell r="AA358" t="str">
            <v>COMMSCOPE STOCK</v>
          </cell>
        </row>
        <row r="359">
          <cell r="A359" t="str">
            <v>760200451</v>
          </cell>
          <cell r="B359" t="str">
            <v>M12CFS Modular Shuttered Faceplate, two</v>
          </cell>
          <cell r="C359" t="str">
            <v>0</v>
          </cell>
          <cell r="E359" t="str">
            <v>PC</v>
          </cell>
          <cell r="G359" t="str">
            <v>musa</v>
          </cell>
          <cell r="AA359" t="str">
            <v>COMMSCOPE STOCK</v>
          </cell>
        </row>
        <row r="360">
          <cell r="A360" t="str">
            <v>760187187</v>
          </cell>
          <cell r="B360" t="str">
            <v>360 Evolve 1U 24 Port ModularPanel</v>
          </cell>
          <cell r="C360" t="str">
            <v>0</v>
          </cell>
          <cell r="E360" t="str">
            <v>PC</v>
          </cell>
          <cell r="G360" t="str">
            <v>musa</v>
          </cell>
          <cell r="AA360" t="str">
            <v>COMMSCOPE STOCK</v>
          </cell>
        </row>
        <row r="361">
          <cell r="A361" t="str">
            <v>6-2843007-1</v>
          </cell>
          <cell r="B361" t="str">
            <v>MP-6AU-PLUG-A-1: PLUGW/LB 0.99, 100 BAG</v>
          </cell>
          <cell r="C361" t="str">
            <v>0</v>
          </cell>
          <cell r="E361" t="str">
            <v>PC</v>
          </cell>
          <cell r="G361" t="str">
            <v>musa</v>
          </cell>
          <cell r="AA361" t="str">
            <v>COMMSCOPE STOCK</v>
          </cell>
        </row>
        <row r="362">
          <cell r="A362" t="str">
            <v>760172882</v>
          </cell>
          <cell r="B362" t="str">
            <v>1 RU Patchcord Management, silver</v>
          </cell>
          <cell r="C362" t="str">
            <v>292</v>
          </cell>
          <cell r="E362" t="str">
            <v>PC</v>
          </cell>
          <cell r="F362" t="str">
            <v>267A,285A New WH</v>
          </cell>
          <cell r="G362" t="str">
            <v>musa</v>
          </cell>
          <cell r="AA362" t="str">
            <v>COMMSCOPE STOCK</v>
          </cell>
        </row>
        <row r="363">
          <cell r="A363" t="str">
            <v>760242982</v>
          </cell>
          <cell r="B363" t="str">
            <v>360DPiP-24LCA-SM</v>
          </cell>
          <cell r="C363" t="str">
            <v>0</v>
          </cell>
          <cell r="E363" t="str">
            <v>PC</v>
          </cell>
          <cell r="F363" t="str">
            <v xml:space="preserve"> New WH</v>
          </cell>
          <cell r="G363" t="str">
            <v>musa</v>
          </cell>
          <cell r="AA363" t="str">
            <v>COMMSCOPE STOCK</v>
          </cell>
        </row>
        <row r="364">
          <cell r="A364" t="str">
            <v>FFXLCLC42-MXF188</v>
          </cell>
          <cell r="B364" t="str">
            <v>JUMPER,LSZH,LS,1.6MM,DPLX,LC-STD/LC-STD</v>
          </cell>
          <cell r="C364" t="str">
            <v>0</v>
          </cell>
          <cell r="E364" t="str">
            <v>PC</v>
          </cell>
          <cell r="G364" t="str">
            <v>musa</v>
          </cell>
          <cell r="AA364" t="str">
            <v>COMMSCOPE STOCK</v>
          </cell>
        </row>
        <row r="365">
          <cell r="A365" t="str">
            <v>FFWLCLC42-JXF328</v>
          </cell>
          <cell r="B365" t="str">
            <v>JUMPER,LSZH,TS,1.6MM,DPLX,LC/LC,YL,FT328</v>
          </cell>
          <cell r="C365" t="str">
            <v>0</v>
          </cell>
          <cell r="E365" t="str">
            <v>PC</v>
          </cell>
          <cell r="G365" t="str">
            <v>musa</v>
          </cell>
          <cell r="AA365" t="str">
            <v>COMMSCOPE STOCK</v>
          </cell>
        </row>
        <row r="366">
          <cell r="A366" t="str">
            <v>CS1927-000</v>
          </cell>
          <cell r="B366" t="str">
            <v>FOSC-OSKG</v>
          </cell>
          <cell r="C366" t="str">
            <v>0</v>
          </cell>
          <cell r="E366" t="str">
            <v>PC</v>
          </cell>
          <cell r="F366" t="str">
            <v xml:space="preserve"> New WH</v>
          </cell>
          <cell r="G366" t="str">
            <v>musa</v>
          </cell>
          <cell r="AA366" t="str">
            <v>COMMSCOPE STOCK</v>
          </cell>
        </row>
        <row r="367">
          <cell r="A367" t="str">
            <v>FFWLCLC42-JXF188</v>
          </cell>
          <cell r="B367" t="str">
            <v>JUMPER,LSZH,TS,1.6MM,DPLX,LC-STD/LC-STD</v>
          </cell>
          <cell r="C367" t="str">
            <v>0</v>
          </cell>
          <cell r="E367" t="str">
            <v>PC</v>
          </cell>
          <cell r="G367" t="str">
            <v>musa</v>
          </cell>
          <cell r="AA367" t="str">
            <v>COMMSCOPE STOCK</v>
          </cell>
        </row>
        <row r="368">
          <cell r="A368" t="str">
            <v>760239822</v>
          </cell>
          <cell r="B368" t="str">
            <v>WBE-1P-DIN-KIT: ACCESSORY, MTG BRKT</v>
          </cell>
          <cell r="C368" t="str">
            <v>0</v>
          </cell>
          <cell r="E368" t="str">
            <v>PC</v>
          </cell>
          <cell r="G368" t="str">
            <v>musa</v>
          </cell>
          <cell r="AA368" t="str">
            <v>COMMSCOPE STOCK</v>
          </cell>
        </row>
        <row r="369">
          <cell r="A369" t="str">
            <v>760148254</v>
          </cell>
          <cell r="B369" t="str">
            <v>PNL-BK-012-SFA-LC12-BL</v>
          </cell>
          <cell r="C369" t="str">
            <v>0</v>
          </cell>
          <cell r="E369" t="str">
            <v>PC</v>
          </cell>
          <cell r="G369" t="str">
            <v>musa</v>
          </cell>
          <cell r="AA369" t="str">
            <v>COMMSCOPE STOCK</v>
          </cell>
        </row>
        <row r="370">
          <cell r="A370" t="str">
            <v>760070276</v>
          </cell>
          <cell r="B370" t="str">
            <v>TeraSPEED® Indoor/Outdoor Low Smoke Zero</v>
          </cell>
          <cell r="C370" t="str">
            <v>0</v>
          </cell>
          <cell r="E370" t="str">
            <v>PC</v>
          </cell>
          <cell r="G370" t="str">
            <v>musa</v>
          </cell>
          <cell r="AA370" t="str">
            <v>COMMSCOPE STOCK</v>
          </cell>
        </row>
        <row r="371">
          <cell r="A371" t="str">
            <v>760192260</v>
          </cell>
          <cell r="B371" t="str">
            <v>N-008-DS-5K-FSUAQ/D</v>
          </cell>
          <cell r="C371" t="str">
            <v>0</v>
          </cell>
          <cell r="E371" t="str">
            <v>PC</v>
          </cell>
          <cell r="G371" t="str">
            <v>musa</v>
          </cell>
          <cell r="AA371" t="str">
            <v>COMMSCOPE STOCK</v>
          </cell>
        </row>
        <row r="372">
          <cell r="A372" t="str">
            <v>760109256</v>
          </cell>
          <cell r="B372" t="str">
            <v>360G2 Cartridge 12-LC-LS-AQ</v>
          </cell>
          <cell r="C372" t="str">
            <v>11</v>
          </cell>
          <cell r="E372" t="str">
            <v>PC</v>
          </cell>
          <cell r="F372" t="str">
            <v>285B,299B</v>
          </cell>
          <cell r="G372" t="str">
            <v>musa</v>
          </cell>
          <cell r="AA372" t="str">
            <v>COMMSCOPE STOCK</v>
          </cell>
        </row>
        <row r="373">
          <cell r="A373" t="str">
            <v>FBXLCUC11-MXF005</v>
          </cell>
          <cell r="B373" t="str">
            <v>PIGTAIL,RISR,SBJ,LS,0.9MM,LC/UC,AQ,FT005</v>
          </cell>
          <cell r="C373" t="str">
            <v>0</v>
          </cell>
          <cell r="E373" t="str">
            <v>PC</v>
          </cell>
          <cell r="G373" t="str">
            <v>musa</v>
          </cell>
          <cell r="AA373" t="str">
            <v>COMMSCOPE STOCK</v>
          </cell>
        </row>
        <row r="374">
          <cell r="A374" t="str">
            <v>760092379</v>
          </cell>
          <cell r="B374" t="str">
            <v>MGS600 OUTLET-ORANGE</v>
          </cell>
          <cell r="C374" t="str">
            <v>15</v>
          </cell>
          <cell r="E374" t="str">
            <v>PC</v>
          </cell>
          <cell r="F374" t="str">
            <v>294B</v>
          </cell>
          <cell r="G374" t="str">
            <v>musa</v>
          </cell>
          <cell r="AA374" t="str">
            <v>COMMSCOPE STOCK</v>
          </cell>
        </row>
        <row r="375">
          <cell r="A375" t="str">
            <v>760246246</v>
          </cell>
          <cell r="B375" t="str">
            <v>G2iP-SP-12LC</v>
          </cell>
          <cell r="C375" t="str">
            <v>0</v>
          </cell>
          <cell r="E375" t="str">
            <v>PC</v>
          </cell>
          <cell r="G375" t="str">
            <v>musa</v>
          </cell>
          <cell r="AA375" t="str">
            <v>COMMSCOPE STOCK</v>
          </cell>
        </row>
        <row r="376">
          <cell r="A376" t="str">
            <v>CPCSSZ2-0ZF017</v>
          </cell>
          <cell r="B376" t="str">
            <v>360GS10E-L-BL-17FT</v>
          </cell>
          <cell r="C376" t="str">
            <v>0</v>
          </cell>
          <cell r="E376" t="str">
            <v>PC</v>
          </cell>
          <cell r="G376" t="str">
            <v>musa</v>
          </cell>
          <cell r="AA376" t="str">
            <v>COMMSCOPE STOCK</v>
          </cell>
        </row>
        <row r="377">
          <cell r="A377" t="str">
            <v>CPCSSZ2-0ZC050</v>
          </cell>
          <cell r="B377" t="str">
            <v>360GS10E-L-BL-50CM</v>
          </cell>
          <cell r="C377" t="str">
            <v>0</v>
          </cell>
          <cell r="E377" t="str">
            <v>PC</v>
          </cell>
          <cell r="G377" t="str">
            <v>musa</v>
          </cell>
          <cell r="AA377" t="str">
            <v>COMMSCOPE STOCK</v>
          </cell>
        </row>
        <row r="378">
          <cell r="A378" t="str">
            <v>1933943-2</v>
          </cell>
          <cell r="B378" t="str">
            <v>BOOT ,HOODED, 0.310 GRAY</v>
          </cell>
          <cell r="C378" t="str">
            <v>0</v>
          </cell>
          <cell r="E378" t="str">
            <v>PC</v>
          </cell>
          <cell r="G378" t="str">
            <v>musa</v>
          </cell>
          <cell r="AA378" t="str">
            <v>COMMSCOPE STOCK</v>
          </cell>
        </row>
        <row r="379">
          <cell r="A379" t="str">
            <v>760249554</v>
          </cell>
          <cell r="B379" t="str">
            <v>FIELD TERM RJ45 MP C6A LARGE WIRE 100PK</v>
          </cell>
          <cell r="C379" t="str">
            <v>0</v>
          </cell>
          <cell r="E379" t="str">
            <v>PC</v>
          </cell>
          <cell r="G379" t="str">
            <v>musa</v>
          </cell>
          <cell r="AA379" t="str">
            <v>COMMSCOPE STOCK</v>
          </cell>
        </row>
        <row r="380">
          <cell r="A380" t="str">
            <v>845110-000</v>
          </cell>
          <cell r="B380" t="str">
            <v>FIST-GCO2-BC6-GV</v>
          </cell>
          <cell r="C380" t="str">
            <v>0</v>
          </cell>
          <cell r="E380" t="str">
            <v>PC</v>
          </cell>
          <cell r="G380" t="str">
            <v>musa</v>
          </cell>
          <cell r="AA380" t="str">
            <v>COMMSCOPE STOCK</v>
          </cell>
        </row>
        <row r="381">
          <cell r="A381" t="str">
            <v>760072959</v>
          </cell>
          <cell r="B381" t="str">
            <v>Horizontal Trough Kit, 2 RU, 19 in, sing</v>
          </cell>
          <cell r="C381" t="str">
            <v>0</v>
          </cell>
          <cell r="E381" t="str">
            <v>PC</v>
          </cell>
          <cell r="G381" t="str">
            <v>musa</v>
          </cell>
          <cell r="AA381" t="str">
            <v>COMMSCOPE STOCK</v>
          </cell>
        </row>
        <row r="382">
          <cell r="A382" t="str">
            <v>CV6797-000</v>
          </cell>
          <cell r="B382" t="str">
            <v>TENIO-SKG3-7/10</v>
          </cell>
          <cell r="C382" t="str">
            <v>0</v>
          </cell>
          <cell r="E382" t="str">
            <v>PC</v>
          </cell>
          <cell r="F382" t="str">
            <v>285A</v>
          </cell>
          <cell r="G382" t="str">
            <v>musa</v>
          </cell>
          <cell r="AA382" t="str">
            <v>COMMSCOPE STOCK</v>
          </cell>
        </row>
        <row r="383">
          <cell r="A383" t="str">
            <v>CK9322-000</v>
          </cell>
          <cell r="B383" t="str">
            <v>FOSC-RSKG-2</v>
          </cell>
          <cell r="C383" t="str">
            <v>2</v>
          </cell>
          <cell r="E383" t="str">
            <v>PC</v>
          </cell>
          <cell r="F383" t="str">
            <v>289B</v>
          </cell>
          <cell r="G383" t="str">
            <v>musa</v>
          </cell>
          <cell r="AA383" t="str">
            <v>COMMSCOPE STOCK</v>
          </cell>
        </row>
        <row r="384">
          <cell r="A384" t="str">
            <v>CK9476-000</v>
          </cell>
          <cell r="B384" t="str">
            <v>FIST-RSKG-2</v>
          </cell>
          <cell r="C384" t="str">
            <v>0</v>
          </cell>
          <cell r="E384" t="str">
            <v>PC</v>
          </cell>
          <cell r="G384" t="str">
            <v>musa</v>
          </cell>
          <cell r="AA384" t="str">
            <v>COMMSCOPE STOCK</v>
          </cell>
        </row>
        <row r="385">
          <cell r="A385" t="str">
            <v>100438-000</v>
          </cell>
          <cell r="B385" t="str">
            <v>FIST-UNI-MOUNT-W</v>
          </cell>
          <cell r="C385" t="str">
            <v>0</v>
          </cell>
          <cell r="E385" t="str">
            <v>PC</v>
          </cell>
          <cell r="F385" t="str">
            <v xml:space="preserve"> New WH</v>
          </cell>
          <cell r="G385" t="str">
            <v>musa</v>
          </cell>
          <cell r="AA385" t="str">
            <v>COMMSCOPE STOCK</v>
          </cell>
        </row>
        <row r="386">
          <cell r="A386" t="str">
            <v>CK9321-000</v>
          </cell>
          <cell r="B386" t="str">
            <v>FOSC-RSKG-1</v>
          </cell>
          <cell r="C386" t="str">
            <v>0</v>
          </cell>
          <cell r="E386" t="str">
            <v>PC</v>
          </cell>
          <cell r="F386" t="str">
            <v xml:space="preserve"> New WH</v>
          </cell>
          <cell r="G386" t="str">
            <v>musa</v>
          </cell>
          <cell r="AA386" t="str">
            <v>COMMSCOPE STOCK</v>
          </cell>
        </row>
        <row r="387">
          <cell r="A387" t="str">
            <v>FFXLCLC42-MXF085</v>
          </cell>
          <cell r="B387" t="str">
            <v>JUMPER,LSZH,LS,1.6MM,DPLX,LC/LC,AQ,FT085</v>
          </cell>
          <cell r="C387" t="str">
            <v>0</v>
          </cell>
          <cell r="E387" t="str">
            <v>PC</v>
          </cell>
          <cell r="G387" t="str">
            <v>musa</v>
          </cell>
          <cell r="AA387" t="str">
            <v>COMMSCOPE STOCK</v>
          </cell>
        </row>
        <row r="388">
          <cell r="A388" t="str">
            <v>032054-000</v>
          </cell>
          <cell r="B388" t="str">
            <v>FOSC-A-TRAY-S24-1</v>
          </cell>
          <cell r="C388" t="str">
            <v>0</v>
          </cell>
          <cell r="E388" t="str">
            <v>PC</v>
          </cell>
          <cell r="G388" t="str">
            <v>musa</v>
          </cell>
          <cell r="AA388" t="str">
            <v>COMMSCOPE STOCK</v>
          </cell>
        </row>
        <row r="389">
          <cell r="A389" t="str">
            <v>CV6800-000</v>
          </cell>
          <cell r="B389" t="str">
            <v>TENIO-B6-S12-12-V</v>
          </cell>
          <cell r="C389" t="str">
            <v>0</v>
          </cell>
          <cell r="E389" t="str">
            <v>PC</v>
          </cell>
          <cell r="G389" t="str">
            <v>musa</v>
          </cell>
          <cell r="AA389" t="str">
            <v>COMMSCOPE STOCK</v>
          </cell>
        </row>
        <row r="390">
          <cell r="A390" t="str">
            <v>760227306</v>
          </cell>
          <cell r="B390" t="str">
            <v>UD-2U SLIDING SHELF</v>
          </cell>
          <cell r="C390" t="str">
            <v>0</v>
          </cell>
          <cell r="E390" t="str">
            <v>PC</v>
          </cell>
          <cell r="G390" t="str">
            <v>musa</v>
          </cell>
          <cell r="AA390" t="str">
            <v>COMMSCOPE STOCK</v>
          </cell>
        </row>
        <row r="391">
          <cell r="A391" t="str">
            <v>CS6464-000</v>
          </cell>
          <cell r="B391" t="str">
            <v>FOSC-400BG-NT-0-NV</v>
          </cell>
          <cell r="C391" t="str">
            <v>0</v>
          </cell>
          <cell r="E391" t="str">
            <v>PC</v>
          </cell>
          <cell r="F391" t="str">
            <v xml:space="preserve"> New WH</v>
          </cell>
          <cell r="G391" t="str">
            <v>musa</v>
          </cell>
          <cell r="AA391" t="str">
            <v>COMMSCOPE STOCK</v>
          </cell>
        </row>
        <row r="392">
          <cell r="A392" t="str">
            <v>760237876</v>
          </cell>
          <cell r="B392" t="str">
            <v>imVision Controller X</v>
          </cell>
          <cell r="C392" t="str">
            <v>0</v>
          </cell>
          <cell r="E392" t="str">
            <v>PC</v>
          </cell>
          <cell r="G392" t="str">
            <v>musa</v>
          </cell>
          <cell r="AA392" t="str">
            <v>COMMSCOPE STOCK</v>
          </cell>
        </row>
        <row r="393">
          <cell r="A393" t="str">
            <v>760242971</v>
          </cell>
          <cell r="B393" t="str">
            <v>360DMiP-24LC-LS</v>
          </cell>
          <cell r="C393" t="str">
            <v>196</v>
          </cell>
          <cell r="E393" t="str">
            <v>PC</v>
          </cell>
          <cell r="F393" t="str">
            <v>278A,298A</v>
          </cell>
          <cell r="G393" t="str">
            <v>musa</v>
          </cell>
          <cell r="AA393" t="str">
            <v>COMMSCOPE STOCK</v>
          </cell>
        </row>
        <row r="394">
          <cell r="A394" t="str">
            <v>FJWMPMPAF-JBF080</v>
          </cell>
          <cell r="B394" t="str">
            <v>FOA TS MP(F)-MP(F) 24F IPD LSZH FT080</v>
          </cell>
          <cell r="C394" t="str">
            <v>3</v>
          </cell>
          <cell r="E394" t="str">
            <v>PC</v>
          </cell>
          <cell r="F394" t="str">
            <v>291B</v>
          </cell>
          <cell r="G394" t="str">
            <v>musa</v>
          </cell>
          <cell r="AA394" t="str">
            <v>COMMSCOPE STOCK</v>
          </cell>
        </row>
        <row r="395">
          <cell r="A395" t="str">
            <v>FJWMPMPAF-JBF120</v>
          </cell>
          <cell r="B395" t="str">
            <v>FOA TS MP(f)-MP(f) 24f IPD LSZH 120FT</v>
          </cell>
          <cell r="C395" t="str">
            <v>1</v>
          </cell>
          <cell r="E395" t="str">
            <v>PC</v>
          </cell>
          <cell r="F395" t="str">
            <v>285A</v>
          </cell>
          <cell r="G395" t="str">
            <v>musa</v>
          </cell>
          <cell r="AA395" t="str">
            <v>COMMSCOPE STOCK</v>
          </cell>
        </row>
        <row r="396">
          <cell r="A396" t="str">
            <v>FJXMPMPAF-MBF090</v>
          </cell>
          <cell r="B396" t="str">
            <v>FOA LS550 MP(F)-MP(F) 24F LSZH FT090</v>
          </cell>
          <cell r="C396" t="str">
            <v>0</v>
          </cell>
          <cell r="E396" t="str">
            <v>PC</v>
          </cell>
          <cell r="G396" t="str">
            <v>musa</v>
          </cell>
          <cell r="AA396" t="str">
            <v>COMMSCOPE STOCK</v>
          </cell>
        </row>
        <row r="397">
          <cell r="A397" t="str">
            <v>FJXMPMPAF-MBF100</v>
          </cell>
          <cell r="B397" t="str">
            <v>FOA LS550 MP(f)-MP(f) 24f IPDLSZH, FT100</v>
          </cell>
          <cell r="C397" t="str">
            <v>0</v>
          </cell>
          <cell r="E397" t="str">
            <v>PC</v>
          </cell>
          <cell r="G397" t="str">
            <v>musa</v>
          </cell>
          <cell r="AA397" t="str">
            <v>COMMSCOPE STOCK</v>
          </cell>
        </row>
        <row r="398">
          <cell r="A398" t="str">
            <v>760155739</v>
          </cell>
          <cell r="B398" t="str">
            <v>360-E-KIT-1U</v>
          </cell>
          <cell r="C398" t="str">
            <v>44</v>
          </cell>
          <cell r="E398" t="str">
            <v>PC</v>
          </cell>
          <cell r="F398" t="str">
            <v>269B,296B</v>
          </cell>
          <cell r="G398" t="str">
            <v>musa</v>
          </cell>
          <cell r="AA398" t="str">
            <v>COMMSCOPE STOCK</v>
          </cell>
        </row>
        <row r="399">
          <cell r="A399" t="str">
            <v>760158592</v>
          </cell>
          <cell r="B399" t="str">
            <v>Overhead 4U Rack with VCM</v>
          </cell>
          <cell r="C399" t="str">
            <v>4</v>
          </cell>
          <cell r="E399" t="str">
            <v>PC</v>
          </cell>
          <cell r="F399" t="str">
            <v>282B,287A</v>
          </cell>
          <cell r="G399" t="str">
            <v>musa</v>
          </cell>
          <cell r="AA399" t="str">
            <v>COMMSCOPE STOCK</v>
          </cell>
        </row>
        <row r="400">
          <cell r="A400" t="str">
            <v>CCRRB-11HA0ZF025</v>
          </cell>
          <cell r="B400" t="str">
            <v>IP6A-06LUTP-1100E-1100E</v>
          </cell>
          <cell r="C400" t="str">
            <v>6</v>
          </cell>
          <cell r="E400" t="str">
            <v>PC</v>
          </cell>
          <cell r="F400" t="str">
            <v>282A,298A</v>
          </cell>
          <cell r="G400" t="str">
            <v>musa</v>
          </cell>
          <cell r="AA400" t="str">
            <v>COMMSCOPE STOCK</v>
          </cell>
        </row>
        <row r="401">
          <cell r="A401" t="str">
            <v>CCRRB-11HA0ZF035</v>
          </cell>
          <cell r="B401" t="str">
            <v>IP6A-06LUTP-1100E-1100E</v>
          </cell>
          <cell r="C401" t="str">
            <v>6</v>
          </cell>
          <cell r="E401" t="str">
            <v>PC</v>
          </cell>
          <cell r="F401" t="str">
            <v>285A</v>
          </cell>
          <cell r="G401" t="str">
            <v>musa</v>
          </cell>
          <cell r="AA401" t="str">
            <v>COMMSCOPE STOCK</v>
          </cell>
        </row>
        <row r="402">
          <cell r="A402" t="str">
            <v>CPCSSZ2-03F005</v>
          </cell>
          <cell r="B402" t="str">
            <v>360GS10E-L Modular Patch Cord</v>
          </cell>
          <cell r="C402" t="str">
            <v>225</v>
          </cell>
          <cell r="E402" t="str">
            <v>PC</v>
          </cell>
          <cell r="F402" t="str">
            <v>285B</v>
          </cell>
          <cell r="G402" t="str">
            <v>musa</v>
          </cell>
          <cell r="AA402" t="str">
            <v>COMMSCOPE STOCK</v>
          </cell>
        </row>
        <row r="403">
          <cell r="A403" t="str">
            <v>FFXLCLC42-MXF004</v>
          </cell>
          <cell r="B403" t="str">
            <v>JUMPER,LSZH,LS,1.6MM,DPLX,LC/LC,AQ,FT004</v>
          </cell>
          <cell r="C403" t="str">
            <v>0</v>
          </cell>
          <cell r="E403" t="str">
            <v>PC</v>
          </cell>
          <cell r="G403" t="str">
            <v>musa</v>
          </cell>
          <cell r="AA403" t="str">
            <v>COMMSCOPE STOCK</v>
          </cell>
        </row>
        <row r="404">
          <cell r="A404" t="str">
            <v>FJXMPMPAF-MBF020</v>
          </cell>
          <cell r="B404" t="str">
            <v>FOA LS550 MP(F)-MP(F) 24F LSZH FT020</v>
          </cell>
          <cell r="C404" t="str">
            <v>18</v>
          </cell>
          <cell r="E404" t="str">
            <v>PC</v>
          </cell>
          <cell r="F404" t="str">
            <v>285A</v>
          </cell>
          <cell r="G404" t="str">
            <v>musa</v>
          </cell>
          <cell r="AA404" t="str">
            <v>COMMSCOPE STOCK</v>
          </cell>
        </row>
        <row r="405">
          <cell r="A405" t="str">
            <v>FJXMPMPAF-MBF025</v>
          </cell>
          <cell r="B405" t="str">
            <v>FOA LS550 MP(F)-MP(F) 24F LSZH FT025</v>
          </cell>
          <cell r="C405" t="str">
            <v>22</v>
          </cell>
          <cell r="E405" t="str">
            <v>PC</v>
          </cell>
          <cell r="F405" t="str">
            <v>306B</v>
          </cell>
          <cell r="G405" t="str">
            <v>musa</v>
          </cell>
          <cell r="AA405" t="str">
            <v>COMMSCOPE STOCK</v>
          </cell>
        </row>
        <row r="406">
          <cell r="A406" t="str">
            <v>FJXMPMPAF-MBF030</v>
          </cell>
          <cell r="B406" t="str">
            <v>FOA LS550 MP(F)-MP(F) 24F LSZH FT030</v>
          </cell>
          <cell r="C406" t="str">
            <v>4</v>
          </cell>
          <cell r="E406" t="str">
            <v>PC</v>
          </cell>
          <cell r="F406" t="str">
            <v>304B,305A</v>
          </cell>
          <cell r="G406" t="str">
            <v>musa</v>
          </cell>
          <cell r="AA406" t="str">
            <v>COMMSCOPE STOCK</v>
          </cell>
        </row>
        <row r="407">
          <cell r="A407" t="str">
            <v>FJXMPMPAF-MBF040</v>
          </cell>
          <cell r="B407" t="str">
            <v>FOA LS550 MP(F)-MP(F) 24F LSZH FT040</v>
          </cell>
          <cell r="C407" t="str">
            <v>0</v>
          </cell>
          <cell r="E407" t="str">
            <v>PC</v>
          </cell>
          <cell r="G407" t="str">
            <v>musa</v>
          </cell>
          <cell r="AA407" t="str">
            <v>COMMSCOPE STOCK</v>
          </cell>
        </row>
        <row r="408">
          <cell r="A408" t="str">
            <v>760249049</v>
          </cell>
          <cell r="B408" t="str">
            <v>G2iP-SP-24LC</v>
          </cell>
          <cell r="C408" t="str">
            <v>0</v>
          </cell>
          <cell r="E408" t="str">
            <v>PC</v>
          </cell>
          <cell r="F408" t="str">
            <v xml:space="preserve"> New WH</v>
          </cell>
          <cell r="G408" t="str">
            <v>musa</v>
          </cell>
          <cell r="AA408" t="str">
            <v>COMMSCOPE STOCK</v>
          </cell>
        </row>
        <row r="409">
          <cell r="A409" t="str">
            <v>760242979</v>
          </cell>
          <cell r="B409" t="str">
            <v>360DPiP-24LC-LS</v>
          </cell>
          <cell r="C409" t="str">
            <v>0</v>
          </cell>
          <cell r="E409" t="str">
            <v>PC</v>
          </cell>
          <cell r="G409" t="str">
            <v>musa</v>
          </cell>
          <cell r="AA409" t="str">
            <v>COMMSCOPE STOCK</v>
          </cell>
        </row>
        <row r="410">
          <cell r="A410" t="str">
            <v>FBXLCUC11-MXF003</v>
          </cell>
          <cell r="B410" t="str">
            <v>PIGTAIL,RISR,SBJ,LS,0.9MM,LC/ UC,AQ,FT003</v>
          </cell>
          <cell r="C410" t="str">
            <v>0</v>
          </cell>
          <cell r="E410" t="str">
            <v>PC</v>
          </cell>
          <cell r="G410" t="str">
            <v>musa</v>
          </cell>
          <cell r="AA410" t="str">
            <v>COMMSCOPE STOCK</v>
          </cell>
        </row>
        <row r="411">
          <cell r="A411" t="str">
            <v>FFXLCLC42-MXM002</v>
          </cell>
          <cell r="B411" t="str">
            <v>JUMPER,LSZH,LS,1.6MM,DPLX,LC/ LC,AQ,MT002</v>
          </cell>
          <cell r="C411" t="str">
            <v>0</v>
          </cell>
          <cell r="E411" t="str">
            <v>PC</v>
          </cell>
          <cell r="G411" t="str">
            <v>musa</v>
          </cell>
          <cell r="AA411" t="str">
            <v>COMMSCOPE STOCK</v>
          </cell>
        </row>
        <row r="412">
          <cell r="A412" t="str">
            <v>FFWLCLC42-JXM002</v>
          </cell>
          <cell r="B412" t="str">
            <v>JUMPER,LSZH,TS,1.6MM,DPLX,LC/ LC,YL,MT002</v>
          </cell>
          <cell r="C412" t="str">
            <v>0</v>
          </cell>
          <cell r="E412" t="str">
            <v>PC</v>
          </cell>
          <cell r="G412" t="str">
            <v>musa</v>
          </cell>
          <cell r="AA412" t="str">
            <v>COMMSCOPE STOCK</v>
          </cell>
        </row>
        <row r="413">
          <cell r="A413" t="str">
            <v>921013-000</v>
          </cell>
          <cell r="B413" t="str">
            <v>FOSC-A/B-UNI-MOUNT-P</v>
          </cell>
          <cell r="C413" t="str">
            <v>0</v>
          </cell>
          <cell r="E413" t="str">
            <v>PC</v>
          </cell>
          <cell r="F413" t="str">
            <v xml:space="preserve"> New WH</v>
          </cell>
          <cell r="G413" t="str">
            <v>musa</v>
          </cell>
          <cell r="AA413" t="str">
            <v>COMMSCOPE STOCK</v>
          </cell>
        </row>
        <row r="414">
          <cell r="A414" t="str">
            <v>1711658-2</v>
          </cell>
          <cell r="B414" t="str">
            <v>END COVER SET(L_R) FOR DIN RAIL ADAPTERS</v>
          </cell>
          <cell r="C414" t="str">
            <v>28</v>
          </cell>
          <cell r="E414" t="str">
            <v>PC</v>
          </cell>
          <cell r="F414" t="str">
            <v>294B</v>
          </cell>
          <cell r="G414" t="str">
            <v>musa</v>
          </cell>
          <cell r="AA414" t="str">
            <v>COMMSCOPE STOCK</v>
          </cell>
        </row>
        <row r="415">
          <cell r="A415" t="str">
            <v>1933943-1</v>
          </cell>
          <cell r="B415" t="str">
            <v>BOOT, HOODED, 0.310 WHITE</v>
          </cell>
          <cell r="C415" t="str">
            <v>0</v>
          </cell>
          <cell r="E415" t="str">
            <v>PC</v>
          </cell>
          <cell r="G415" t="str">
            <v>musa</v>
          </cell>
          <cell r="AA415" t="str">
            <v>COMMSCOPE STOCK</v>
          </cell>
        </row>
        <row r="416">
          <cell r="A416" t="str">
            <v>9-1592141-9</v>
          </cell>
          <cell r="B416" t="str">
            <v>C-006-DS-5K-M06AQ/GY/C</v>
          </cell>
          <cell r="C416" t="str">
            <v>310</v>
          </cell>
          <cell r="E416" t="str">
            <v>M</v>
          </cell>
          <cell r="F416" t="str">
            <v>New</v>
          </cell>
          <cell r="G416" t="str">
            <v>460 M = 1 DRUM</v>
          </cell>
          <cell r="AA416" t="str">
            <v>COMMSCOPE STOCK</v>
          </cell>
        </row>
        <row r="417">
          <cell r="A417" t="str">
            <v>760152827</v>
          </cell>
          <cell r="B417" t="str">
            <v>HGS-A-KS-BK ADAPTER</v>
          </cell>
          <cell r="C417" t="str">
            <v>6</v>
          </cell>
          <cell r="E417" t="str">
            <v>PC</v>
          </cell>
          <cell r="F417" t="str">
            <v>299B</v>
          </cell>
          <cell r="G417" t="str">
            <v>musa</v>
          </cell>
          <cell r="AA417" t="str">
            <v>COMMSCOPE STOCK</v>
          </cell>
        </row>
        <row r="418">
          <cell r="A418" t="str">
            <v>760258386</v>
          </cell>
          <cell r="B418" t="str">
            <v>O-004-LN-8W-M04NS/20T/HTS</v>
          </cell>
          <cell r="C418" t="str">
            <v>269</v>
          </cell>
          <cell r="E418" t="str">
            <v xml:space="preserve">M
</v>
          </cell>
          <cell r="F418" t="str">
            <v>304A</v>
          </cell>
          <cell r="G418" t="str">
            <v xml:space="preserve">269 M = 1 DRUM               </v>
          </cell>
          <cell r="AA418" t="str">
            <v>COMMSCOPE STOCK</v>
          </cell>
        </row>
        <row r="419">
          <cell r="A419" t="str">
            <v>760249308</v>
          </cell>
          <cell r="B419" t="str">
            <v>CPP-IP-6A-STP-1U-24</v>
          </cell>
          <cell r="C419" t="str">
            <v>0</v>
          </cell>
          <cell r="E419" t="str">
            <v xml:space="preserve">
</v>
          </cell>
          <cell r="G419" t="str">
            <v>musa</v>
          </cell>
          <cell r="AA419" t="str">
            <v>COMMSCOPE STOCK</v>
          </cell>
        </row>
        <row r="420">
          <cell r="A420" t="str">
            <v>2843018-3</v>
          </cell>
          <cell r="B420" t="str">
            <v>MP-6AU-BOOT-71-1: BOOT 7.4-6.8MM, 100 BA</v>
          </cell>
          <cell r="C420" t="str">
            <v>2000</v>
          </cell>
          <cell r="E420" t="str">
            <v>PC</v>
          </cell>
          <cell r="F420" t="str">
            <v>288B</v>
          </cell>
          <cell r="G420" t="str">
            <v>musa</v>
          </cell>
          <cell r="AA420" t="str">
            <v>COMMSCOPE STOCK</v>
          </cell>
        </row>
        <row r="421">
          <cell r="A421" t="str">
            <v>TK046PD0088-00</v>
          </cell>
          <cell r="B421" t="str">
            <v>Splicer T-72C+ kit, Contains: T-72C+ mai</v>
          </cell>
          <cell r="C421" t="str">
            <v>0</v>
          </cell>
          <cell r="E421" t="str">
            <v>PC</v>
          </cell>
          <cell r="G421" t="str">
            <v>musa</v>
          </cell>
          <cell r="AA421" t="str">
            <v>COMMSCOPE STOCK</v>
          </cell>
        </row>
        <row r="422">
          <cell r="A422" t="str">
            <v>DYMO</v>
          </cell>
          <cell r="B422" t="str">
            <v>Dymo Label Maker LT-100H Letra TAG</v>
          </cell>
          <cell r="C422" t="str">
            <v>0</v>
          </cell>
          <cell r="E422" t="str">
            <v>PC</v>
          </cell>
          <cell r="G422" t="str">
            <v>musa</v>
          </cell>
          <cell r="AA422" t="str">
            <v>COMMSCOPE STOCK</v>
          </cell>
        </row>
        <row r="423">
          <cell r="A423" t="str">
            <v>760242972</v>
          </cell>
          <cell r="B423" t="str">
            <v>360DMiP-24LC-SM</v>
          </cell>
          <cell r="C423" t="str">
            <v>0</v>
          </cell>
          <cell r="E423" t="str">
            <v>PC</v>
          </cell>
          <cell r="G423" t="str">
            <v>musa</v>
          </cell>
          <cell r="AA423" t="str">
            <v>COMMSCOPE STOCK</v>
          </cell>
        </row>
        <row r="424">
          <cell r="A424" t="str">
            <v>760157800</v>
          </cell>
          <cell r="B424" t="str">
            <v>Overhead 4U Rack</v>
          </cell>
          <cell r="C424" t="str">
            <v>0</v>
          </cell>
          <cell r="E424" t="str">
            <v>PC</v>
          </cell>
          <cell r="G424" t="str">
            <v>musa</v>
          </cell>
          <cell r="AA424" t="str">
            <v>COMMSCOPE STOCK</v>
          </cell>
        </row>
        <row r="425">
          <cell r="A425" t="str">
            <v>FFXLCLC42-MXF005</v>
          </cell>
          <cell r="B425" t="str">
            <v>JUMPER,LSZH,LS,1.6MM,DPLX,LC/LC,AQ,FT005</v>
          </cell>
          <cell r="C425" t="str">
            <v>0</v>
          </cell>
          <cell r="E425" t="str">
            <v>PC</v>
          </cell>
          <cell r="G425" t="str">
            <v>musa</v>
          </cell>
          <cell r="AA425" t="str">
            <v>COMMSCOPE STOCK</v>
          </cell>
        </row>
        <row r="426">
          <cell r="A426" t="str">
            <v>FFWLCSA42-JXF033</v>
          </cell>
          <cell r="B426" t="str">
            <v>UMPER,LSZH,TS,1.6mm,DPLX,LC-STD/SA-APC</v>
          </cell>
          <cell r="C426" t="str">
            <v>0</v>
          </cell>
          <cell r="E426" t="str">
            <v>PC</v>
          </cell>
          <cell r="G426" t="str">
            <v>musa</v>
          </cell>
          <cell r="AA426" t="str">
            <v>COMMSCOPE STOCK</v>
          </cell>
        </row>
        <row r="427">
          <cell r="A427" t="str">
            <v>FJXMPMPAF-MBF035</v>
          </cell>
          <cell r="B427" t="str">
            <v>FOA LS550 MP(F)-MP(F) 24F LSZH FT035</v>
          </cell>
          <cell r="C427" t="str">
            <v>0</v>
          </cell>
          <cell r="E427" t="str">
            <v>PC</v>
          </cell>
          <cell r="G427" t="str">
            <v>musa</v>
          </cell>
          <cell r="AA427" t="str">
            <v>COMMSCOPE STOCK</v>
          </cell>
        </row>
        <row r="428">
          <cell r="A428" t="str">
            <v>FJXMPMPAF-MBF065</v>
          </cell>
          <cell r="B428" t="str">
            <v>FOA LS550 MP(F)-MP(F) 24F LSZH FT065</v>
          </cell>
          <cell r="C428" t="str">
            <v>0</v>
          </cell>
          <cell r="E428" t="str">
            <v>PC</v>
          </cell>
          <cell r="G428" t="str">
            <v>musa</v>
          </cell>
          <cell r="AA428" t="str">
            <v>COMMSCOPE STOCK</v>
          </cell>
        </row>
        <row r="429">
          <cell r="A429" t="str">
            <v>FJWMPMPAF-JBF100</v>
          </cell>
          <cell r="B429" t="str">
            <v>FOA TS MP(F)-MP(F) 24F IPD LSZH FT100</v>
          </cell>
          <cell r="C429" t="str">
            <v>0</v>
          </cell>
          <cell r="E429" t="str">
            <v>PC</v>
          </cell>
          <cell r="G429" t="str">
            <v>musa</v>
          </cell>
          <cell r="AA429" t="str">
            <v>COMMSCOPE STOCK</v>
          </cell>
        </row>
        <row r="430">
          <cell r="A430" t="str">
            <v>F3XMPMPAD-MBF025</v>
          </cell>
          <cell r="B430" t="str">
            <v>FOA LS 550 MP(F)-MP(F) 12F IPD LSZH/B2</v>
          </cell>
          <cell r="C430" t="str">
            <v>0</v>
          </cell>
          <cell r="E430" t="str">
            <v>PC</v>
          </cell>
          <cell r="G430" t="str">
            <v>musa</v>
          </cell>
          <cell r="AA430" t="str">
            <v>COMMSCOPE STOCK</v>
          </cell>
        </row>
        <row r="431">
          <cell r="A431" t="str">
            <v>F3XMPMPAD-MBF040</v>
          </cell>
          <cell r="B431" t="str">
            <v>FOA LS 550 MP(F)-MP(F) 12F IPD LSZH/B2</v>
          </cell>
          <cell r="C431" t="str">
            <v>0</v>
          </cell>
          <cell r="E431" t="str">
            <v>PC</v>
          </cell>
          <cell r="G431" t="str">
            <v>musa</v>
          </cell>
          <cell r="AA431" t="str">
            <v>COMMSCOPE STOCK</v>
          </cell>
        </row>
        <row r="432">
          <cell r="A432" t="str">
            <v>F3XMPMPAD-MBF020</v>
          </cell>
          <cell r="B432" t="str">
            <v>FOA LS 550 MP(F)-MP(F) 12F IPD LSZH/B2</v>
          </cell>
          <cell r="C432" t="str">
            <v>0</v>
          </cell>
          <cell r="E432" t="str">
            <v>PC</v>
          </cell>
          <cell r="G432" t="str">
            <v>musa</v>
          </cell>
          <cell r="AA432" t="str">
            <v>COMMSCOPE STOCK</v>
          </cell>
        </row>
        <row r="433">
          <cell r="A433" t="str">
            <v>F3XMPMPAD-MBF030</v>
          </cell>
          <cell r="B433" t="str">
            <v>FOA LS 550 MP(F)-MP(F) 12F IPD LSZH/B2</v>
          </cell>
          <cell r="C433" t="str">
            <v>0</v>
          </cell>
          <cell r="E433" t="str">
            <v>PC</v>
          </cell>
          <cell r="G433" t="str">
            <v>musa</v>
          </cell>
          <cell r="AA433" t="str">
            <v>COMMSCOPE STOCK</v>
          </cell>
        </row>
        <row r="434">
          <cell r="A434" t="str">
            <v>FJXMPMPAF-MBF075</v>
          </cell>
          <cell r="B434" t="str">
            <v>FOA LS550 MP(F)-MP(F) 24F LSZH FT075</v>
          </cell>
          <cell r="C434" t="str">
            <v>0</v>
          </cell>
          <cell r="E434" t="str">
            <v>PC</v>
          </cell>
          <cell r="G434" t="str">
            <v>musa</v>
          </cell>
          <cell r="AA434" t="str">
            <v>COMMSCOPE STOCK</v>
          </cell>
        </row>
        <row r="435">
          <cell r="A435" t="str">
            <v>F3XMPMPAD-MBF035</v>
          </cell>
          <cell r="B435" t="str">
            <v>FOA LS 550 MP(F)-MP(F) 12F IPD LSZH/B2</v>
          </cell>
          <cell r="C435" t="str">
            <v>0</v>
          </cell>
          <cell r="E435" t="str">
            <v>PC</v>
          </cell>
          <cell r="G435" t="str">
            <v>musa</v>
          </cell>
          <cell r="AA435" t="str">
            <v>COMMSCOPE STOCK</v>
          </cell>
        </row>
        <row r="436">
          <cell r="A436" t="str">
            <v>760242628</v>
          </cell>
          <cell r="B436" t="str">
            <v>FIST-MSC-E8-V</v>
          </cell>
          <cell r="C436" t="str">
            <v>0</v>
          </cell>
          <cell r="E436" t="str">
            <v>PC</v>
          </cell>
          <cell r="G436" t="str">
            <v>musa</v>
          </cell>
          <cell r="AA436" t="str">
            <v>COMMSCOPE STOCK</v>
          </cell>
        </row>
        <row r="437">
          <cell r="A437" t="str">
            <v>760242585</v>
          </cell>
          <cell r="B437" t="str">
            <v>MSC-SKG2-13/19</v>
          </cell>
          <cell r="C437" t="str">
            <v>2</v>
          </cell>
          <cell r="E437" t="str">
            <v>PC</v>
          </cell>
          <cell r="F437" t="str">
            <v>285B,306B</v>
          </cell>
          <cell r="G437" t="str">
            <v>musa</v>
          </cell>
          <cell r="AA437" t="str">
            <v>COMMSCOPE STOCK</v>
          </cell>
        </row>
        <row r="438">
          <cell r="A438" t="str">
            <v>760244934</v>
          </cell>
          <cell r="B438" t="str">
            <v>CTU-G</v>
          </cell>
          <cell r="C438" t="str">
            <v>4</v>
          </cell>
          <cell r="E438" t="str">
            <v>PC</v>
          </cell>
          <cell r="F438" t="str">
            <v>306B</v>
          </cell>
          <cell r="G438" t="str">
            <v>musa</v>
          </cell>
          <cell r="AA438" t="str">
            <v>COMMSCOPE STOCK</v>
          </cell>
        </row>
        <row r="439">
          <cell r="A439" t="str">
            <v>FFWLCLC42-JXF164</v>
          </cell>
          <cell r="B439" t="str">
            <v>JUMPER,LSZH,TS,1.6MM,DPLX,LC/LC,YL,FT164</v>
          </cell>
          <cell r="C439" t="str">
            <v>15</v>
          </cell>
          <cell r="E439" t="str">
            <v>PC</v>
          </cell>
          <cell r="F439" t="str">
            <v>0</v>
          </cell>
          <cell r="G439" t="str">
            <v>musa</v>
          </cell>
          <cell r="AA439" t="str">
            <v>COMMSCOPE STOCK</v>
          </cell>
        </row>
        <row r="440">
          <cell r="A440" t="str">
            <v>760242597</v>
          </cell>
          <cell r="B440" t="str">
            <v>MSC-EXT/CF</v>
          </cell>
          <cell r="C440" t="str">
            <v>0</v>
          </cell>
          <cell r="E440" t="str">
            <v>PC</v>
          </cell>
          <cell r="G440" t="str">
            <v>musa</v>
          </cell>
          <cell r="AA440" t="str">
            <v>COMMSCOPE STOCK</v>
          </cell>
        </row>
        <row r="441">
          <cell r="A441" t="str">
            <v>760248821</v>
          </cell>
          <cell r="B441" t="str">
            <v>FIST-SOSA2-6SLE-S</v>
          </cell>
          <cell r="C441" t="str">
            <v>8</v>
          </cell>
          <cell r="E441" t="str">
            <v>PC</v>
          </cell>
          <cell r="F441" t="str">
            <v>287B</v>
          </cell>
          <cell r="G441" t="str">
            <v>musa</v>
          </cell>
          <cell r="AA441" t="str">
            <v>COMMSCOPE STOCK</v>
          </cell>
        </row>
        <row r="442">
          <cell r="A442" t="str">
            <v>760242580</v>
          </cell>
          <cell r="B442" t="str">
            <v>MSC-SKG-DUMMY</v>
          </cell>
          <cell r="C442" t="str">
            <v>4</v>
          </cell>
          <cell r="E442" t="str">
            <v>PC</v>
          </cell>
          <cell r="F442" t="str">
            <v>287B</v>
          </cell>
          <cell r="G442" t="str">
            <v>musa</v>
          </cell>
          <cell r="AA442" t="str">
            <v>COMMSCOPE STOCK</v>
          </cell>
        </row>
        <row r="443">
          <cell r="A443" t="str">
            <v>760009753</v>
          </cell>
          <cell r="B443" t="str">
            <v>Z-006-DS-8W-FSUBK/D</v>
          </cell>
          <cell r="C443" t="str">
            <v>0</v>
          </cell>
          <cell r="E443" t="str">
            <v>FT</v>
          </cell>
          <cell r="G443" t="str">
            <v>0 FT = 1 DRUM</v>
          </cell>
          <cell r="AA443" t="str">
            <v>COMMSCOPE STOCK</v>
          </cell>
        </row>
        <row r="444">
          <cell r="A444" t="str">
            <v>760175919</v>
          </cell>
          <cell r="B444" t="str">
            <v>360 1100-E-FCM</v>
          </cell>
          <cell r="C444" t="str">
            <v>0</v>
          </cell>
          <cell r="E444" t="str">
            <v>PC</v>
          </cell>
          <cell r="G444" t="str">
            <v>musa</v>
          </cell>
          <cell r="AA444" t="str">
            <v>COMMSCOPE STOCK</v>
          </cell>
        </row>
        <row r="445">
          <cell r="A445" t="str">
            <v>760150490</v>
          </cell>
          <cell r="B445" t="str">
            <v>Z-002-DS-8W-FSUBK/D</v>
          </cell>
          <cell r="C445" t="str">
            <v>18040</v>
          </cell>
          <cell r="E445" t="str">
            <v>FT</v>
          </cell>
          <cell r="F445" t="str">
            <v>264A,263A</v>
          </cell>
          <cell r="G445" t="str">
            <v>3280 FT = 1 DRUM
14760 FT = 1 DRUM</v>
          </cell>
          <cell r="AA445" t="str">
            <v>COMMSCOPE STOCK</v>
          </cell>
        </row>
        <row r="446">
          <cell r="A446" t="str">
            <v>810008823/DB</v>
          </cell>
          <cell r="B446" t="str">
            <v>O-288-LN-8W-F12NS/25T</v>
          </cell>
          <cell r="C446" t="str">
            <v>0</v>
          </cell>
          <cell r="E446" t="str">
            <v>FT</v>
          </cell>
          <cell r="G446" t="str">
            <v>0 FT = 1 DRUM</v>
          </cell>
          <cell r="AA446" t="str">
            <v>COMMSCOPE STOCK</v>
          </cell>
        </row>
        <row r="447">
          <cell r="A447" t="str">
            <v>760092361</v>
          </cell>
          <cell r="B447" t="str">
            <v>MGS600 OUTLET-BLACK</v>
          </cell>
          <cell r="C447" t="str">
            <v>0</v>
          </cell>
          <cell r="E447" t="str">
            <v>PC</v>
          </cell>
          <cell r="G447" t="str">
            <v>musa</v>
          </cell>
          <cell r="AA447" t="str">
            <v>COMMSCOPE STOCK</v>
          </cell>
        </row>
        <row r="448">
          <cell r="A448" t="str">
            <v>760109272</v>
          </cell>
          <cell r="B448" t="str">
            <v>360G2 Cartridge 12-LC-SM-BL</v>
          </cell>
          <cell r="C448" t="str">
            <v>2</v>
          </cell>
          <cell r="E448" t="str">
            <v>PC</v>
          </cell>
          <cell r="F448" t="str">
            <v>267A,304B,285B</v>
          </cell>
          <cell r="G448" t="str">
            <v>musa</v>
          </cell>
          <cell r="AA448" t="str">
            <v>COMMSCOPE STOCK</v>
          </cell>
        </row>
        <row r="449">
          <cell r="A449" t="str">
            <v>760244929</v>
          </cell>
          <cell r="B449" t="str">
            <v>G2-SP-24LCG-PT</v>
          </cell>
          <cell r="C449" t="str">
            <v>0</v>
          </cell>
          <cell r="E449" t="str">
            <v>PC</v>
          </cell>
          <cell r="G449" t="str">
            <v>musa</v>
          </cell>
          <cell r="AA449" t="str">
            <v>COMMSCOPE STOCK</v>
          </cell>
        </row>
        <row r="450">
          <cell r="A450" t="str">
            <v>760249250</v>
          </cell>
          <cell r="B450" t="str">
            <v>FPS-BS-1P-B, 1 PORT SHUTTERED BLACK</v>
          </cell>
          <cell r="C450" t="str">
            <v>0</v>
          </cell>
          <cell r="E450" t="str">
            <v>PC</v>
          </cell>
          <cell r="G450" t="str">
            <v>musa</v>
          </cell>
          <cell r="AA450" t="str">
            <v>COMMSCOPE STOCK</v>
          </cell>
        </row>
        <row r="451">
          <cell r="A451" t="str">
            <v>760250917</v>
          </cell>
          <cell r="B451" t="str">
            <v>FPS-OCM-K-F-BLK</v>
          </cell>
          <cell r="C451" t="str">
            <v>0</v>
          </cell>
          <cell r="E451" t="str">
            <v>PC</v>
          </cell>
          <cell r="G451" t="str">
            <v>musa</v>
          </cell>
          <cell r="AA451" t="str">
            <v>COMMSCOPE STOCK</v>
          </cell>
        </row>
        <row r="452">
          <cell r="A452" t="str">
            <v>1-2153449-3</v>
          </cell>
          <cell r="B452" t="str">
            <v>AMP-TWIST SLX.6AS,A.WHT</v>
          </cell>
          <cell r="C452" t="str">
            <v>0</v>
          </cell>
          <cell r="E452" t="str">
            <v>PC</v>
          </cell>
          <cell r="G452" t="str">
            <v>musa</v>
          </cell>
          <cell r="AA452" t="str">
            <v>COMMSCOPE STOCK</v>
          </cell>
        </row>
        <row r="453">
          <cell r="A453" t="str">
            <v>1711897-1</v>
          </cell>
          <cell r="B453" t="str">
            <v>DIN RAIL KIT, SL/AMP-TWIST Ser</v>
          </cell>
          <cell r="C453" t="str">
            <v>15</v>
          </cell>
          <cell r="E453" t="str">
            <v>PC</v>
          </cell>
          <cell r="F453" t="str">
            <v>294B</v>
          </cell>
          <cell r="G453" t="str">
            <v>musa</v>
          </cell>
          <cell r="AA453" t="str">
            <v>COMMSCOPE STOCK</v>
          </cell>
        </row>
        <row r="454">
          <cell r="A454" t="str">
            <v>2153365-4</v>
          </cell>
          <cell r="B454" t="str">
            <v>AMP-TWIST SLX,6AS W/DC,GY</v>
          </cell>
          <cell r="C454" t="str">
            <v>1886</v>
          </cell>
          <cell r="E454" t="str">
            <v>PC</v>
          </cell>
          <cell r="F454" t="str">
            <v>0</v>
          </cell>
          <cell r="G454" t="str">
            <v>musa</v>
          </cell>
          <cell r="AA454" t="str">
            <v>COMMSCOPE STOCK</v>
          </cell>
        </row>
        <row r="455">
          <cell r="A455" t="str">
            <v>860646620/DB</v>
          </cell>
          <cell r="B455" t="str">
            <v>O-024-LN-8W-M12BK/20G</v>
          </cell>
          <cell r="C455" t="str">
            <v>0</v>
          </cell>
          <cell r="E455" t="str">
            <v>M</v>
          </cell>
          <cell r="G455" t="str">
            <v>0 M = 1 DRUM</v>
          </cell>
          <cell r="AA455" t="str">
            <v>COMMSCOPE STOCK</v>
          </cell>
        </row>
        <row r="456">
          <cell r="A456" t="str">
            <v>CPC3392-03F004</v>
          </cell>
          <cell r="B456" t="str">
            <v>GigaSPEED XL® GS8E</v>
          </cell>
          <cell r="C456" t="str">
            <v>0</v>
          </cell>
          <cell r="E456" t="str">
            <v>PC</v>
          </cell>
          <cell r="G456" t="str">
            <v>musa</v>
          </cell>
          <cell r="AA456" t="str">
            <v>COMMSCOPE STOCK</v>
          </cell>
        </row>
        <row r="457">
          <cell r="A457" t="str">
            <v>CA111K2-0ZF017</v>
          </cell>
          <cell r="B457" t="str">
            <v>G10SP-L-BL-17FT</v>
          </cell>
          <cell r="C457" t="str">
            <v>200</v>
          </cell>
          <cell r="E457" t="str">
            <v>PC</v>
          </cell>
          <cell r="F457" t="str">
            <v>284A</v>
          </cell>
          <cell r="G457" t="str">
            <v>musa</v>
          </cell>
          <cell r="AA457" t="str">
            <v>COMMSCOPE STOCK</v>
          </cell>
        </row>
        <row r="458">
          <cell r="A458" t="str">
            <v>CP7685-000</v>
          </cell>
          <cell r="B458" t="str">
            <v>OC-ADP-L1-L1-NFCD</v>
          </cell>
          <cell r="C458" t="str">
            <v>0</v>
          </cell>
          <cell r="E458" t="str">
            <v>PC</v>
          </cell>
          <cell r="G458" t="str">
            <v>musa</v>
          </cell>
          <cell r="AA458" t="str">
            <v>COMMSCOPE STOCK</v>
          </cell>
        </row>
        <row r="459">
          <cell r="A459" t="str">
            <v>CU4156-000</v>
          </cell>
          <cell r="B459" t="str">
            <v>FIST-GCO2-BC8-NN</v>
          </cell>
          <cell r="C459" t="str">
            <v>0</v>
          </cell>
          <cell r="E459" t="str">
            <v>PC</v>
          </cell>
          <cell r="G459" t="str">
            <v>musa</v>
          </cell>
          <cell r="AA459" t="str">
            <v>COMMSCOPE STOCK</v>
          </cell>
        </row>
        <row r="460">
          <cell r="A460" t="str">
            <v>CZ3625-000</v>
          </cell>
          <cell r="B460" t="str">
            <v>BUDI-2S-T-00NNES</v>
          </cell>
          <cell r="C460" t="str">
            <v>158</v>
          </cell>
          <cell r="E460" t="str">
            <v>PC</v>
          </cell>
          <cell r="F460" t="str">
            <v>0</v>
          </cell>
          <cell r="G460" t="str">
            <v>musa</v>
          </cell>
          <cell r="AA460" t="str">
            <v>COMMSCOPE STOCK</v>
          </cell>
        </row>
        <row r="461">
          <cell r="A461" t="str">
            <v>760152579</v>
          </cell>
          <cell r="B461" t="str">
            <v>IPR-1100-E-GS3-2U-48-360</v>
          </cell>
          <cell r="C461" t="str">
            <v>0</v>
          </cell>
          <cell r="E461" t="str">
            <v>PC</v>
          </cell>
          <cell r="G461" t="str">
            <v>musa</v>
          </cell>
          <cell r="AA461" t="str">
            <v>COMMSCOPE STOCK</v>
          </cell>
        </row>
        <row r="462">
          <cell r="A462" t="str">
            <v>558637-1</v>
          </cell>
          <cell r="B462" t="str">
            <v>PNL ASSY,XCONN, WRG BLK,200 PR</v>
          </cell>
          <cell r="C462" t="str">
            <v>0</v>
          </cell>
          <cell r="E462" t="str">
            <v>EA</v>
          </cell>
          <cell r="G462" t="str">
            <v>musa</v>
          </cell>
          <cell r="AA462" t="str">
            <v>COMMSCOPE STOCK</v>
          </cell>
        </row>
        <row r="463">
          <cell r="A463" t="str">
            <v>760161067</v>
          </cell>
          <cell r="B463" t="str">
            <v>LF80-262 Shut'd Faceplate Clip,1-port,Wh</v>
          </cell>
          <cell r="C463" t="str">
            <v>2</v>
          </cell>
          <cell r="E463" t="str">
            <v>EA</v>
          </cell>
          <cell r="F463" t="str">
            <v>294B</v>
          </cell>
          <cell r="G463" t="str">
            <v>musa</v>
          </cell>
          <cell r="AA463" t="str">
            <v>COMMSCOPE STOCK</v>
          </cell>
        </row>
        <row r="464">
          <cell r="A464" t="str">
            <v>2153449-2</v>
          </cell>
          <cell r="B464" t="str">
            <v>AMP-TWIST SLX,6AS,BLK</v>
          </cell>
          <cell r="C464" t="str">
            <v>0</v>
          </cell>
          <cell r="E464" t="str">
            <v>EA</v>
          </cell>
          <cell r="G464" t="str">
            <v>musa</v>
          </cell>
          <cell r="AA464" t="str">
            <v>COMMSCOPE STOCK</v>
          </cell>
        </row>
        <row r="465">
          <cell r="A465" t="str">
            <v>760245961</v>
          </cell>
          <cell r="B465" t="str">
            <v>G2-SP-24LAG-PT</v>
          </cell>
          <cell r="C465" t="str">
            <v>0</v>
          </cell>
          <cell r="E465" t="str">
            <v>EA</v>
          </cell>
          <cell r="G465" t="str">
            <v>musa</v>
          </cell>
          <cell r="AA465" t="str">
            <v>COMMSCOPE STOCK</v>
          </cell>
        </row>
        <row r="466">
          <cell r="A466" t="str">
            <v>CP7686-000</v>
          </cell>
          <cell r="B466" t="str">
            <v>OC-ADP-L2-L2-NFCD</v>
          </cell>
          <cell r="C466" t="str">
            <v>0</v>
          </cell>
          <cell r="E466" t="str">
            <v>EA</v>
          </cell>
          <cell r="G466" t="str">
            <v>musa</v>
          </cell>
          <cell r="AA466" t="str">
            <v>COMMSCOPE STOCK</v>
          </cell>
        </row>
        <row r="467">
          <cell r="A467" t="str">
            <v>2153365-2</v>
          </cell>
          <cell r="B467" t="str">
            <v>AMP-TWIST SLX,6AS W/DC,BLK</v>
          </cell>
          <cell r="C467" t="str">
            <v>0</v>
          </cell>
          <cell r="E467" t="str">
            <v>EA</v>
          </cell>
          <cell r="G467" t="str">
            <v>musa</v>
          </cell>
          <cell r="AA467" t="str">
            <v>COMMSCOPE STOCK</v>
          </cell>
        </row>
        <row r="468">
          <cell r="A468" t="str">
            <v>760242595</v>
          </cell>
          <cell r="B468" t="str">
            <v>MSC-MOBRA</v>
          </cell>
          <cell r="C468" t="str">
            <v>0</v>
          </cell>
          <cell r="E468" t="str">
            <v>EA</v>
          </cell>
          <cell r="G468" t="str">
            <v>musa</v>
          </cell>
          <cell r="AA468" t="str">
            <v>COMMSCOPE STOCK</v>
          </cell>
        </row>
        <row r="469">
          <cell r="A469" t="str">
            <v>760260195</v>
          </cell>
          <cell r="B469" t="str">
            <v>O-004-LN-8W-M04BK/20G</v>
          </cell>
          <cell r="C469" t="str">
            <v>749</v>
          </cell>
          <cell r="E469" t="str">
            <v>M</v>
          </cell>
          <cell r="F469" t="str">
            <v>0</v>
          </cell>
          <cell r="G469" t="str">
            <v>749  M = 1 DRUM</v>
          </cell>
          <cell r="AA469" t="str">
            <v>COMMSCOPE STOCK</v>
          </cell>
        </row>
        <row r="470">
          <cell r="A470" t="str">
            <v>LX1SSP1208002</v>
          </cell>
          <cell r="B470" t="str">
            <v>LGX SPLTR MOD (2) 2X8 APC/LC</v>
          </cell>
          <cell r="C470" t="str">
            <v>0</v>
          </cell>
          <cell r="E470" t="str">
            <v>EA</v>
          </cell>
          <cell r="G470" t="str">
            <v>musa</v>
          </cell>
          <cell r="AA470" t="str">
            <v>COMMSCOPE STOCK</v>
          </cell>
        </row>
        <row r="471">
          <cell r="A471" t="str">
            <v>LX1SSP1204004</v>
          </cell>
          <cell r="B471" t="str">
            <v>LGX SPLTR MOD (4) 2X4 APC/LC</v>
          </cell>
          <cell r="C471" t="str">
            <v>0</v>
          </cell>
          <cell r="E471" t="str">
            <v>EA</v>
          </cell>
          <cell r="G471" t="str">
            <v>musa</v>
          </cell>
          <cell r="AA471" t="str">
            <v>COMMSCOPE STOCK</v>
          </cell>
        </row>
        <row r="472">
          <cell r="A472" t="str">
            <v>CC0871-000</v>
          </cell>
          <cell r="B472" t="str">
            <v>OCP-L1-02MASEN-XX</v>
          </cell>
          <cell r="C472" t="str">
            <v>0</v>
          </cell>
          <cell r="E472" t="str">
            <v>EA</v>
          </cell>
          <cell r="G472" t="str">
            <v>musa</v>
          </cell>
          <cell r="AA472" t="str">
            <v>COMMSCOPE STOCK</v>
          </cell>
        </row>
        <row r="473">
          <cell r="A473" t="str">
            <v>FFWLCLC42-JXF100</v>
          </cell>
          <cell r="B473" t="str">
            <v>JUMPER,LSZH,TS,1.6MM,DPLX,LC/LC,YL,FT100</v>
          </cell>
          <cell r="C473" t="str">
            <v>0</v>
          </cell>
          <cell r="E473" t="str">
            <v>EA</v>
          </cell>
          <cell r="G473" t="str">
            <v>musa</v>
          </cell>
          <cell r="AA473" t="str">
            <v>COMMSCOPE STOCK</v>
          </cell>
        </row>
        <row r="474">
          <cell r="A474" t="str">
            <v>760172890</v>
          </cell>
          <cell r="B474" t="str">
            <v>Patchcord Management 2U - Silver</v>
          </cell>
          <cell r="C474" t="str">
            <v>0</v>
          </cell>
          <cell r="E474" t="str">
            <v>EA</v>
          </cell>
          <cell r="G474" t="str">
            <v>musa</v>
          </cell>
          <cell r="AA474" t="str">
            <v>COMMSCOPE STOCK</v>
          </cell>
        </row>
        <row r="475">
          <cell r="A475" t="str">
            <v>FJXMPMPAD-MBF135</v>
          </cell>
          <cell r="B475" t="str">
            <v>FOA LS 550 MP(f)-MP(f) 12f IPD LSZH</v>
          </cell>
          <cell r="C475" t="str">
            <v>0</v>
          </cell>
          <cell r="E475" t="str">
            <v>EA</v>
          </cell>
          <cell r="G475" t="str">
            <v>musa</v>
          </cell>
          <cell r="AA475" t="str">
            <v>COMMSCOPE STOCK</v>
          </cell>
        </row>
        <row r="476">
          <cell r="A476" t="str">
            <v>NPC6ASZDB-RD003M</v>
          </cell>
          <cell r="B476" t="str">
            <v>NPC, Cat 6A, Shielded, LSZH, Red, 3M</v>
          </cell>
          <cell r="C476" t="str">
            <v>15</v>
          </cell>
          <cell r="E476" t="str">
            <v>EA</v>
          </cell>
          <cell r="F476" t="str">
            <v>305B</v>
          </cell>
          <cell r="G476" t="str">
            <v>musa</v>
          </cell>
          <cell r="AA476" t="str">
            <v>COMMSCOPE STOCK</v>
          </cell>
        </row>
        <row r="477">
          <cell r="A477" t="str">
            <v>NPC6ASZDB-YL003M</v>
          </cell>
          <cell r="B477" t="str">
            <v>NPC, Cat 6A, Shielded, LSZH, Yellow, 3M</v>
          </cell>
          <cell r="C477" t="str">
            <v>15</v>
          </cell>
          <cell r="E477" t="str">
            <v>EA</v>
          </cell>
          <cell r="F477" t="str">
            <v>287B</v>
          </cell>
          <cell r="G477" t="str">
            <v>musa</v>
          </cell>
          <cell r="AA477" t="str">
            <v>COMMSCOPE STOCK</v>
          </cell>
        </row>
        <row r="478">
          <cell r="A478" t="str">
            <v>NPC6ASZDB-GN003M</v>
          </cell>
          <cell r="B478" t="str">
            <v>NPC, Cat 6A, Shielded, LSZH, Green, 3M</v>
          </cell>
          <cell r="C478" t="str">
            <v>15</v>
          </cell>
          <cell r="E478" t="str">
            <v>EA</v>
          </cell>
          <cell r="F478" t="str">
            <v>284B</v>
          </cell>
          <cell r="G478" t="str">
            <v>musa</v>
          </cell>
          <cell r="AA478" t="str">
            <v>COMMSCOPE STOCK</v>
          </cell>
        </row>
        <row r="479">
          <cell r="A479" t="str">
            <v>860646619/DB</v>
          </cell>
          <cell r="B479" t="str">
            <v>O-012-LN-8W-M12BK/20G</v>
          </cell>
          <cell r="C479" t="str">
            <v>1079</v>
          </cell>
          <cell r="E479" t="str">
            <v>M</v>
          </cell>
          <cell r="F479" t="str">
            <v>0</v>
          </cell>
          <cell r="G479" t="str">
            <v>1079 M = 1 DRUM</v>
          </cell>
          <cell r="AA479" t="str">
            <v>COMMSCOPE STOCK</v>
          </cell>
        </row>
        <row r="480">
          <cell r="A480" t="str">
            <v>760072942</v>
          </cell>
          <cell r="B480" t="str">
            <v>HTK-19-SS-1U (1KIT)</v>
          </cell>
          <cell r="C480" t="str">
            <v>0</v>
          </cell>
          <cell r="E480" t="str">
            <v>PC</v>
          </cell>
          <cell r="G480" t="str">
            <v>musa</v>
          </cell>
          <cell r="AA480" t="str">
            <v>COMMSCOPE STOCK</v>
          </cell>
        </row>
        <row r="481">
          <cell r="A481" t="str">
            <v>760227314</v>
          </cell>
          <cell r="B481" t="str">
            <v>UD-4U SLIDING SHELF</v>
          </cell>
          <cell r="C481" t="str">
            <v>0</v>
          </cell>
          <cell r="E481" t="str">
            <v>PC</v>
          </cell>
          <cell r="G481" t="str">
            <v>musa</v>
          </cell>
          <cell r="AA481" t="str">
            <v>COMMSCOPE STOCK</v>
          </cell>
        </row>
        <row r="482">
          <cell r="A482" t="str">
            <v>760209940</v>
          </cell>
          <cell r="B482" t="str">
            <v>HD-1U Sliding Fiber Shelf</v>
          </cell>
          <cell r="C482" t="str">
            <v>0</v>
          </cell>
          <cell r="E482" t="str">
            <v>PC</v>
          </cell>
          <cell r="G482" t="str">
            <v>musa</v>
          </cell>
          <cell r="AA482" t="str">
            <v>COMMSCOPE STOCK</v>
          </cell>
        </row>
        <row r="483">
          <cell r="A483" t="str">
            <v>CO199K2-08F003</v>
          </cell>
          <cell r="B483" t="str">
            <v>MINO6A-WH-3FT</v>
          </cell>
          <cell r="C483" t="str">
            <v>0</v>
          </cell>
          <cell r="E483" t="str">
            <v>PC</v>
          </cell>
          <cell r="G483" t="str">
            <v>musa</v>
          </cell>
          <cell r="AA483" t="str">
            <v>COMMSCOPE STOCK</v>
          </cell>
        </row>
        <row r="484">
          <cell r="A484" t="str">
            <v>CO199K2-08F005</v>
          </cell>
          <cell r="B484" t="str">
            <v>MINO6A-WH-5FT</v>
          </cell>
          <cell r="C484" t="str">
            <v>0</v>
          </cell>
          <cell r="E484" t="str">
            <v>PC</v>
          </cell>
          <cell r="G484" t="str">
            <v>musa</v>
          </cell>
          <cell r="AA484" t="str">
            <v>COMMSCOPE STOCK</v>
          </cell>
        </row>
        <row r="485">
          <cell r="A485" t="str">
            <v>CO199K2-08F007</v>
          </cell>
          <cell r="B485" t="str">
            <v>MINO6A-WH-7FT</v>
          </cell>
          <cell r="C485" t="str">
            <v>0</v>
          </cell>
          <cell r="E485" t="str">
            <v>PC</v>
          </cell>
          <cell r="G485" t="str">
            <v>musa</v>
          </cell>
          <cell r="AA485" t="str">
            <v>COMMSCOPE STOCK</v>
          </cell>
        </row>
        <row r="486">
          <cell r="A486" t="str">
            <v>CO199K2-08F016</v>
          </cell>
          <cell r="B486" t="str">
            <v>MINO6A-WH-16FT</v>
          </cell>
          <cell r="C486" t="str">
            <v>0</v>
          </cell>
          <cell r="E486" t="str">
            <v>PC</v>
          </cell>
          <cell r="G486" t="str">
            <v>musa</v>
          </cell>
          <cell r="AA486" t="str">
            <v>COMMSCOPE STOCK</v>
          </cell>
        </row>
        <row r="487">
          <cell r="A487" t="str">
            <v>760236118</v>
          </cell>
          <cell r="B487" t="str">
            <v>DM12iP-24LC-LS-ULL</v>
          </cell>
          <cell r="C487" t="str">
            <v>0</v>
          </cell>
          <cell r="E487" t="str">
            <v>PC</v>
          </cell>
          <cell r="G487" t="str">
            <v>musa</v>
          </cell>
          <cell r="AA487" t="str">
            <v>COMMSCOPE STOCK</v>
          </cell>
        </row>
        <row r="488">
          <cell r="A488" t="str">
            <v>CCRRD-11HA0CF025</v>
          </cell>
          <cell r="B488" t="str">
            <v>IP6A-12LUTP-1100E-1100E</v>
          </cell>
          <cell r="C488" t="str">
            <v>0</v>
          </cell>
          <cell r="E488" t="str">
            <v>PC</v>
          </cell>
          <cell r="G488" t="str">
            <v>musa</v>
          </cell>
          <cell r="AA488" t="str">
            <v>COMMSCOPE STOCK</v>
          </cell>
        </row>
        <row r="489">
          <cell r="A489" t="str">
            <v>CCRRD-11HA0CF035</v>
          </cell>
          <cell r="B489" t="str">
            <v>IP6A-12LUTP-1100E-1100E</v>
          </cell>
          <cell r="C489" t="str">
            <v>0</v>
          </cell>
          <cell r="E489" t="str">
            <v>PC</v>
          </cell>
          <cell r="G489" t="str">
            <v>musa</v>
          </cell>
          <cell r="AA489" t="str">
            <v>COMMSCOPE STOCK</v>
          </cell>
        </row>
        <row r="490">
          <cell r="A490" t="str">
            <v>CCRRD-11HA0CF045</v>
          </cell>
          <cell r="B490" t="str">
            <v>IP6A-12LUTP-1100E-1100E</v>
          </cell>
          <cell r="C490" t="str">
            <v>0</v>
          </cell>
          <cell r="E490" t="str">
            <v>PC</v>
          </cell>
          <cell r="G490" t="str">
            <v>musa</v>
          </cell>
          <cell r="AA490" t="str">
            <v>COMMSCOPE STOCK</v>
          </cell>
        </row>
        <row r="491">
          <cell r="A491" t="str">
            <v>CCRRD-11HA0CF055</v>
          </cell>
          <cell r="B491" t="str">
            <v>IP6A-12LUTP-1100E-1100E</v>
          </cell>
          <cell r="C491" t="str">
            <v>0</v>
          </cell>
          <cell r="E491" t="str">
            <v>PC</v>
          </cell>
          <cell r="G491" t="str">
            <v>musa</v>
          </cell>
          <cell r="AA491" t="str">
            <v>COMMSCOPE STOCK</v>
          </cell>
        </row>
        <row r="492">
          <cell r="A492" t="str">
            <v>CCRRD-11HA0CF080</v>
          </cell>
          <cell r="B492" t="str">
            <v>IP6A-12LUTP-1100E-1100E</v>
          </cell>
          <cell r="C492" t="str">
            <v>0</v>
          </cell>
          <cell r="E492" t="str">
            <v>PC</v>
          </cell>
          <cell r="G492" t="str">
            <v>musa</v>
          </cell>
          <cell r="AA492" t="str">
            <v>COMMSCOPE STOCK</v>
          </cell>
        </row>
        <row r="493">
          <cell r="A493" t="str">
            <v>CCRRD-11HA0CF065</v>
          </cell>
          <cell r="B493" t="str">
            <v>IP6A-12LUTP-1100E-1100E</v>
          </cell>
          <cell r="C493" t="str">
            <v>0</v>
          </cell>
          <cell r="E493" t="str">
            <v>PC</v>
          </cell>
          <cell r="G493" t="str">
            <v>musa</v>
          </cell>
          <cell r="AA493" t="str">
            <v>COMMSCOPE STOCK</v>
          </cell>
        </row>
        <row r="494">
          <cell r="A494" t="str">
            <v>CCRRD-11HA0CF075</v>
          </cell>
          <cell r="B494" t="str">
            <v>IP6A-12LUTP-1100E-1100E</v>
          </cell>
          <cell r="C494" t="str">
            <v>0</v>
          </cell>
          <cell r="E494" t="str">
            <v>PC</v>
          </cell>
          <cell r="G494" t="str">
            <v>musa</v>
          </cell>
          <cell r="AA494" t="str">
            <v>COMMSCOPE STOCK</v>
          </cell>
        </row>
        <row r="495">
          <cell r="A495" t="str">
            <v>CCRRD-11HA0CF070</v>
          </cell>
          <cell r="B495" t="str">
            <v>IP6A-12LUTP-1100E-1100E</v>
          </cell>
          <cell r="C495" t="str">
            <v>0</v>
          </cell>
          <cell r="E495" t="str">
            <v>PC</v>
          </cell>
          <cell r="G495" t="str">
            <v>musa</v>
          </cell>
          <cell r="AA495" t="str">
            <v>COMMSCOPE STOCK</v>
          </cell>
        </row>
        <row r="496">
          <cell r="A496" t="str">
            <v>760031856</v>
          </cell>
          <cell r="B496" t="str">
            <v>RoloSplice Kit with 4 fusion splice tray</v>
          </cell>
          <cell r="C496" t="str">
            <v>0</v>
          </cell>
          <cell r="E496" t="str">
            <v>PC</v>
          </cell>
          <cell r="G496" t="str">
            <v>musa</v>
          </cell>
          <cell r="AA496" t="str">
            <v>COMMSCOPE STOCK</v>
          </cell>
        </row>
        <row r="497">
          <cell r="A497" t="str">
            <v>760193854</v>
          </cell>
          <cell r="B497" t="str">
            <v>360G2-2U-MOD-SD</v>
          </cell>
          <cell r="C497" t="str">
            <v>0</v>
          </cell>
          <cell r="E497" t="str">
            <v>PC</v>
          </cell>
          <cell r="G497" t="str">
            <v>musa</v>
          </cell>
          <cell r="AA497" t="str">
            <v>COMMSCOPE STOCK</v>
          </cell>
        </row>
        <row r="498">
          <cell r="A498" t="str">
            <v>FFWLALA21-JXF003</v>
          </cell>
          <cell r="B498" t="str">
            <v>JUMPER,LSZH,TS,1.6MM,SPLX,LA/LA FT003</v>
          </cell>
          <cell r="C498" t="str">
            <v>0</v>
          </cell>
          <cell r="E498" t="str">
            <v>PC</v>
          </cell>
          <cell r="G498" t="str">
            <v>musa</v>
          </cell>
          <cell r="AA498" t="str">
            <v>COMMSCOPE STOCK</v>
          </cell>
        </row>
        <row r="499">
          <cell r="A499" t="str">
            <v>CCRRD-11HA0CF020</v>
          </cell>
          <cell r="B499" t="str">
            <v>IP6A-12LUTP-1100E-1100E</v>
          </cell>
          <cell r="C499" t="str">
            <v>0</v>
          </cell>
          <cell r="E499" t="str">
            <v>PC</v>
          </cell>
          <cell r="G499" t="str">
            <v>musa</v>
          </cell>
          <cell r="AA499" t="str">
            <v>COMMSCOPE STOCK</v>
          </cell>
        </row>
        <row r="500">
          <cell r="A500" t="str">
            <v>CCRRD-11HA0CF030</v>
          </cell>
          <cell r="B500" t="str">
            <v>CCRRD-11HA0CF030</v>
          </cell>
          <cell r="C500" t="str">
            <v>0</v>
          </cell>
          <cell r="E500" t="str">
            <v>PC</v>
          </cell>
          <cell r="G500" t="str">
            <v>musa</v>
          </cell>
          <cell r="AA500" t="str">
            <v>COMMSCOPE STOCK</v>
          </cell>
        </row>
        <row r="501">
          <cell r="A501" t="str">
            <v>CCRRD-11HA0CF040</v>
          </cell>
          <cell r="B501" t="str">
            <v>IP6A-12LUTP-1100E-1100E</v>
          </cell>
          <cell r="C501" t="str">
            <v>0</v>
          </cell>
          <cell r="E501" t="str">
            <v>PC</v>
          </cell>
          <cell r="G501" t="str">
            <v>musa</v>
          </cell>
          <cell r="AA501" t="str">
            <v>COMMSCOPE STOCK</v>
          </cell>
        </row>
        <row r="502">
          <cell r="A502" t="str">
            <v>CCRRD-11HA0CF050</v>
          </cell>
          <cell r="B502" t="str">
            <v>IP6A-12LUTP-1100E-1100E</v>
          </cell>
          <cell r="C502" t="str">
            <v>0</v>
          </cell>
          <cell r="E502" t="str">
            <v>PC</v>
          </cell>
          <cell r="G502" t="str">
            <v>musa</v>
          </cell>
          <cell r="AA502" t="str">
            <v>COMMSCOPE STOCK</v>
          </cell>
        </row>
        <row r="503">
          <cell r="A503" t="str">
            <v>CCRRD-11HA0CF060</v>
          </cell>
          <cell r="B503" t="str">
            <v>IP6A-12LUTP-1100E-1100E</v>
          </cell>
          <cell r="C503" t="str">
            <v>0</v>
          </cell>
          <cell r="E503" t="str">
            <v>PC</v>
          </cell>
          <cell r="G503" t="str">
            <v>musa</v>
          </cell>
          <cell r="AA503" t="str">
            <v>COMMSCOPE STOCK</v>
          </cell>
        </row>
        <row r="504">
          <cell r="A504" t="str">
            <v>760152785</v>
          </cell>
          <cell r="B504" t="str">
            <v>360-A-E-KIT-1U</v>
          </cell>
          <cell r="C504" t="str">
            <v>0</v>
          </cell>
          <cell r="E504" t="str">
            <v>PC</v>
          </cell>
          <cell r="G504" t="str">
            <v>musa</v>
          </cell>
          <cell r="AA504" t="str">
            <v>COMMSCOPE STOCK</v>
          </cell>
        </row>
        <row r="505">
          <cell r="A505" t="str">
            <v>UJXMXMXAF-MBF020</v>
          </cell>
          <cell r="B505" t="str">
            <v>ULL,MPO12,M/M,LSZH,OM4,24f,AQUA</v>
          </cell>
          <cell r="C505" t="str">
            <v>0</v>
          </cell>
          <cell r="E505" t="str">
            <v>PC</v>
          </cell>
          <cell r="G505" t="str">
            <v>musa</v>
          </cell>
          <cell r="AA505" t="str">
            <v>COMMSCOPE STOCK</v>
          </cell>
        </row>
        <row r="506">
          <cell r="A506" t="str">
            <v>UJXMXMXAF-MBF025</v>
          </cell>
          <cell r="B506" t="str">
            <v>ULL,MPO12,M/M,LSZH,OM4,24f,AQUA</v>
          </cell>
          <cell r="C506" t="str">
            <v>0</v>
          </cell>
          <cell r="E506" t="str">
            <v>PC</v>
          </cell>
          <cell r="G506" t="str">
            <v>musa</v>
          </cell>
          <cell r="AA506" t="str">
            <v>COMMSCOPE STOCK</v>
          </cell>
        </row>
        <row r="507">
          <cell r="A507" t="str">
            <v>UJXMXMXAF-MBF030</v>
          </cell>
          <cell r="B507" t="str">
            <v>ULL,MPO12,M/M,LSZH,OM4,24f,AQUA</v>
          </cell>
          <cell r="C507" t="str">
            <v>0</v>
          </cell>
          <cell r="E507" t="str">
            <v>PC</v>
          </cell>
          <cell r="G507" t="str">
            <v>musa</v>
          </cell>
          <cell r="AA507" t="str">
            <v>COMMSCOPE STOCK</v>
          </cell>
        </row>
        <row r="508">
          <cell r="A508" t="str">
            <v>UJXMXMXAF-MBF035</v>
          </cell>
          <cell r="B508" t="str">
            <v>ULL,MPO12,M/M,LSZH,OM4,24f,AQUA</v>
          </cell>
          <cell r="C508" t="str">
            <v>0</v>
          </cell>
          <cell r="E508" t="str">
            <v>PC</v>
          </cell>
          <cell r="G508" t="str">
            <v>musa</v>
          </cell>
          <cell r="AA508" t="str">
            <v>COMMSCOPE STOCK</v>
          </cell>
        </row>
        <row r="509">
          <cell r="A509" t="str">
            <v>UJXMXMXAF-MBF040</v>
          </cell>
          <cell r="B509" t="str">
            <v>ULL,MPO12,M/M,LSZH,OM4,24f,AQUA</v>
          </cell>
          <cell r="C509" t="str">
            <v>0</v>
          </cell>
          <cell r="E509" t="str">
            <v>PC</v>
          </cell>
          <cell r="G509" t="str">
            <v>musa</v>
          </cell>
          <cell r="AA509" t="str">
            <v>COMMSCOPE STOCK</v>
          </cell>
        </row>
        <row r="510">
          <cell r="A510" t="str">
            <v>UJXMXMXAF-MBF045</v>
          </cell>
          <cell r="B510" t="str">
            <v>ULL,MPO12,M/M,LSZH,OM4,24f,AQUA</v>
          </cell>
          <cell r="C510" t="str">
            <v>0</v>
          </cell>
          <cell r="E510" t="str">
            <v>PC</v>
          </cell>
          <cell r="G510" t="str">
            <v>musa</v>
          </cell>
          <cell r="AA510" t="str">
            <v>COMMSCOPE STOCK</v>
          </cell>
        </row>
        <row r="511">
          <cell r="A511" t="str">
            <v>UJXMXMXAF-MBF050</v>
          </cell>
          <cell r="B511" t="str">
            <v>ULL,MPO12,M/M,LSZH,OM4,24f,AQUA</v>
          </cell>
          <cell r="C511" t="str">
            <v>0</v>
          </cell>
          <cell r="E511" t="str">
            <v>PC</v>
          </cell>
          <cell r="G511" t="str">
            <v>musa</v>
          </cell>
          <cell r="AA511" t="str">
            <v>COMMSCOPE STOCK</v>
          </cell>
        </row>
        <row r="512">
          <cell r="A512" t="str">
            <v>UJXMXMXAF-MBF055</v>
          </cell>
          <cell r="B512" t="str">
            <v>ULL,MPO12,M/M,LSZH,OM4,24f,AQUA</v>
          </cell>
          <cell r="C512" t="str">
            <v>0</v>
          </cell>
          <cell r="E512" t="str">
            <v>PC</v>
          </cell>
          <cell r="G512" t="str">
            <v>musa</v>
          </cell>
          <cell r="AA512" t="str">
            <v>COMMSCOPE STOCK</v>
          </cell>
        </row>
        <row r="513">
          <cell r="A513" t="str">
            <v>UJXMXMXAF-MBF060</v>
          </cell>
          <cell r="B513" t="str">
            <v>ULL,MPO12,M/M,LSZH,OM4,24f,AQUA</v>
          </cell>
          <cell r="C513" t="str">
            <v>0</v>
          </cell>
          <cell r="E513" t="str">
            <v>PC</v>
          </cell>
          <cell r="G513" t="str">
            <v>musa</v>
          </cell>
          <cell r="AA513" t="str">
            <v>COMMSCOPE STOCK</v>
          </cell>
        </row>
        <row r="514">
          <cell r="A514" t="str">
            <v>UJXMXMXAF-MBF080</v>
          </cell>
          <cell r="B514" t="str">
            <v>ULL,MPO12,M/M,LSZH,OM4,24f,AQUA</v>
          </cell>
          <cell r="C514" t="str">
            <v>0</v>
          </cell>
          <cell r="E514" t="str">
            <v>PC</v>
          </cell>
          <cell r="G514" t="str">
            <v>musa</v>
          </cell>
          <cell r="AA514" t="str">
            <v>COMMSCOPE STOCK</v>
          </cell>
        </row>
        <row r="515">
          <cell r="A515" t="str">
            <v>UJXMXMXAF-MBF065</v>
          </cell>
          <cell r="B515" t="str">
            <v>ULL,MPO12,M/M,LSZH,OM4,24f,AQUA</v>
          </cell>
          <cell r="C515" t="str">
            <v>0</v>
          </cell>
          <cell r="E515" t="str">
            <v>PC</v>
          </cell>
          <cell r="G515" t="str">
            <v>musa</v>
          </cell>
          <cell r="AA515" t="str">
            <v>COMMSCOPE STOCK</v>
          </cell>
        </row>
        <row r="516">
          <cell r="A516" t="str">
            <v>UJXMXMXAF-MBF075</v>
          </cell>
          <cell r="B516" t="str">
            <v>ULL,MPO12,M/M,LSZH,OM4,24f,AQUA</v>
          </cell>
          <cell r="C516" t="str">
            <v>0</v>
          </cell>
          <cell r="E516" t="str">
            <v>PC</v>
          </cell>
          <cell r="G516" t="str">
            <v>musa</v>
          </cell>
          <cell r="AA516" t="str">
            <v>COMMSCOPE STOCK</v>
          </cell>
        </row>
        <row r="517">
          <cell r="A517" t="str">
            <v>UJXMXMXAF-MBF070</v>
          </cell>
          <cell r="B517" t="str">
            <v>ULL,MPO12,M/M,LSZH,OM4,24f,AQUA</v>
          </cell>
          <cell r="C517" t="str">
            <v>0</v>
          </cell>
          <cell r="E517" t="str">
            <v>PC</v>
          </cell>
          <cell r="G517" t="str">
            <v>musa</v>
          </cell>
          <cell r="AA517" t="str">
            <v>COMMSCOPE STOCK</v>
          </cell>
        </row>
        <row r="518">
          <cell r="A518" t="str">
            <v>FGS-MH4E-H-VS</v>
          </cell>
          <cell r="B518" t="str">
            <v>FGS-MH4E-H-VS: KIT FGS 24" 45ELBOW VARI</v>
          </cell>
          <cell r="C518" t="str">
            <v>0</v>
          </cell>
          <cell r="E518" t="str">
            <v>PC</v>
          </cell>
          <cell r="G518" t="str">
            <v>musa</v>
          </cell>
          <cell r="AA518" t="str">
            <v>COMMSCOPE STOCK</v>
          </cell>
        </row>
        <row r="519">
          <cell r="A519" t="str">
            <v>FGS-HTHR-5/8-72</v>
          </cell>
          <cell r="B519" t="str">
            <v>FGS-HTHR-5/8-72: THREADED ROD</v>
          </cell>
          <cell r="C519" t="str">
            <v>0</v>
          </cell>
          <cell r="E519" t="str">
            <v>PC</v>
          </cell>
          <cell r="G519" t="str">
            <v>musa</v>
          </cell>
          <cell r="AA519" t="str">
            <v>COMMSCOPE STOCK</v>
          </cell>
        </row>
        <row r="520">
          <cell r="A520" t="str">
            <v>CO11192-01F002</v>
          </cell>
          <cell r="B520" t="str">
            <v>PCOSP-6AS-BK-2FT</v>
          </cell>
          <cell r="C520" t="str">
            <v>0</v>
          </cell>
          <cell r="E520" t="str">
            <v>PC</v>
          </cell>
          <cell r="G520" t="str">
            <v>musa</v>
          </cell>
          <cell r="AA520" t="str">
            <v>COMMSCOPE STOCK</v>
          </cell>
        </row>
        <row r="521">
          <cell r="A521" t="str">
            <v>760244295</v>
          </cell>
          <cell r="B521" t="str">
            <v>C-012-CN-8W,M12BK/ 28D/GY/D</v>
          </cell>
          <cell r="C521" t="str">
            <v>0</v>
          </cell>
          <cell r="E521" t="str">
            <v>PC</v>
          </cell>
          <cell r="G521" t="str">
            <v>musa</v>
          </cell>
          <cell r="AA521" t="str">
            <v>COMMSCOPE STOCK</v>
          </cell>
        </row>
        <row r="522">
          <cell r="A522" t="str">
            <v>FFWLASA21-JXF017</v>
          </cell>
          <cell r="B522" t="str">
            <v>UMPER, LSZH, TS, 1.6mm, SPLX, LA/SA</v>
          </cell>
          <cell r="C522" t="str">
            <v>2416</v>
          </cell>
          <cell r="E522" t="str">
            <v>PC</v>
          </cell>
          <cell r="F522" t="str">
            <v>228A</v>
          </cell>
          <cell r="G522" t="str">
            <v>musa</v>
          </cell>
          <cell r="AA522" t="str">
            <v>COMMSCOPE STOCK</v>
          </cell>
        </row>
        <row r="523">
          <cell r="A523" t="str">
            <v>FGS-KT03-A10F</v>
          </cell>
          <cell r="B523" t="str">
            <v>FGS-KT03-A10F: KIT,ADAPTER,4X4 TO DUAL 2</v>
          </cell>
          <cell r="C523" t="str">
            <v>0</v>
          </cell>
          <cell r="E523" t="str">
            <v>PC</v>
          </cell>
          <cell r="G523" t="str">
            <v>musa</v>
          </cell>
          <cell r="AA523" t="str">
            <v>COMMSCOPE STOCK</v>
          </cell>
        </row>
        <row r="524">
          <cell r="A524" t="str">
            <v>FFXLCLC42-MXF016</v>
          </cell>
          <cell r="B524" t="str">
            <v>JUMPER,LSZH,LS,1.6MM,DPLX,LC/LC,AQ,FT016</v>
          </cell>
          <cell r="C524" t="str">
            <v>0</v>
          </cell>
          <cell r="E524" t="str">
            <v>PC</v>
          </cell>
          <cell r="G524" t="str">
            <v>musa</v>
          </cell>
          <cell r="AA524" t="str">
            <v>COMMSCOPE STOCK</v>
          </cell>
        </row>
        <row r="525">
          <cell r="A525" t="str">
            <v>CPC3392-03F020</v>
          </cell>
          <cell r="C525" t="str">
            <v>0</v>
          </cell>
          <cell r="E525" t="str">
            <v>PC</v>
          </cell>
          <cell r="G525" t="str">
            <v>musa</v>
          </cell>
          <cell r="AA525" t="str">
            <v>COMMSCOPE STOCK</v>
          </cell>
        </row>
        <row r="526">
          <cell r="A526" t="str">
            <v>CPC3392-03F030</v>
          </cell>
          <cell r="C526" t="str">
            <v>0</v>
          </cell>
          <cell r="E526" t="str">
            <v>PC</v>
          </cell>
          <cell r="G526" t="str">
            <v>musa</v>
          </cell>
          <cell r="AA526" t="str">
            <v>COMMSCOPE STOCK</v>
          </cell>
        </row>
        <row r="527">
          <cell r="A527" t="str">
            <v>CPCSSZ2-03F004</v>
          </cell>
          <cell r="B527" t="str">
            <v>360GS10E-L Modular Patch Cord</v>
          </cell>
          <cell r="C527" t="str">
            <v>0</v>
          </cell>
          <cell r="E527" t="str">
            <v>PC</v>
          </cell>
          <cell r="G527" t="str">
            <v>musa</v>
          </cell>
          <cell r="AA527" t="str">
            <v>COMMSCOPE STOCK</v>
          </cell>
        </row>
        <row r="528">
          <cell r="A528" t="str">
            <v>760254805</v>
          </cell>
          <cell r="B528" t="str">
            <v>C-024-DS-8W-MSUBK/GY/C</v>
          </cell>
          <cell r="C528" t="str">
            <v>10242</v>
          </cell>
          <cell r="E528" t="str">
            <v>M</v>
          </cell>
          <cell r="G528" t="str">
            <v>4100 M = 1 DRUM       
2038 M = 1 DRUM 
4104 M = 1 DRUM</v>
          </cell>
          <cell r="AA528" t="str">
            <v>COMMSCOPE STOCK</v>
          </cell>
        </row>
        <row r="529">
          <cell r="A529" t="str">
            <v>CA111K2-0ZF010</v>
          </cell>
          <cell r="B529" t="str">
            <v>G10SP-L-BL-10FT</v>
          </cell>
          <cell r="C529" t="str">
            <v>0</v>
          </cell>
          <cell r="G529" t="str">
            <v>musa</v>
          </cell>
          <cell r="AA529" t="str">
            <v>COMMSCOPE STOCK</v>
          </cell>
        </row>
        <row r="530">
          <cell r="A530" t="str">
            <v>760154252</v>
          </cell>
          <cell r="B530" t="str">
            <v>HGS-A-MS-318 ADAPTER (BLUE)</v>
          </cell>
          <cell r="C530" t="str">
            <v>14</v>
          </cell>
          <cell r="F530" t="str">
            <v>289B</v>
          </cell>
          <cell r="G530" t="str">
            <v>musa</v>
          </cell>
          <cell r="AA530" t="str">
            <v>COMMSCOPE STOCK</v>
          </cell>
        </row>
        <row r="531">
          <cell r="A531" t="str">
            <v>1933943-6</v>
          </cell>
          <cell r="B531" t="str">
            <v>BOOT, HOODED, 0.310 YELLOW</v>
          </cell>
          <cell r="C531" t="str">
            <v>4</v>
          </cell>
          <cell r="F531" t="str">
            <v>288B</v>
          </cell>
          <cell r="G531" t="str">
            <v>musa</v>
          </cell>
          <cell r="AA531" t="str">
            <v>COMMSCOPE STOCK</v>
          </cell>
        </row>
        <row r="532">
          <cell r="A532" t="str">
            <v>760251046</v>
          </cell>
          <cell r="B532" t="str">
            <v>EPX-2U-MOD-ENC-FX</v>
          </cell>
          <cell r="C532" t="str">
            <v>0</v>
          </cell>
          <cell r="G532" t="str">
            <v>musa</v>
          </cell>
          <cell r="AA532" t="str">
            <v>COMMSCOPE STOCK</v>
          </cell>
        </row>
        <row r="533">
          <cell r="A533" t="str">
            <v>760248900</v>
          </cell>
          <cell r="B533" t="str">
            <v>WB2-EMT-BK-1P-MOD</v>
          </cell>
          <cell r="C533" t="str">
            <v>0</v>
          </cell>
          <cell r="G533" t="str">
            <v>musa</v>
          </cell>
          <cell r="AA533" t="str">
            <v>COMMSCOPE STOCK</v>
          </cell>
        </row>
        <row r="534">
          <cell r="A534" t="str">
            <v>760252669</v>
          </cell>
          <cell r="B534" t="str">
            <v>C-048-LN-8W-M12BK/25D/E</v>
          </cell>
          <cell r="C534" t="str">
            <v>122</v>
          </cell>
          <cell r="E534" t="str">
            <v>M</v>
          </cell>
          <cell r="F534" t="str">
            <v>0</v>
          </cell>
          <cell r="G534" t="str">
            <v>musa</v>
          </cell>
          <cell r="AA534" t="str">
            <v>COMMSCOPE STOCK</v>
          </cell>
        </row>
        <row r="535">
          <cell r="A535" t="str">
            <v>CA111K2-06F010</v>
          </cell>
          <cell r="B535" t="str">
            <v>G10SP-L-OR-10FT</v>
          </cell>
          <cell r="C535" t="str">
            <v>0</v>
          </cell>
          <cell r="G535" t="str">
            <v>musa</v>
          </cell>
          <cell r="AA535" t="str">
            <v>COMMSCOPE STOCK</v>
          </cell>
        </row>
        <row r="536">
          <cell r="A536" t="str">
            <v>1933433-1</v>
          </cell>
          <cell r="B536" t="str">
            <v>KIT,8P,MP,.310 ,CAT6/6A,SHIELDED</v>
          </cell>
          <cell r="C536" t="str">
            <v>194</v>
          </cell>
          <cell r="F536" t="str">
            <v>298B</v>
          </cell>
          <cell r="G536" t="str">
            <v>musa</v>
          </cell>
          <cell r="AA536" t="str">
            <v>COMMSCOPE STOCK</v>
          </cell>
        </row>
        <row r="537">
          <cell r="A537" t="str">
            <v>NPC6ASZDB-GY050C</v>
          </cell>
          <cell r="B537" t="str">
            <v>NPC, Cat 6A, Shielded, LSZH, Gray, 50C</v>
          </cell>
          <cell r="C537" t="str">
            <v>40</v>
          </cell>
          <cell r="E537" t="str">
            <v>EA</v>
          </cell>
          <cell r="F537" t="str">
            <v xml:space="preserve"> New WH</v>
          </cell>
          <cell r="G537" t="str">
            <v>musa</v>
          </cell>
          <cell r="AA537" t="str">
            <v>COMMSCOPE STOCK</v>
          </cell>
        </row>
        <row r="538">
          <cell r="A538" t="str">
            <v>1594559-6</v>
          </cell>
          <cell r="B538" t="str">
            <v>C-024-DS-8W-MSUYL/GY/C</v>
          </cell>
          <cell r="C538" t="str">
            <v>51</v>
          </cell>
          <cell r="E538" t="str">
            <v>M</v>
          </cell>
          <cell r="F538" t="str">
            <v>0</v>
          </cell>
          <cell r="G538" t="str">
            <v xml:space="preserve">0 M = 1 DRUM
</v>
          </cell>
          <cell r="AA538" t="str">
            <v>COMMSCOPE STOCK</v>
          </cell>
        </row>
        <row r="539">
          <cell r="A539" t="str">
            <v>FFVLCLC42-NXF005</v>
          </cell>
          <cell r="B539" t="str">
            <v>JUMPER,LSZH,LS550-WB,DPLX,LC/LC 5FT</v>
          </cell>
          <cell r="C539" t="str">
            <v>0</v>
          </cell>
          <cell r="E539" t="str">
            <v>EA</v>
          </cell>
          <cell r="G539" t="str">
            <v>musa</v>
          </cell>
          <cell r="AA539" t="str">
            <v>COMMSCOPE STOCK</v>
          </cell>
        </row>
        <row r="540">
          <cell r="A540" t="str">
            <v>FFVLCLC42-NXF007</v>
          </cell>
          <cell r="B540" t="str">
            <v>JUMPER,LSZH,LS550-WB,DPLX,LC/LC 7FT</v>
          </cell>
          <cell r="C540" t="str">
            <v>0</v>
          </cell>
          <cell r="E540" t="str">
            <v>EA</v>
          </cell>
          <cell r="G540" t="str">
            <v>musa</v>
          </cell>
          <cell r="AA540" t="str">
            <v>COMMSCOPE STOCK</v>
          </cell>
        </row>
        <row r="541">
          <cell r="A541" t="str">
            <v>FFVLCLC42-NXF010</v>
          </cell>
          <cell r="B541" t="str">
            <v>JUMPER,LSZH,LS550-WB,DPLX,LC/LC 10FT</v>
          </cell>
          <cell r="C541" t="str">
            <v>0</v>
          </cell>
          <cell r="E541" t="str">
            <v>EA</v>
          </cell>
          <cell r="G541" t="str">
            <v>musa</v>
          </cell>
          <cell r="AA541" t="str">
            <v>COMMSCOPE STOCK</v>
          </cell>
        </row>
        <row r="542">
          <cell r="A542" t="str">
            <v>FFVLCLC42-NXF015</v>
          </cell>
          <cell r="B542" t="str">
            <v>JUMPER,LSZH,LS550-WB,DPLX,LC/LC 15FT</v>
          </cell>
          <cell r="C542" t="str">
            <v>0</v>
          </cell>
          <cell r="E542" t="str">
            <v>EA</v>
          </cell>
          <cell r="G542" t="str">
            <v>musa</v>
          </cell>
          <cell r="AA542" t="str">
            <v>COMMSCOPE STOCK</v>
          </cell>
        </row>
        <row r="543">
          <cell r="A543" t="str">
            <v>760241378</v>
          </cell>
          <cell r="B543" t="str">
            <v>EPX-SPLICE-48</v>
          </cell>
          <cell r="C543" t="str">
            <v>14</v>
          </cell>
          <cell r="E543" t="str">
            <v>EA</v>
          </cell>
          <cell r="F543" t="str">
            <v>0</v>
          </cell>
          <cell r="G543" t="str">
            <v>musa</v>
          </cell>
          <cell r="AA543" t="str">
            <v>COMMSCOPE STOCK</v>
          </cell>
        </row>
        <row r="544">
          <cell r="A544" t="str">
            <v>760154229</v>
          </cell>
          <cell r="B544" t="str">
            <v>HGS-A-MS-112 ADAPTER (ORANGE)</v>
          </cell>
          <cell r="C544" t="str">
            <v>9</v>
          </cell>
          <cell r="E544" t="str">
            <v>EA</v>
          </cell>
          <cell r="F544" t="str">
            <v>0</v>
          </cell>
          <cell r="G544" t="str">
            <v>musa</v>
          </cell>
          <cell r="AA544" t="str">
            <v>COMMSCOPE STOCK</v>
          </cell>
        </row>
        <row r="545">
          <cell r="A545" t="str">
            <v>1933943-4</v>
          </cell>
          <cell r="B545" t="str">
            <v>BOOT, HOODED, 0.310 BLUE</v>
          </cell>
          <cell r="C545" t="str">
            <v>41</v>
          </cell>
          <cell r="E545" t="str">
            <v>EA</v>
          </cell>
          <cell r="F545" t="str">
            <v>0</v>
          </cell>
          <cell r="G545" t="str">
            <v>musa</v>
          </cell>
          <cell r="AA545" t="str">
            <v>COMMSCOPE STOCK</v>
          </cell>
        </row>
        <row r="546">
          <cell r="A546" t="str">
            <v>760189506</v>
          </cell>
          <cell r="B546" t="str">
            <v>LF82-262 Shutt Faceplate Clip, 1-port Wh</v>
          </cell>
          <cell r="C546" t="str">
            <v>0</v>
          </cell>
          <cell r="E546" t="str">
            <v>EA</v>
          </cell>
          <cell r="G546" t="str">
            <v>musa</v>
          </cell>
          <cell r="AA546" t="str">
            <v>COMMSCOPE STOCK</v>
          </cell>
        </row>
        <row r="547">
          <cell r="A547" t="str">
            <v>2-1716363-4</v>
          </cell>
          <cell r="B547" t="str">
            <v>C-004-DS-8W-MSUYL/GY/C</v>
          </cell>
          <cell r="C547" t="str">
            <v>0</v>
          </cell>
          <cell r="E547" t="str">
            <v>EA</v>
          </cell>
          <cell r="G547" t="str">
            <v>0 M = 1 DRUM</v>
          </cell>
          <cell r="AA547" t="str">
            <v>COMMSCOPE STOCK</v>
          </cell>
        </row>
        <row r="548">
          <cell r="A548" t="str">
            <v>FFXLCLC42-MXF082</v>
          </cell>
          <cell r="B548" t="str">
            <v>JUMPER,LSZH,LS,1.6MM,DPLX,LC/LC,AQ,FT082</v>
          </cell>
          <cell r="C548" t="str">
            <v>0</v>
          </cell>
          <cell r="E548" t="str">
            <v>EA</v>
          </cell>
          <cell r="G548" t="str">
            <v>musa</v>
          </cell>
          <cell r="AA548" t="str">
            <v>COMMSCOPE STOCK</v>
          </cell>
        </row>
        <row r="549">
          <cell r="A549" t="str">
            <v>700206667</v>
          </cell>
          <cell r="B549" t="str">
            <v>MGS400 BLACK OUTLET</v>
          </cell>
          <cell r="C549" t="str">
            <v>0</v>
          </cell>
          <cell r="E549" t="str">
            <v>EA</v>
          </cell>
          <cell r="G549" t="str">
            <v>musa</v>
          </cell>
          <cell r="AA549" t="str">
            <v>COMMSCOPE STOCK</v>
          </cell>
        </row>
        <row r="550">
          <cell r="A550" t="str">
            <v>760159988</v>
          </cell>
          <cell r="B550" t="str">
            <v xml:space="preserve">3297B WHT C7 4/23 S/FTP R1640 </v>
          </cell>
          <cell r="C550" t="str">
            <v>0</v>
          </cell>
          <cell r="E550" t="str">
            <v>1640 FT = 1 Roll</v>
          </cell>
          <cell r="F550" t="str">
            <v>0</v>
          </cell>
          <cell r="G550" t="str">
            <v>musa</v>
          </cell>
          <cell r="AA550" t="str">
            <v>COMMSCOPE STOCK</v>
          </cell>
        </row>
        <row r="551">
          <cell r="A551" t="str">
            <v>884072754/16</v>
          </cell>
          <cell r="B551" t="str">
            <v>CS41ZB BLU C6A 4/24 U/UTP RL 500M</v>
          </cell>
          <cell r="C551" t="str">
            <v>1000</v>
          </cell>
          <cell r="E551" t="str">
            <v>EA</v>
          </cell>
          <cell r="F551" t="str">
            <v xml:space="preserve"> New WH</v>
          </cell>
          <cell r="G551" t="str">
            <v>musa</v>
          </cell>
          <cell r="AA551" t="str">
            <v>COMMSCOPE STOCK</v>
          </cell>
        </row>
        <row r="552">
          <cell r="A552" t="str">
            <v>1594770-6</v>
          </cell>
          <cell r="B552" t="str">
            <v>C-006-DS-8W-MSUYL/GY/C</v>
          </cell>
          <cell r="C552" t="str">
            <v>201</v>
          </cell>
          <cell r="E552" t="str">
            <v>EA</v>
          </cell>
          <cell r="F552" t="str">
            <v>0</v>
          </cell>
          <cell r="G552" t="str">
            <v xml:space="preserve">201 M = 1 DRUM
</v>
          </cell>
          <cell r="AA552" t="str">
            <v>COMMSCOPE STOCK</v>
          </cell>
        </row>
        <row r="553">
          <cell r="A553" t="str">
            <v>76004184</v>
          </cell>
          <cell r="B553" t="str">
            <v>Z-012-DS-8W-FSUBK/D</v>
          </cell>
          <cell r="C553" t="str">
            <v>4920</v>
          </cell>
          <cell r="E553" t="str">
            <v>EA</v>
          </cell>
          <cell r="F553" t="str">
            <v>0</v>
          </cell>
          <cell r="G553" t="str">
            <v>4920 M = 1 DRUM</v>
          </cell>
          <cell r="AA553" t="str">
            <v>COMMSCOPE STOCK</v>
          </cell>
        </row>
        <row r="554">
          <cell r="A554" t="str">
            <v>760249003</v>
          </cell>
          <cell r="B554" t="str">
            <v>Crimp Tool 8P, Sentinel 900020</v>
          </cell>
          <cell r="C554" t="str">
            <v>2</v>
          </cell>
          <cell r="E554" t="str">
            <v>EA</v>
          </cell>
          <cell r="F554" t="str">
            <v>0</v>
          </cell>
          <cell r="G554" t="str">
            <v>musa</v>
          </cell>
          <cell r="AA554" t="str">
            <v>COMMSCOPE STOCK</v>
          </cell>
        </row>
        <row r="555">
          <cell r="A555" t="str">
            <v>URXQPLUF8-MDF050</v>
          </cell>
          <cell r="B555" t="str">
            <v>ARRAY,ULL,LSZH,OM4,- MPO8F,LU,8F,2MM</v>
          </cell>
          <cell r="C555" t="str">
            <v>0</v>
          </cell>
          <cell r="E555" t="str">
            <v>EA</v>
          </cell>
          <cell r="G555" t="str">
            <v>musa</v>
          </cell>
          <cell r="AA555" t="str">
            <v>COMMSCOPE STOCK</v>
          </cell>
        </row>
        <row r="556">
          <cell r="A556" t="str">
            <v>760053272</v>
          </cell>
          <cell r="B556" t="str">
            <v>D-006-LA-8W-F06NS</v>
          </cell>
          <cell r="C556" t="str">
            <v>9380</v>
          </cell>
          <cell r="E556" t="str">
            <v>FT</v>
          </cell>
          <cell r="F556" t="str">
            <v>0</v>
          </cell>
          <cell r="G556" t="str">
            <v xml:space="preserve">9380 FT = 1 DRUM
</v>
          </cell>
          <cell r="AA556" t="str">
            <v>COMMSCOPE STOCK</v>
          </cell>
        </row>
        <row r="557">
          <cell r="A557" t="str">
            <v>CPCSSZ2-03F066</v>
          </cell>
          <cell r="B557" t="str">
            <v>360GS10E-L-DG-66FT</v>
          </cell>
          <cell r="C557" t="str">
            <v>200</v>
          </cell>
          <cell r="E557" t="str">
            <v>PC</v>
          </cell>
          <cell r="F557" t="str">
            <v>0</v>
          </cell>
          <cell r="G557" t="str">
            <v>musa</v>
          </cell>
          <cell r="AA557" t="str">
            <v>COMMSCOPE STOCK</v>
          </cell>
        </row>
        <row r="558">
          <cell r="A558" t="str">
            <v>CPCSSZ2-03F082</v>
          </cell>
          <cell r="B558" t="str">
            <v>GigaSPEED X10D Patch Cord 82ft</v>
          </cell>
          <cell r="C558" t="str">
            <v>50</v>
          </cell>
          <cell r="E558" t="str">
            <v>PC</v>
          </cell>
          <cell r="F558" t="str">
            <v xml:space="preserve"> New WH</v>
          </cell>
          <cell r="G558" t="str">
            <v>musa</v>
          </cell>
          <cell r="AA558" t="str">
            <v>COMMSCOPE STOCK</v>
          </cell>
        </row>
        <row r="559">
          <cell r="A559" t="str">
            <v>760110957</v>
          </cell>
          <cell r="B559" t="str">
            <v>MGS600 Outlet Black Bulk Pack</v>
          </cell>
          <cell r="C559" t="str">
            <v>0</v>
          </cell>
          <cell r="E559" t="str">
            <v>PC</v>
          </cell>
          <cell r="G559" t="str">
            <v>musa</v>
          </cell>
          <cell r="AA559" t="str">
            <v>COMMSCOPE STOCK</v>
          </cell>
        </row>
        <row r="560">
          <cell r="A560" t="str">
            <v>CZ9129-000</v>
          </cell>
          <cell r="B560" t="str">
            <v>BUDI-2S-T-12L1ES</v>
          </cell>
          <cell r="C560" t="str">
            <v>0</v>
          </cell>
          <cell r="E560" t="str">
            <v>PC</v>
          </cell>
          <cell r="G560" t="str">
            <v>musa</v>
          </cell>
          <cell r="AA560" t="str">
            <v>COMMSCOPE STOCK</v>
          </cell>
        </row>
        <row r="561">
          <cell r="A561" t="str">
            <v>760150144</v>
          </cell>
          <cell r="B561" t="str">
            <v>360-IPR-MFTP-E-HD6B-1U-24</v>
          </cell>
          <cell r="C561" t="str">
            <v>0</v>
          </cell>
          <cell r="E561" t="str">
            <v>PC</v>
          </cell>
          <cell r="G561" t="str">
            <v>musa</v>
          </cell>
          <cell r="AA561" t="str">
            <v>COMMSCOPE STOCK</v>
          </cell>
        </row>
        <row r="562">
          <cell r="A562" t="str">
            <v>760003954</v>
          </cell>
          <cell r="B562" t="str">
            <v>O-024-CA-8W-F12NS</v>
          </cell>
          <cell r="C562" t="str">
            <v>0</v>
          </cell>
          <cell r="E562" t="str">
            <v>FT</v>
          </cell>
          <cell r="G562" t="str">
            <v>0 FT = 01 DRUM</v>
          </cell>
          <cell r="AA562" t="str">
            <v>COMMSCOPE STOCK</v>
          </cell>
        </row>
        <row r="563">
          <cell r="A563" t="str">
            <v>FGS-MSHS-H10</v>
          </cell>
          <cell r="B563" t="str">
            <v>24" FGS TROUGH KJT !OFT YELL</v>
          </cell>
          <cell r="C563" t="str">
            <v>133</v>
          </cell>
          <cell r="E563" t="str">
            <v>PC</v>
          </cell>
          <cell r="F563" t="str">
            <v xml:space="preserve"> New WH</v>
          </cell>
          <cell r="G563" t="str">
            <v>musa</v>
          </cell>
          <cell r="AA563" t="str">
            <v>COMMSCOPE STOCK</v>
          </cell>
        </row>
        <row r="564">
          <cell r="A564" t="str">
            <v>FGS-MEX1-C-5F</v>
          </cell>
          <cell r="B564" t="str">
            <v>FGS-MEX1-C-5F: KIT, ADAPTER, 2X2 TO2"F</v>
          </cell>
          <cell r="C564" t="str">
            <v>277</v>
          </cell>
          <cell r="E564" t="str">
            <v>PC</v>
          </cell>
          <cell r="F564" t="str">
            <v xml:space="preserve"> New WH</v>
          </cell>
          <cell r="G564" t="str">
            <v>musa</v>
          </cell>
          <cell r="AA564" t="str">
            <v>COMMSCOPE STOCK</v>
          </cell>
        </row>
        <row r="565">
          <cell r="A565" t="str">
            <v>760241056</v>
          </cell>
          <cell r="B565" t="str">
            <v>O-012-LN-8W-M12BK/20G</v>
          </cell>
          <cell r="C565" t="str">
            <v>0</v>
          </cell>
          <cell r="E565" t="str">
            <v>PC</v>
          </cell>
          <cell r="F565" t="str">
            <v xml:space="preserve"> New WH</v>
          </cell>
          <cell r="G565" t="str">
            <v>musa</v>
          </cell>
          <cell r="AA565" t="str">
            <v>COMMSCOPE STOCK</v>
          </cell>
        </row>
        <row r="566">
          <cell r="A566" t="str">
            <v>760243327</v>
          </cell>
          <cell r="B566" t="str">
            <v>C-024-LN-8W-M12BK/20G/HTS/D</v>
          </cell>
          <cell r="C566" t="str">
            <v>1000</v>
          </cell>
          <cell r="E566" t="str">
            <v>PC</v>
          </cell>
          <cell r="G566" t="str">
            <v>musa</v>
          </cell>
          <cell r="AA566" t="str">
            <v>COMMSCOPE STOCK</v>
          </cell>
        </row>
        <row r="567">
          <cell r="G567" t="str">
            <v>musa</v>
          </cell>
          <cell r="AA567" t="str">
            <v>COMMSCOPE STOCK</v>
          </cell>
        </row>
        <row r="568">
          <cell r="B568" t="str">
            <v xml:space="preserve"> </v>
          </cell>
          <cell r="G568" t="str">
            <v>musa</v>
          </cell>
          <cell r="AA568" t="str">
            <v>COMMSCOPE STOCK</v>
          </cell>
        </row>
        <row r="569">
          <cell r="B569" t="str">
            <v xml:space="preserve"> </v>
          </cell>
          <cell r="G569" t="str">
            <v>musa</v>
          </cell>
          <cell r="AA569" t="str">
            <v>COMMSCOPE STOCK</v>
          </cell>
        </row>
        <row r="570">
          <cell r="A570" t="str">
            <v>PartNumber</v>
          </cell>
          <cell r="B570" t="str">
            <v>Material description</v>
          </cell>
          <cell r="C570" t="str">
            <v>Available Qty</v>
          </cell>
          <cell r="E570" t="str">
            <v>UOM</v>
          </cell>
          <cell r="F570" t="str">
            <v>Rack#</v>
          </cell>
          <cell r="G570" t="str">
            <v>musa</v>
          </cell>
          <cell r="AA570" t="str">
            <v>SCHNEIDER STOCK</v>
          </cell>
        </row>
        <row r="571">
          <cell r="A571" t="str">
            <v>AP8853</v>
          </cell>
          <cell r="B571" t="str">
            <v>Rack PDU 2G Metered ZeroU 32A 230V (36) C13 &amp; (6) C19</v>
          </cell>
          <cell r="C571">
            <v>50</v>
          </cell>
          <cell r="E571" t="str">
            <v>PCS</v>
          </cell>
          <cell r="G571" t="str">
            <v>musa</v>
          </cell>
          <cell r="AA571" t="str">
            <v>SCHNEIDER STOCK</v>
          </cell>
        </row>
        <row r="572">
          <cell r="A572" t="str">
            <v>AP9640</v>
          </cell>
          <cell r="B572" t="str">
            <v>UPS Network Management Card 3</v>
          </cell>
          <cell r="C572">
            <v>66</v>
          </cell>
          <cell r="E572" t="str">
            <v>PCS</v>
          </cell>
          <cell r="F572" t="str">
            <v>257A</v>
          </cell>
          <cell r="G572" t="str">
            <v>musa</v>
          </cell>
          <cell r="AA572" t="str">
            <v>SCHNEIDER STOCK</v>
          </cell>
        </row>
        <row r="573">
          <cell r="A573" t="str">
            <v>APV9601</v>
          </cell>
          <cell r="B573" t="str">
            <v>APC Easy UPS Online SNMP Card</v>
          </cell>
          <cell r="C573">
            <v>0</v>
          </cell>
          <cell r="E573" t="str">
            <v>PCS</v>
          </cell>
          <cell r="G573" t="str">
            <v>musa</v>
          </cell>
          <cell r="AA573" t="str">
            <v>SCHNEIDER STOCK</v>
          </cell>
        </row>
        <row r="574">
          <cell r="A574" t="str">
            <v>AR3100</v>
          </cell>
          <cell r="B574" t="str">
            <v>NETSHELTER SX 42U</v>
          </cell>
          <cell r="C574">
            <v>12</v>
          </cell>
          <cell r="E574" t="str">
            <v>PCS</v>
          </cell>
          <cell r="F574" t="str">
            <v>401C,403C,404C,ZONE A</v>
          </cell>
          <cell r="G574" t="str">
            <v>musa</v>
          </cell>
          <cell r="AA574" t="str">
            <v>SCHNEIDER STOCK</v>
          </cell>
        </row>
        <row r="575">
          <cell r="A575" t="str">
            <v>AR3350</v>
          </cell>
          <cell r="B575" t="str">
            <v>NetShelter SX 42U 750mm Wide x 1200mm Deep Enclosure</v>
          </cell>
          <cell r="C575">
            <v>2</v>
          </cell>
          <cell r="E575" t="str">
            <v>PCS</v>
          </cell>
          <cell r="F575" t="str">
            <v>422C</v>
          </cell>
          <cell r="G575" t="str">
            <v>musa</v>
          </cell>
          <cell r="AA575" t="str">
            <v>SCHNEIDER STOCK</v>
          </cell>
        </row>
        <row r="576">
          <cell r="A576" t="str">
            <v>SMT3000RMI2UC</v>
          </cell>
          <cell r="B576" t="str">
            <v>APC Smart-UPS 3000VA LCD RM 2U 230V with SmartConnect</v>
          </cell>
          <cell r="C576">
            <v>0</v>
          </cell>
          <cell r="E576" t="str">
            <v>PCS</v>
          </cell>
          <cell r="G576" t="str">
            <v>musa</v>
          </cell>
          <cell r="AA576" t="str">
            <v>SCHNEIDER STOCK</v>
          </cell>
        </row>
        <row r="577">
          <cell r="A577" t="str">
            <v>SMV1000I-MSX</v>
          </cell>
          <cell r="B577" t="str">
            <v>APC Easy UPS SMV 1000VA Universal Outlet UK power cord 230V</v>
          </cell>
          <cell r="C577">
            <v>30</v>
          </cell>
          <cell r="E577" t="str">
            <v>PCS</v>
          </cell>
          <cell r="F577" t="str">
            <v>249C,279C,428B</v>
          </cell>
          <cell r="G577" t="str">
            <v>musa</v>
          </cell>
          <cell r="AA577" t="str">
            <v>SCHNEIDER STOCK</v>
          </cell>
        </row>
        <row r="578">
          <cell r="A578" t="str">
            <v>SMV1500AI-MSX</v>
          </cell>
          <cell r="B578" t="str">
            <v>APC Easy UPS SMV 1500VA Universal Outlet UK power cord 230V</v>
          </cell>
          <cell r="C578">
            <v>21</v>
          </cell>
          <cell r="E578" t="str">
            <v>PCS</v>
          </cell>
          <cell r="F578" t="str">
            <v>208B,245C,246C,246A,241C,256B,245C</v>
          </cell>
          <cell r="G578" t="str">
            <v>musa</v>
          </cell>
          <cell r="AA578" t="str">
            <v>SCHNEIDER STOCK</v>
          </cell>
        </row>
        <row r="579">
          <cell r="A579" t="str">
            <v>SMV2000AI-MSX</v>
          </cell>
          <cell r="B579" t="str">
            <v>APC Easy UPS SMV 2000VA Universal Outlet UK power cord 230V</v>
          </cell>
          <cell r="C579">
            <v>72</v>
          </cell>
          <cell r="E579" t="str">
            <v>PCS</v>
          </cell>
          <cell r="F579" t="str">
            <v>281A,247C,267C,260C</v>
          </cell>
          <cell r="G579" t="str">
            <v>musa</v>
          </cell>
          <cell r="AA579" t="str">
            <v>SCHNEIDER STOCK</v>
          </cell>
        </row>
        <row r="580">
          <cell r="A580" t="str">
            <v>SMV3000AI-MSX</v>
          </cell>
          <cell r="B580" t="str">
            <v>APC Easy UPS SMV 3000VA Universal Outlet UK power cord 230V</v>
          </cell>
          <cell r="C580">
            <v>3</v>
          </cell>
          <cell r="E580" t="str">
            <v>PCS</v>
          </cell>
          <cell r="F580" t="str">
            <v>274A,261B,203C,239C,245C,222C,226C,257A,262A,423B,430B,272A,245A</v>
          </cell>
          <cell r="G580" t="str">
            <v>musa</v>
          </cell>
          <cell r="AA580" t="str">
            <v>SCHNEIDER STOCK</v>
          </cell>
        </row>
        <row r="581">
          <cell r="A581" t="str">
            <v>SRT192BP</v>
          </cell>
          <cell r="B581" t="str">
            <v>APC Smart-UPS SRT 192V 5kVA and 6kVA Battery Pack</v>
          </cell>
          <cell r="C581">
            <v>41</v>
          </cell>
          <cell r="E581" t="str">
            <v>PCS</v>
          </cell>
          <cell r="F581" t="str">
            <v>282B,282B,208C,270C,273C,425B,425B,433B,424C</v>
          </cell>
          <cell r="G581" t="str">
            <v>musa</v>
          </cell>
          <cell r="AA581" t="str">
            <v>SCHNEIDER STOCK</v>
          </cell>
        </row>
        <row r="582">
          <cell r="A582" t="str">
            <v>SRT96BP</v>
          </cell>
          <cell r="B582" t="str">
            <v>APC Smart-UPS SRT 96V 3kVA Battery Pack</v>
          </cell>
          <cell r="C582">
            <v>27</v>
          </cell>
          <cell r="E582" t="str">
            <v>PCS</v>
          </cell>
          <cell r="F582" t="str">
            <v>260B,277C,401A,263B,254B</v>
          </cell>
          <cell r="G582" t="str">
            <v>musa</v>
          </cell>
          <cell r="AA582" t="str">
            <v>SCHNEIDER STOCK</v>
          </cell>
        </row>
        <row r="583">
          <cell r="A583" t="str">
            <v>SRT2200XLI</v>
          </cell>
          <cell r="B583" t="str">
            <v>APC Smart-UPS SRT 2200VA 230V</v>
          </cell>
          <cell r="C583">
            <v>37</v>
          </cell>
          <cell r="E583" t="str">
            <v>PCS</v>
          </cell>
          <cell r="F583" t="str">
            <v>435A,279B,279B,239C,254C,265C,272C,257C,250B</v>
          </cell>
          <cell r="G583" t="str">
            <v>musa</v>
          </cell>
          <cell r="AA583" t="str">
            <v>SCHNEIDER STOCK</v>
          </cell>
        </row>
        <row r="584">
          <cell r="A584" t="str">
            <v>SRTG192XLBP2</v>
          </cell>
          <cell r="B584" t="str">
            <v>APC SMART-UPS RT 192V 9AH BATTERY PACK 2 ROWS</v>
          </cell>
          <cell r="C584">
            <v>6</v>
          </cell>
          <cell r="E584" t="str">
            <v>PCS</v>
          </cell>
          <cell r="G584" t="str">
            <v>musa</v>
          </cell>
          <cell r="AA584" t="str">
            <v>SCHNEIDER STOCK</v>
          </cell>
        </row>
        <row r="585">
          <cell r="A585" t="str">
            <v>SRTG5KXLI</v>
          </cell>
          <cell r="B585" t="str">
            <v>APC Smart-UPS RT 5kVA 230V</v>
          </cell>
          <cell r="C585">
            <v>20</v>
          </cell>
          <cell r="E585" t="str">
            <v>PCS</v>
          </cell>
          <cell r="F585" t="str">
            <v>276A,252C,266B,243B</v>
          </cell>
          <cell r="G585" t="str">
            <v>musa</v>
          </cell>
          <cell r="AA585" t="str">
            <v>SCHNEIDER STOCK</v>
          </cell>
        </row>
        <row r="586">
          <cell r="A586" t="str">
            <v>SRVPM10KRIL</v>
          </cell>
          <cell r="B586" t="str">
            <v>APC Easy UPS SRV RM 10000VA 230V No Battery Extended Runtime</v>
          </cell>
          <cell r="C586">
            <v>0</v>
          </cell>
          <cell r="E586" t="str">
            <v>PCS</v>
          </cell>
          <cell r="F586" t="str">
            <v>269C,282C,414A,271B</v>
          </cell>
          <cell r="G586" t="str">
            <v>musa</v>
          </cell>
          <cell r="AA586" t="str">
            <v>SCHNEIDER STOCK</v>
          </cell>
        </row>
        <row r="587">
          <cell r="A587" t="str">
            <v>SRVRK1</v>
          </cell>
          <cell r="B587" t="str">
            <v>APC Easy UPS RAIL KIT 700MM</v>
          </cell>
          <cell r="C587">
            <v>10</v>
          </cell>
          <cell r="E587" t="str">
            <v>PCS</v>
          </cell>
          <cell r="F587" t="str">
            <v>274B,274B,236A,254A,436B,453B</v>
          </cell>
          <cell r="G587" t="str">
            <v>musa</v>
          </cell>
          <cell r="AA587" t="str">
            <v>SCHNEIDER STOCK</v>
          </cell>
        </row>
        <row r="588">
          <cell r="A588" t="str">
            <v>SRV240RLBP-9A</v>
          </cell>
          <cell r="B588" t="str">
            <v>APC Easy UPS SRV 240V RM Battery Pack for 6&amp;10K va Rack Extended Runtime Model</v>
          </cell>
          <cell r="C588">
            <v>18</v>
          </cell>
          <cell r="E588" t="str">
            <v>PCS</v>
          </cell>
          <cell r="F588" t="str">
            <v>275B,275B,254B,260C,235A,400A,401A,403A,408A,452B,249B,272A</v>
          </cell>
          <cell r="G588" t="str">
            <v>musa</v>
          </cell>
          <cell r="AA588" t="str">
            <v>SCHNEIDER STOCK</v>
          </cell>
        </row>
        <row r="589">
          <cell r="A589" t="str">
            <v>SRTGRK1</v>
          </cell>
          <cell r="B589" t="str">
            <v>APC Easy UPS RAIL KIT 700MM</v>
          </cell>
          <cell r="C589">
            <v>184</v>
          </cell>
          <cell r="E589" t="str">
            <v>PCS</v>
          </cell>
          <cell r="F589" t="str">
            <v>234A</v>
          </cell>
          <cell r="G589" t="str">
            <v>musa</v>
          </cell>
          <cell r="AA589" t="str">
            <v>SCHNEIDER STOCK</v>
          </cell>
        </row>
        <row r="590">
          <cell r="A590" t="str">
            <v>SRTRK2</v>
          </cell>
          <cell r="B590" t="str">
            <v>APC Smart-UPS SRT 19 Rail Kit for Smart-UPS SRT 5/6/8/10kVA</v>
          </cell>
          <cell r="C590">
            <v>370</v>
          </cell>
          <cell r="E590" t="str">
            <v>PCS</v>
          </cell>
          <cell r="F590" t="str">
            <v>243A,269B</v>
          </cell>
          <cell r="G590" t="str">
            <v>musa</v>
          </cell>
          <cell r="AA590" t="str">
            <v>SCHNEIDER STOCK</v>
          </cell>
        </row>
        <row r="591">
          <cell r="A591" t="str">
            <v>SRV72RLBP-9A</v>
          </cell>
          <cell r="B591" t="str">
            <v>APC Easy UPS ONLINE SRV RM 72V Battery Pack for 2/3 kVA Ext. Runtime Model</v>
          </cell>
          <cell r="C591">
            <v>11</v>
          </cell>
          <cell r="E591" t="str">
            <v>PCS</v>
          </cell>
          <cell r="F591" t="str">
            <v>276B,276B,258B,257B,246C,282C,283C,232A,233A,234A,236A,454B,263B,226A,273A,244B</v>
          </cell>
          <cell r="G591" t="str">
            <v>musa</v>
          </cell>
          <cell r="AA591" t="str">
            <v>SCHNEIDER STOCK</v>
          </cell>
        </row>
        <row r="592">
          <cell r="A592" t="str">
            <v>SRVRK2</v>
          </cell>
          <cell r="B592" t="str">
            <v>APC Easy UPS RAIL KIT 900MM</v>
          </cell>
          <cell r="C592">
            <v>438</v>
          </cell>
          <cell r="E592" t="str">
            <v>PCS</v>
          </cell>
          <cell r="F592" t="str">
            <v>274B,274B,276A,274C,243A,252A,253A,419B,431B,436B,453B,271B</v>
          </cell>
          <cell r="G592" t="str">
            <v>musa</v>
          </cell>
          <cell r="AA592" t="str">
            <v>SCHNEIDER STOCK</v>
          </cell>
        </row>
        <row r="593">
          <cell r="A593" t="str">
            <v>SRV1KRILRK</v>
          </cell>
          <cell r="B593" t="str">
            <v>APC Easy UPS ONLINE SRV RM Ext. Runtime 1000VA 230V with Rail kit Batt pack  Consisting of  1 x SRVPM1KRIL  1 x SRV36RLBP-9A  2 x SRVRK1</v>
          </cell>
          <cell r="C593">
            <v>11</v>
          </cell>
          <cell r="E593" t="str">
            <v>2PN</v>
          </cell>
          <cell r="G593" t="str">
            <v>musa</v>
          </cell>
          <cell r="AA593" t="str">
            <v>SCHNEIDER STOCK</v>
          </cell>
        </row>
        <row r="594">
          <cell r="A594" t="str">
            <v>Sub Part number</v>
          </cell>
          <cell r="B594" t="str">
            <v>SRVRK1</v>
          </cell>
          <cell r="C594">
            <v>0</v>
          </cell>
          <cell r="E594" t="str">
            <v xml:space="preserve">SRVRK1 = </v>
          </cell>
          <cell r="G594" t="str">
            <v>musa</v>
          </cell>
          <cell r="AA594" t="str">
            <v>SCHNEIDER STOCK</v>
          </cell>
        </row>
        <row r="595">
          <cell r="A595" t="str">
            <v>Sub Part number</v>
          </cell>
          <cell r="B595" t="str">
            <v>SRVPM1KRIL</v>
          </cell>
          <cell r="C595">
            <v>0</v>
          </cell>
          <cell r="E595" t="str">
            <v xml:space="preserve">SRVPM1KRIL = </v>
          </cell>
          <cell r="G595" t="str">
            <v>musa</v>
          </cell>
          <cell r="AA595" t="str">
            <v>SCHNEIDER STOCK</v>
          </cell>
        </row>
        <row r="596">
          <cell r="A596" t="str">
            <v>Sub Part number</v>
          </cell>
          <cell r="B596" t="str">
            <v>SRV36RLBP-9A</v>
          </cell>
          <cell r="C596">
            <v>0</v>
          </cell>
          <cell r="E596" t="str">
            <v xml:space="preserve">SRV36RLBP-9A = </v>
          </cell>
          <cell r="G596" t="str">
            <v>musa</v>
          </cell>
          <cell r="AA596" t="str">
            <v>SCHNEIDER STOCK</v>
          </cell>
        </row>
        <row r="597">
          <cell r="A597" t="str">
            <v>SRV2KRILRK</v>
          </cell>
          <cell r="B597" t="str">
            <v>APC Easy UPS ONLINE SRV RM Ext. Runtime 2000VA 230V with Rail kit Batt pack Consisting of  1 x SRVPM2KRIL  1 x SRV72RLBP-9A  2 x SRVRK1</v>
          </cell>
          <cell r="C597">
            <v>18</v>
          </cell>
          <cell r="E597" t="str">
            <v>3PN</v>
          </cell>
          <cell r="G597" t="str">
            <v>musa</v>
          </cell>
          <cell r="AA597" t="str">
            <v>SCHNEIDER STOCK</v>
          </cell>
        </row>
        <row r="598">
          <cell r="A598" t="str">
            <v>Sub Part number</v>
          </cell>
          <cell r="B598" t="str">
            <v>SRVPM2KRIL</v>
          </cell>
          <cell r="C598">
            <v>18</v>
          </cell>
          <cell r="E598" t="str">
            <v xml:space="preserve">SRVPM2KRIL = </v>
          </cell>
          <cell r="G598" t="str">
            <v>musa</v>
          </cell>
          <cell r="AA598" t="str">
            <v>SCHNEIDER STOCK</v>
          </cell>
        </row>
        <row r="599">
          <cell r="A599" t="str">
            <v>Sub Part number</v>
          </cell>
          <cell r="B599" t="str">
            <v>SRV72RLBP-9A</v>
          </cell>
          <cell r="C599">
            <v>18</v>
          </cell>
          <cell r="E599" t="str">
            <v xml:space="preserve">SRV72RLBP-9A = </v>
          </cell>
          <cell r="G599" t="str">
            <v>musa</v>
          </cell>
          <cell r="AA599" t="str">
            <v>SCHNEIDER STOCK</v>
          </cell>
        </row>
        <row r="600">
          <cell r="A600" t="str">
            <v>Sub Part number</v>
          </cell>
          <cell r="B600" t="str">
            <v>SRVRK1</v>
          </cell>
          <cell r="C600">
            <v>36</v>
          </cell>
          <cell r="E600" t="str">
            <v xml:space="preserve">SRVRK1 = </v>
          </cell>
          <cell r="G600" t="str">
            <v>musa</v>
          </cell>
          <cell r="AA600" t="str">
            <v>SCHNEIDER STOCK</v>
          </cell>
        </row>
        <row r="601">
          <cell r="A601" t="str">
            <v>SRV3KRILRK</v>
          </cell>
          <cell r="B601" t="str">
            <v>APC Easy UPS ONLINE SRV RM Ext. Runtime 3000VA 230V with Rail kit Batt pack Consisting of  1 x SRVPM3KRIL  1 x SRV72RLBP-9A  2 x SRVRK1</v>
          </cell>
          <cell r="C601">
            <v>44</v>
          </cell>
          <cell r="E601" t="str">
            <v>3PN</v>
          </cell>
          <cell r="G601" t="str">
            <v>musa</v>
          </cell>
          <cell r="AA601" t="str">
            <v>SCHNEIDER STOCK</v>
          </cell>
        </row>
        <row r="602">
          <cell r="A602" t="str">
            <v>Sub Part number</v>
          </cell>
          <cell r="B602" t="str">
            <v>SRVPM3KRIL</v>
          </cell>
          <cell r="C602">
            <v>44</v>
          </cell>
          <cell r="E602" t="str">
            <v xml:space="preserve">SRVPM3KRIL = </v>
          </cell>
          <cell r="G602" t="str">
            <v>musa</v>
          </cell>
          <cell r="AA602" t="str">
            <v>SCHNEIDER STOCK</v>
          </cell>
        </row>
        <row r="603">
          <cell r="A603" t="str">
            <v>Sub Part number</v>
          </cell>
          <cell r="B603" t="str">
            <v>SRV72RLBP-9A</v>
          </cell>
          <cell r="C603">
            <v>44</v>
          </cell>
          <cell r="E603" t="str">
            <v xml:space="preserve">SRV72RLBP-9A = </v>
          </cell>
          <cell r="G603" t="str">
            <v>musa</v>
          </cell>
          <cell r="AA603" t="str">
            <v>SCHNEIDER STOCK</v>
          </cell>
        </row>
        <row r="604">
          <cell r="A604" t="str">
            <v>Sub Part number</v>
          </cell>
          <cell r="B604" t="str">
            <v>SRVRK1</v>
          </cell>
          <cell r="C604">
            <v>88</v>
          </cell>
          <cell r="E604" t="str">
            <v xml:space="preserve">SRVRK1 = </v>
          </cell>
          <cell r="G604" t="str">
            <v>musa</v>
          </cell>
          <cell r="AA604" t="str">
            <v>SCHNEIDER STOCK</v>
          </cell>
        </row>
        <row r="605">
          <cell r="A605" t="str">
            <v>SRV10KRILRK</v>
          </cell>
          <cell r="B605" t="str">
            <v>APC Easy UPS SRV RM 10000VA 230V with External Battery Pack with Rail Kit consisting of 1 x SRVPM10KRIL 1 x SRV240RLBP-9A 1 x SRVRK1 1 x SRVRK2</v>
          </cell>
          <cell r="C605">
            <v>44</v>
          </cell>
          <cell r="E605" t="str">
            <v>4PN</v>
          </cell>
          <cell r="G605" t="str">
            <v>musa</v>
          </cell>
          <cell r="AA605" t="str">
            <v>SCHNEIDER STOCK</v>
          </cell>
        </row>
        <row r="606">
          <cell r="A606" t="str">
            <v>Sub Part number</v>
          </cell>
          <cell r="B606" t="str">
            <v>SRVPM10KRIL</v>
          </cell>
          <cell r="C606">
            <v>44</v>
          </cell>
          <cell r="E606" t="str">
            <v xml:space="preserve">SRVPM10KRIL = </v>
          </cell>
          <cell r="G606" t="str">
            <v>musa</v>
          </cell>
          <cell r="AA606" t="str">
            <v>SCHNEIDER STOCK</v>
          </cell>
        </row>
        <row r="607">
          <cell r="A607" t="str">
            <v>Sub Part number</v>
          </cell>
          <cell r="B607" t="str">
            <v>SRV240RLBP-9A</v>
          </cell>
          <cell r="C607">
            <v>44</v>
          </cell>
          <cell r="E607" t="str">
            <v xml:space="preserve">SRV240RLBP-9A = </v>
          </cell>
          <cell r="G607" t="str">
            <v>musa</v>
          </cell>
          <cell r="AA607" t="str">
            <v>SCHNEIDER STOCK</v>
          </cell>
        </row>
        <row r="608">
          <cell r="A608" t="str">
            <v>Sub Part number</v>
          </cell>
          <cell r="B608" t="str">
            <v>SRVRK1</v>
          </cell>
          <cell r="C608">
            <v>44</v>
          </cell>
          <cell r="E608" t="str">
            <v xml:space="preserve">SRVRK1 = </v>
          </cell>
          <cell r="G608" t="str">
            <v>musa</v>
          </cell>
          <cell r="AA608" t="str">
            <v>SCHNEIDER STOCK</v>
          </cell>
        </row>
        <row r="609">
          <cell r="A609" t="str">
            <v>Sub Part number</v>
          </cell>
          <cell r="B609" t="str">
            <v>SRVRK2</v>
          </cell>
          <cell r="C609">
            <v>44</v>
          </cell>
          <cell r="E609" t="str">
            <v xml:space="preserve">SRVRK2 = </v>
          </cell>
          <cell r="G609" t="str">
            <v>musa</v>
          </cell>
          <cell r="AA609" t="str">
            <v>SCHNEIDER STOCK</v>
          </cell>
        </row>
        <row r="610">
          <cell r="A610" t="str">
            <v>SRV15KRILRK</v>
          </cell>
          <cell r="B610" t="str">
            <v xml:space="preserve">APC Easy UPS On-Line SRV RM 15kVA 230V with Rail kit Batt pack Consisting of  3 x SRVRK2  2 x SRV120RLBP2-9A  1x SRV15KUXI-IN  </v>
          </cell>
          <cell r="C610">
            <v>2</v>
          </cell>
          <cell r="E610" t="str">
            <v>3PN</v>
          </cell>
          <cell r="G610" t="str">
            <v>musa</v>
          </cell>
          <cell r="AA610" t="str">
            <v>SCHNEIDER STOCK</v>
          </cell>
        </row>
        <row r="611">
          <cell r="A611" t="str">
            <v>Sub Part number</v>
          </cell>
          <cell r="B611" t="str">
            <v>SRVRK2</v>
          </cell>
          <cell r="C611">
            <v>6</v>
          </cell>
          <cell r="E611" t="str">
            <v xml:space="preserve">SRVRK2 = </v>
          </cell>
          <cell r="G611" t="str">
            <v>musa</v>
          </cell>
          <cell r="AA611" t="str">
            <v>SCHNEIDER STOCK</v>
          </cell>
        </row>
        <row r="612">
          <cell r="A612" t="str">
            <v>Sub Part number</v>
          </cell>
          <cell r="B612" t="str">
            <v xml:space="preserve">SRV120RLBP2-9A </v>
          </cell>
          <cell r="C612">
            <v>4</v>
          </cell>
          <cell r="E612" t="str">
            <v xml:space="preserve">SRV120RLBP2-9A  = </v>
          </cell>
          <cell r="G612" t="str">
            <v>musa</v>
          </cell>
          <cell r="AA612" t="str">
            <v>SCHNEIDER STOCK</v>
          </cell>
        </row>
        <row r="613">
          <cell r="A613" t="str">
            <v>Sub Part number</v>
          </cell>
          <cell r="B613" t="str">
            <v xml:space="preserve">SRV15KUXI-IN </v>
          </cell>
          <cell r="C613">
            <v>2</v>
          </cell>
          <cell r="E613" t="str">
            <v xml:space="preserve">SRV15KUXI-IN  = </v>
          </cell>
          <cell r="G613" t="str">
            <v>musa</v>
          </cell>
          <cell r="AA613" t="str">
            <v>SCHNEIDER STOCK</v>
          </cell>
        </row>
        <row r="614">
          <cell r="A614" t="str">
            <v>SRV6KRILRK</v>
          </cell>
          <cell r="B614" t="str">
            <v>APC Easy UPS SRV RM 6000VA 230V with External Battery Pack with Rail Kit consisting of 1 x SRVPM6KRIL 1 x SRV240RLBP-9A 1 x SRVRK1 1 x SRVRK2</v>
          </cell>
          <cell r="C614">
            <v>23</v>
          </cell>
          <cell r="E614" t="str">
            <v>4PN</v>
          </cell>
          <cell r="G614" t="str">
            <v>musa</v>
          </cell>
          <cell r="AA614" t="str">
            <v>SCHNEIDER STOCK</v>
          </cell>
        </row>
        <row r="615">
          <cell r="A615" t="str">
            <v>Sub Part number</v>
          </cell>
          <cell r="B615" t="str">
            <v>SRV240RLBP-9A</v>
          </cell>
          <cell r="C615">
            <v>23</v>
          </cell>
          <cell r="E615" t="str">
            <v xml:space="preserve">SRV240RLBP-9A = </v>
          </cell>
          <cell r="G615" t="str">
            <v>musa</v>
          </cell>
          <cell r="AA615" t="str">
            <v>SCHNEIDER STOCK</v>
          </cell>
        </row>
        <row r="616">
          <cell r="A616" t="str">
            <v>Sub Part number</v>
          </cell>
          <cell r="B616" t="str">
            <v>SRVPM6KRIL</v>
          </cell>
          <cell r="C616">
            <v>23</v>
          </cell>
          <cell r="E616" t="str">
            <v xml:space="preserve">SRVPM6KRIL = </v>
          </cell>
          <cell r="G616" t="str">
            <v>musa</v>
          </cell>
          <cell r="AA616" t="str">
            <v>SCHNEIDER STOCK</v>
          </cell>
        </row>
        <row r="617">
          <cell r="A617" t="str">
            <v>Sub Part number</v>
          </cell>
          <cell r="B617" t="str">
            <v>SRVRK1</v>
          </cell>
          <cell r="C617">
            <v>23</v>
          </cell>
          <cell r="E617" t="str">
            <v xml:space="preserve">SRVRK1 = </v>
          </cell>
          <cell r="G617" t="str">
            <v>musa</v>
          </cell>
          <cell r="AA617" t="str">
            <v>SCHNEIDER STOCK</v>
          </cell>
        </row>
        <row r="618">
          <cell r="A618" t="str">
            <v>Sub Part number</v>
          </cell>
          <cell r="B618" t="str">
            <v>SRVRK2</v>
          </cell>
          <cell r="C618">
            <v>23</v>
          </cell>
          <cell r="E618" t="str">
            <v xml:space="preserve">SRVRK2 = </v>
          </cell>
          <cell r="G618" t="str">
            <v>musa</v>
          </cell>
          <cell r="AA618" t="str">
            <v>SCHNEIDER STOCK</v>
          </cell>
        </row>
        <row r="619">
          <cell r="A619" t="str">
            <v>SRV1KRIL</v>
          </cell>
          <cell r="B619" t="str">
            <v xml:space="preserve">APC Easy UPS ONLINE SRV RM Ext. Runtime 1000VA 230V with Batt pack Consisting of 1 x SRV36RLBP-9A  1 X SRVPM1KRIL </v>
          </cell>
          <cell r="C619">
            <v>0</v>
          </cell>
          <cell r="E619" t="str">
            <v>2PN</v>
          </cell>
          <cell r="G619" t="str">
            <v>musa</v>
          </cell>
          <cell r="AA619" t="str">
            <v>SCHNEIDER STOCK</v>
          </cell>
        </row>
        <row r="620">
          <cell r="A620" t="str">
            <v>Sub Part number</v>
          </cell>
          <cell r="B620" t="str">
            <v xml:space="preserve"> SRV36RLBP-9A </v>
          </cell>
          <cell r="C620">
            <v>0</v>
          </cell>
          <cell r="E620" t="str">
            <v xml:space="preserve"> SRV36RLBP-9A  = </v>
          </cell>
          <cell r="G620" t="str">
            <v>musa</v>
          </cell>
          <cell r="AA620" t="str">
            <v>SCHNEIDER STOCK</v>
          </cell>
        </row>
        <row r="621">
          <cell r="A621" t="str">
            <v>Sub Part number</v>
          </cell>
          <cell r="B621" t="str">
            <v xml:space="preserve">SRVPM1KRIL </v>
          </cell>
          <cell r="C621">
            <v>0</v>
          </cell>
          <cell r="E621" t="str">
            <v xml:space="preserve">SRVPM1KRIL  = </v>
          </cell>
          <cell r="G621" t="str">
            <v>musa</v>
          </cell>
          <cell r="AA621" t="str">
            <v>SCHNEIDER STOCK</v>
          </cell>
        </row>
        <row r="622">
          <cell r="A622" t="str">
            <v>SRV3KIL</v>
          </cell>
          <cell r="B622" t="str">
            <v xml:space="preserve">APC Easy UPS SRV 3000VA 230V with External Battery Pack Consisting of  1 x SRV72BP-9A  1 x SRVPM3KIL </v>
          </cell>
          <cell r="C622">
            <v>0</v>
          </cell>
          <cell r="E622" t="str">
            <v>2PN</v>
          </cell>
          <cell r="G622" t="str">
            <v>musa</v>
          </cell>
          <cell r="AA622" t="str">
            <v>SCHNEIDER STOCK</v>
          </cell>
        </row>
        <row r="623">
          <cell r="A623" t="str">
            <v>Sub Part number</v>
          </cell>
          <cell r="B623" t="str">
            <v xml:space="preserve">SRV72BP-9A </v>
          </cell>
          <cell r="C623">
            <v>0</v>
          </cell>
          <cell r="E623" t="str">
            <v xml:space="preserve">SRV72BP-9A  = </v>
          </cell>
          <cell r="G623" t="str">
            <v>musa</v>
          </cell>
          <cell r="AA623" t="str">
            <v>SCHNEIDER STOCK</v>
          </cell>
        </row>
        <row r="624">
          <cell r="A624" t="str">
            <v>Sub Part number</v>
          </cell>
          <cell r="B624" t="str">
            <v xml:space="preserve">SRVPM3KIL </v>
          </cell>
          <cell r="C624">
            <v>0</v>
          </cell>
          <cell r="E624" t="str">
            <v xml:space="preserve">SRVPM3KIL  = </v>
          </cell>
          <cell r="G624" t="str">
            <v>musa</v>
          </cell>
          <cell r="AA624" t="str">
            <v>SCHNEIDER STOCK</v>
          </cell>
        </row>
        <row r="625">
          <cell r="A625" t="str">
            <v>SMT1000IC</v>
          </cell>
          <cell r="B625" t="str">
            <v>APC Smart-UPS 1000VA LCD 230V with Smart Connect</v>
          </cell>
          <cell r="C625">
            <v>1</v>
          </cell>
          <cell r="E625" t="str">
            <v>PCS</v>
          </cell>
          <cell r="F625" t="str">
            <v>276B,276B,238A,246B</v>
          </cell>
          <cell r="G625" t="str">
            <v>musa</v>
          </cell>
          <cell r="AA625" t="str">
            <v>SCHNEIDER STOCK</v>
          </cell>
        </row>
        <row r="626">
          <cell r="A626" t="str">
            <v>AP7552</v>
          </cell>
          <cell r="B626" t="str">
            <v>Rack Pdubasiczerou16A230V</v>
          </cell>
          <cell r="C626">
            <v>0</v>
          </cell>
          <cell r="E626" t="str">
            <v>PCS</v>
          </cell>
          <cell r="G626" t="str">
            <v>musa</v>
          </cell>
          <cell r="AA626" t="str">
            <v>SCHNEIDER STOCK</v>
          </cell>
        </row>
        <row r="627">
          <cell r="A627" t="str">
            <v>SRT192BP2</v>
          </cell>
          <cell r="B627" t="str">
            <v>APC Smart-UPS SRT 192V 8kVA and 10kVA Battery Pack</v>
          </cell>
          <cell r="C627">
            <v>26</v>
          </cell>
          <cell r="E627" t="str">
            <v>PCS</v>
          </cell>
          <cell r="F627" t="str">
            <v>288A,279A,253B,207B,255C,265C,267C,275C,277C,281C,267B,270B</v>
          </cell>
          <cell r="G627" t="str">
            <v>musa</v>
          </cell>
          <cell r="AA627" t="str">
            <v>SCHNEIDER STOCK</v>
          </cell>
        </row>
        <row r="628">
          <cell r="A628" t="str">
            <v>SRTRK4</v>
          </cell>
          <cell r="B628" t="str">
            <v>APC Smart-UPS SRT 19 Rail  Kit for SRT 2.2/3KVA</v>
          </cell>
          <cell r="C628">
            <v>210</v>
          </cell>
          <cell r="E628" t="str">
            <v>PCS</v>
          </cell>
          <cell r="F628" t="str">
            <v>422B,267A,259A,242A</v>
          </cell>
          <cell r="G628" t="str">
            <v>musa</v>
          </cell>
          <cell r="AA628" t="str">
            <v>SCHNEIDER STOCK</v>
          </cell>
        </row>
        <row r="629">
          <cell r="A629" t="str">
            <v>SRT8KXLI</v>
          </cell>
          <cell r="B629" t="str">
            <v>APC Smart-UPS SRT 8000VA 230V</v>
          </cell>
          <cell r="C629">
            <v>10</v>
          </cell>
          <cell r="E629" t="str">
            <v>PCS</v>
          </cell>
          <cell r="F629" t="str">
            <v>239B</v>
          </cell>
          <cell r="G629" t="str">
            <v>musa</v>
          </cell>
          <cell r="AA629" t="str">
            <v>SCHNEIDER STOCK</v>
          </cell>
        </row>
        <row r="630">
          <cell r="A630" t="str">
            <v>SMC1500IC</v>
          </cell>
          <cell r="B630" t="str">
            <v>APC Smart-UPS C 1500VA LCD 230V with  Smart Connect</v>
          </cell>
          <cell r="C630">
            <v>6</v>
          </cell>
          <cell r="E630" t="str">
            <v>PCS</v>
          </cell>
          <cell r="F630" t="str">
            <v>281A</v>
          </cell>
          <cell r="G630" t="str">
            <v>musa</v>
          </cell>
          <cell r="AA630" t="str">
            <v>SCHNEIDER STOCK</v>
          </cell>
        </row>
        <row r="631">
          <cell r="A631" t="str">
            <v>SMT1500IC</v>
          </cell>
          <cell r="B631" t="str">
            <v>APC Smart-UPS  1500VA LCD 230V with  Smart Connect</v>
          </cell>
          <cell r="C631">
            <v>11</v>
          </cell>
          <cell r="E631" t="str">
            <v>PCS</v>
          </cell>
          <cell r="F631" t="str">
            <v>226A</v>
          </cell>
          <cell r="G631" t="str">
            <v>musa</v>
          </cell>
          <cell r="AA631" t="str">
            <v>SCHNEIDER STOCK</v>
          </cell>
        </row>
        <row r="632">
          <cell r="A632" t="str">
            <v>SRT3000XLI</v>
          </cell>
          <cell r="B632" t="str">
            <v>APC Smart-UPS SRT 3000VA 230V</v>
          </cell>
          <cell r="C632">
            <v>29</v>
          </cell>
          <cell r="E632" t="str">
            <v>PCS</v>
          </cell>
          <cell r="F632" t="str">
            <v>203C,258C,271C,273C,273B,248B</v>
          </cell>
          <cell r="G632" t="str">
            <v>musa</v>
          </cell>
          <cell r="AA632" t="str">
            <v>SCHNEIDER STOCK</v>
          </cell>
        </row>
        <row r="633">
          <cell r="A633" t="str">
            <v>SRT5KXLI</v>
          </cell>
          <cell r="B633" t="str">
            <v>APC Smart-UPS SRT 5000VA 230V</v>
          </cell>
          <cell r="C633">
            <v>32</v>
          </cell>
          <cell r="E633" t="str">
            <v>PCS</v>
          </cell>
          <cell r="F633" t="str">
            <v>276A,246C,271C,272C,224C,267B,271A,244A</v>
          </cell>
          <cell r="G633" t="str">
            <v>musa</v>
          </cell>
          <cell r="AA633" t="str">
            <v>SCHNEIDER STOCK</v>
          </cell>
        </row>
        <row r="634">
          <cell r="A634" t="str">
            <v>SRT10KXLI</v>
          </cell>
          <cell r="B634" t="str">
            <v>APC Smart-UPS SRT 10000VA 230V</v>
          </cell>
          <cell r="C634">
            <v>39</v>
          </cell>
          <cell r="E634" t="str">
            <v>PCS</v>
          </cell>
          <cell r="F634" t="str">
            <v>281B,281B,239C,241C,253C,258C,267C,273C,275C,281C,241A</v>
          </cell>
          <cell r="G634" t="str">
            <v>musa</v>
          </cell>
          <cell r="AA634" t="str">
            <v>SCHNEIDER STOCK</v>
          </cell>
        </row>
        <row r="635">
          <cell r="A635" t="str">
            <v>SRT6KXLI</v>
          </cell>
          <cell r="B635" t="str">
            <v>APC Smart-UPS SRT 6000VA 230V</v>
          </cell>
          <cell r="C635">
            <v>7</v>
          </cell>
          <cell r="E635" t="str">
            <v>PCS</v>
          </cell>
          <cell r="G635" t="str">
            <v>musa</v>
          </cell>
          <cell r="AA635" t="str">
            <v>SCHNEIDER STOCK</v>
          </cell>
        </row>
        <row r="636">
          <cell r="A636" t="str">
            <v>SRTL3000RMXLI</v>
          </cell>
          <cell r="B636" t="str">
            <v>APC SMART-UPS SRT LI-ION 3000VA RM 230V Consisting of  1 x SRT3000UXI-LI  1 x XBP48RM1U2-LI</v>
          </cell>
          <cell r="C636">
            <v>0</v>
          </cell>
          <cell r="E636" t="str">
            <v>2PN</v>
          </cell>
          <cell r="G636" t="str">
            <v>musa</v>
          </cell>
          <cell r="AA636" t="str">
            <v>SCHNEIDER STOCK</v>
          </cell>
        </row>
        <row r="637">
          <cell r="A637" t="str">
            <v>Sub Part number</v>
          </cell>
          <cell r="B637" t="str">
            <v xml:space="preserve">SRT3000UXI-LI </v>
          </cell>
          <cell r="C637">
            <v>0</v>
          </cell>
          <cell r="E637" t="str">
            <v xml:space="preserve">SRT3000UXI-LI  = </v>
          </cell>
          <cell r="G637" t="str">
            <v>musa</v>
          </cell>
          <cell r="AA637" t="str">
            <v>SCHNEIDER STOCK</v>
          </cell>
        </row>
        <row r="638">
          <cell r="A638" t="str">
            <v>Sub Part number</v>
          </cell>
          <cell r="B638" t="str">
            <v>XBP48RM1U2-LI</v>
          </cell>
          <cell r="C638">
            <v>0</v>
          </cell>
          <cell r="E638" t="str">
            <v xml:space="preserve">XBP48RM1U2-LI = </v>
          </cell>
          <cell r="G638" t="str">
            <v>musa</v>
          </cell>
          <cell r="AA638" t="str">
            <v>SCHNEIDER STOCK</v>
          </cell>
        </row>
        <row r="639">
          <cell r="A639" t="str">
            <v>ACDC2100</v>
          </cell>
          <cell r="B639" t="str">
            <v>Ceiling Panel - 900mm (36in)</v>
          </cell>
          <cell r="C639">
            <v>0</v>
          </cell>
          <cell r="E639" t="str">
            <v>PCS</v>
          </cell>
          <cell r="G639" t="str">
            <v>musa</v>
          </cell>
          <cell r="AA639" t="str">
            <v>SCHNEIDER STOCK</v>
          </cell>
        </row>
        <row r="640">
          <cell r="A640" t="str">
            <v>NBPD0165</v>
          </cell>
          <cell r="B640" t="str">
            <v>NetBotz Camera Pod 165</v>
          </cell>
          <cell r="C640">
            <v>35</v>
          </cell>
          <cell r="E640" t="str">
            <v>PCS</v>
          </cell>
          <cell r="F640" t="str">
            <v>281C,406A</v>
          </cell>
          <cell r="G640" t="str">
            <v>musa</v>
          </cell>
          <cell r="AA640" t="str">
            <v>SCHNEIDER STOCK</v>
          </cell>
        </row>
        <row r="641">
          <cell r="A641" t="str">
            <v>AP9465</v>
          </cell>
          <cell r="B641" t="str">
            <v>APC SMART-UPS INFRASTRUXURE CENTRAL BASIC</v>
          </cell>
          <cell r="C641">
            <v>1</v>
          </cell>
          <cell r="E641" t="str">
            <v>PCS</v>
          </cell>
          <cell r="G641" t="str">
            <v>musa</v>
          </cell>
          <cell r="AA641" t="str">
            <v>SCHNEIDER STOCK</v>
          </cell>
        </row>
        <row r="642">
          <cell r="A642" t="str">
            <v>3827GY-25</v>
          </cell>
          <cell r="B642" t="str">
            <v>APC CATEGORY 5 UTP 568B PATCH CABLE GREY RJ45M/RJ45M</v>
          </cell>
          <cell r="C642">
            <v>0</v>
          </cell>
          <cell r="E642" t="str">
            <v>PCS</v>
          </cell>
          <cell r="G642" t="str">
            <v>musa</v>
          </cell>
          <cell r="AA642" t="str">
            <v>SCHNEIDER STOCK</v>
          </cell>
        </row>
        <row r="643">
          <cell r="A643" t="str">
            <v>AR8173BLKX417</v>
          </cell>
          <cell r="B643" t="str">
            <v>Data Cable Partition NetShelter 800mm Wide pass-through</v>
          </cell>
          <cell r="C643">
            <v>0</v>
          </cell>
          <cell r="E643" t="str">
            <v>PCS</v>
          </cell>
          <cell r="G643" t="str">
            <v>musa</v>
          </cell>
          <cell r="AA643" t="str">
            <v>SCHNEIDER STOCK</v>
          </cell>
        </row>
        <row r="644">
          <cell r="A644" t="str">
            <v>3827GY-40</v>
          </cell>
          <cell r="B644" t="str">
            <v>APC SMART-UPS ACCESSORIES</v>
          </cell>
          <cell r="C644">
            <v>0</v>
          </cell>
          <cell r="E644" t="str">
            <v>PCS</v>
          </cell>
          <cell r="G644" t="str">
            <v>musa</v>
          </cell>
          <cell r="AA644" t="str">
            <v>SCHNEIDER STOCK</v>
          </cell>
        </row>
        <row r="645">
          <cell r="A645" t="str">
            <v>PDM1332IEC-3P</v>
          </cell>
          <cell r="B645" t="str">
            <v>APC IT Power Distribution Module 3x1</v>
          </cell>
          <cell r="C645">
            <v>0</v>
          </cell>
          <cell r="E645" t="str">
            <v>PCS</v>
          </cell>
          <cell r="G645" t="str">
            <v>musa</v>
          </cell>
          <cell r="AA645" t="str">
            <v>SCHNEIDER STOCK</v>
          </cell>
        </row>
        <row r="646">
          <cell r="A646" t="str">
            <v>NBSV1010</v>
          </cell>
          <cell r="B646" t="str">
            <v>NetBotz Surveillance Add On Pack - 10</v>
          </cell>
          <cell r="C646">
            <v>0</v>
          </cell>
          <cell r="E646" t="str">
            <v>PCS</v>
          </cell>
          <cell r="G646" t="str">
            <v>musa</v>
          </cell>
          <cell r="AA646" t="str">
            <v>SCHNEIDER STOCK</v>
          </cell>
        </row>
        <row r="647">
          <cell r="A647" t="str">
            <v>AP8886</v>
          </cell>
          <cell r="B647" t="str">
            <v>Rack PDU 2GMeteredZeroU22.0kW</v>
          </cell>
          <cell r="C647">
            <v>0</v>
          </cell>
          <cell r="E647" t="str">
            <v>PCS</v>
          </cell>
          <cell r="F647" t="str">
            <v>237A</v>
          </cell>
          <cell r="G647" t="str">
            <v>musa</v>
          </cell>
          <cell r="AA647" t="str">
            <v>SCHNEIDER STOCK</v>
          </cell>
        </row>
        <row r="648">
          <cell r="A648" t="str">
            <v>AP9544</v>
          </cell>
          <cell r="B648" t="str">
            <v>Network Management Card for Easy UPS 1-Phase</v>
          </cell>
          <cell r="C648">
            <v>6</v>
          </cell>
          <cell r="E648" t="str">
            <v>PCS</v>
          </cell>
          <cell r="F648" t="str">
            <v>245B</v>
          </cell>
          <cell r="G648" t="str">
            <v>musa</v>
          </cell>
          <cell r="AA648" t="str">
            <v>SCHNEIDER STOCK</v>
          </cell>
        </row>
        <row r="649">
          <cell r="A649" t="str">
            <v>AR3150</v>
          </cell>
          <cell r="B649" t="str">
            <v>NetShelter SX 42U 750mm Wide x 1070mm Deep Enclosure with Sides Black</v>
          </cell>
          <cell r="C649">
            <v>8</v>
          </cell>
          <cell r="E649" t="str">
            <v>PCS</v>
          </cell>
          <cell r="G649" t="str">
            <v>musa</v>
          </cell>
          <cell r="AA649" t="str">
            <v>SCHNEIDER STOCK</v>
          </cell>
        </row>
        <row r="650">
          <cell r="A650" t="str">
            <v>SRT1000XLI</v>
          </cell>
          <cell r="B650" t="str">
            <v>APC Smart-UPS SRT 1000VA 230V</v>
          </cell>
          <cell r="C650">
            <v>26</v>
          </cell>
          <cell r="E650" t="str">
            <v>PCS</v>
          </cell>
          <cell r="F650" t="str">
            <v>243C,255C,273C,258A,428B</v>
          </cell>
          <cell r="G650" t="str">
            <v>musa</v>
          </cell>
          <cell r="AA650" t="str">
            <v>SCHNEIDER STOCK</v>
          </cell>
        </row>
        <row r="651">
          <cell r="A651" t="str">
            <v>SRT1500XLI</v>
          </cell>
          <cell r="B651" t="str">
            <v>APC Smart-UPS SRT 1500VA 230V</v>
          </cell>
          <cell r="C651">
            <v>20</v>
          </cell>
          <cell r="E651" t="str">
            <v>PCS</v>
          </cell>
          <cell r="G651" t="str">
            <v>musa</v>
          </cell>
          <cell r="AA651" t="str">
            <v>SCHNEIDER STOCK</v>
          </cell>
        </row>
        <row r="652">
          <cell r="A652" t="str">
            <v>PDX332IEC-480</v>
          </cell>
          <cell r="B652" t="str">
            <v>APC Modular IT Power Distribution Cable Extender 3 Wire 32A IEC309 480cm</v>
          </cell>
          <cell r="C652">
            <v>0</v>
          </cell>
          <cell r="E652" t="str">
            <v>PCS</v>
          </cell>
          <cell r="G652" t="str">
            <v>musa</v>
          </cell>
          <cell r="AA652" t="str">
            <v>SCHNEIDER STOCK</v>
          </cell>
        </row>
        <row r="653">
          <cell r="A653" t="str">
            <v>3827GY-5</v>
          </cell>
          <cell r="B653" t="str">
            <v>APC CATEGORY 5 UTP 568B PATCH CABLE GREY RJ45M/RJ45M</v>
          </cell>
          <cell r="C653">
            <v>0</v>
          </cell>
          <cell r="E653" t="str">
            <v>PCS</v>
          </cell>
          <cell r="G653" t="str">
            <v>musa</v>
          </cell>
          <cell r="AA653" t="str">
            <v>SCHNEIDER STOCK</v>
          </cell>
        </row>
        <row r="654">
          <cell r="A654" t="str">
            <v>AP4421</v>
          </cell>
          <cell r="B654" t="str">
            <v>Rack ATS 230V 10A C14 in (12) C13 out</v>
          </cell>
          <cell r="C654">
            <v>0</v>
          </cell>
          <cell r="E654" t="str">
            <v>PCS</v>
          </cell>
          <cell r="G654" t="str">
            <v>musa</v>
          </cell>
          <cell r="AA654" t="str">
            <v>SCHNEIDER STOCK</v>
          </cell>
        </row>
        <row r="655">
          <cell r="A655" t="str">
            <v>AR8186</v>
          </cell>
          <cell r="B655" t="str">
            <v>Bracket Kit Cable Ladder Elevation</v>
          </cell>
          <cell r="C655">
            <v>4</v>
          </cell>
          <cell r="E655" t="str">
            <v>PCS</v>
          </cell>
          <cell r="F655" t="str">
            <v>243B</v>
          </cell>
          <cell r="G655" t="str">
            <v>musa</v>
          </cell>
          <cell r="AA655" t="str">
            <v>SCHNEIDER STOCK</v>
          </cell>
        </row>
        <row r="656">
          <cell r="A656" t="str">
            <v>ACDC2102</v>
          </cell>
          <cell r="B656" t="str">
            <v>CEILING PANEL 1200MM(48IN)</v>
          </cell>
          <cell r="C656">
            <v>18</v>
          </cell>
          <cell r="E656" t="str">
            <v>PCS</v>
          </cell>
          <cell r="F656" t="str">
            <v>245C</v>
          </cell>
          <cell r="G656" t="str">
            <v>musa</v>
          </cell>
          <cell r="AA656" t="str">
            <v>SCHNEIDER STOCK</v>
          </cell>
        </row>
        <row r="657">
          <cell r="A657" t="str">
            <v>3827GY-100</v>
          </cell>
          <cell r="B657" t="str">
            <v>APC SMART-UPS ACCESSORIES</v>
          </cell>
          <cell r="C657">
            <v>0</v>
          </cell>
          <cell r="E657" t="str">
            <v>PCS</v>
          </cell>
          <cell r="G657" t="str">
            <v>musa</v>
          </cell>
          <cell r="AA657" t="str">
            <v>SCHNEIDER STOCK</v>
          </cell>
        </row>
        <row r="658">
          <cell r="A658" t="str">
            <v>AR8560</v>
          </cell>
          <cell r="B658" t="str">
            <v>Cable Trough Open Bottom 600mm</v>
          </cell>
          <cell r="C658">
            <v>0</v>
          </cell>
          <cell r="E658" t="str">
            <v>PCS</v>
          </cell>
          <cell r="G658" t="str">
            <v>musa</v>
          </cell>
          <cell r="AA658" t="str">
            <v>SCHNEIDER STOCK</v>
          </cell>
        </row>
        <row r="659">
          <cell r="A659" t="str">
            <v>AP4423A</v>
          </cell>
          <cell r="B659" t="str">
            <v>RACK ATS, 230V, 16A, C20 in, C13 (1) C19 out</v>
          </cell>
          <cell r="C659">
            <v>3</v>
          </cell>
          <cell r="E659" t="str">
            <v>PCS</v>
          </cell>
          <cell r="F659" t="str">
            <v>279A</v>
          </cell>
          <cell r="G659" t="str">
            <v>musa</v>
          </cell>
          <cell r="AA659" t="str">
            <v>SCHNEIDER STOCK</v>
          </cell>
        </row>
        <row r="660">
          <cell r="A660" t="str">
            <v>SRTG10KXLI</v>
          </cell>
          <cell r="B660" t="str">
            <v>APC SMART-UPS RT 10KVA 230VWITH 16 9AH INTERNAL BATTERIES (1 X SRTG10KXLI-PM,1 X SRTG192XLBP4)</v>
          </cell>
          <cell r="C660">
            <v>16</v>
          </cell>
          <cell r="E660" t="str">
            <v>2PN</v>
          </cell>
          <cell r="F660" t="str">
            <v>259A,260A,269A</v>
          </cell>
          <cell r="G660" t="str">
            <v>musa</v>
          </cell>
          <cell r="AA660" t="str">
            <v>SCHNEIDER STOCK</v>
          </cell>
        </row>
        <row r="661">
          <cell r="A661" t="str">
            <v>SRTG6KXLI</v>
          </cell>
          <cell r="B661" t="str">
            <v>APC Smart-UPS RT 6kVA 230V</v>
          </cell>
          <cell r="C661">
            <v>18</v>
          </cell>
          <cell r="E661" t="str">
            <v>PCS</v>
          </cell>
          <cell r="F661" t="str">
            <v>277B,277B,260B,244B</v>
          </cell>
          <cell r="G661" t="str">
            <v>musa</v>
          </cell>
          <cell r="AA661" t="str">
            <v>SCHNEIDER STOCK</v>
          </cell>
        </row>
        <row r="662">
          <cell r="A662" t="str">
            <v>SRTG8KXLI</v>
          </cell>
          <cell r="B662" t="str">
            <v>APC Smart-UPS RT 8kVA 230V (1 X SRTG192XLBP4, 1 X SRTG8KXLI-PM)</v>
          </cell>
          <cell r="C662">
            <v>2</v>
          </cell>
          <cell r="E662" t="str">
            <v>2PN</v>
          </cell>
          <cell r="F662" t="str">
            <v>241A</v>
          </cell>
          <cell r="G662" t="str">
            <v>musa</v>
          </cell>
          <cell r="AA662" t="str">
            <v>SCHNEIDER STOCK</v>
          </cell>
        </row>
        <row r="663">
          <cell r="A663" t="str">
            <v>SRV2KI</v>
          </cell>
          <cell r="B663" t="str">
            <v>APC Smart-UPS SRV 2000VA 230V</v>
          </cell>
          <cell r="C663">
            <v>3</v>
          </cell>
          <cell r="E663" t="str">
            <v>PCS</v>
          </cell>
          <cell r="F663" t="str">
            <v>283B,283B,255B</v>
          </cell>
          <cell r="G663" t="str">
            <v>musa</v>
          </cell>
          <cell r="AA663" t="str">
            <v>SCHNEIDER STOCK</v>
          </cell>
        </row>
        <row r="664">
          <cell r="A664" t="str">
            <v>BX2200MI-MS</v>
          </cell>
          <cell r="B664" t="str">
            <v>APC Back-UPS 2200VA,230V,AVR,Universal Sockets</v>
          </cell>
          <cell r="C664">
            <v>61</v>
          </cell>
          <cell r="E664" t="str">
            <v>PCS</v>
          </cell>
          <cell r="F664" t="str">
            <v>256B,203B,257A,259A,263A</v>
          </cell>
          <cell r="G664" t="str">
            <v>musa</v>
          </cell>
          <cell r="AA664" t="str">
            <v>SCHNEIDER STOCK</v>
          </cell>
        </row>
        <row r="665">
          <cell r="A665" t="str">
            <v>QRACKACC-QRRA21148-00</v>
          </cell>
          <cell r="B665" t="str">
            <v>PRODUCT RACK ACCESSORY 48U GREY RCC SKU NO 0M 5917E 006,N/A</v>
          </cell>
          <cell r="C665">
            <v>0</v>
          </cell>
          <cell r="E665" t="str">
            <v>PCS</v>
          </cell>
          <cell r="G665" t="str">
            <v>musa</v>
          </cell>
          <cell r="AA665" t="str">
            <v>SCHNEIDER STOCK</v>
          </cell>
        </row>
        <row r="666">
          <cell r="A666" t="str">
            <v>ER6422</v>
          </cell>
          <cell r="B666" t="str">
            <v>Easy Rack 600mm/24U/1200mm  with Roof Side panelcastorsfeet and 4 Brackets No Bottom black</v>
          </cell>
          <cell r="C666">
            <v>4</v>
          </cell>
          <cell r="E666" t="str">
            <v>PCS</v>
          </cell>
          <cell r="G666" t="str">
            <v>musa</v>
          </cell>
          <cell r="AA666" t="str">
            <v>SCHNEIDER STOCK</v>
          </cell>
        </row>
        <row r="667">
          <cell r="A667" t="str">
            <v>ER6282</v>
          </cell>
          <cell r="B667" t="str">
            <v>Easy Rack 600mm/42U/800mm with Roof Side panelcastorsfeet and 4 Brackets No Bottom black</v>
          </cell>
          <cell r="C667">
            <v>7</v>
          </cell>
          <cell r="E667" t="str">
            <v>PCS</v>
          </cell>
          <cell r="F667" t="str">
            <v>ZONE A</v>
          </cell>
          <cell r="G667" t="str">
            <v>musa</v>
          </cell>
          <cell r="AA667" t="str">
            <v>SCHNEIDER STOCK</v>
          </cell>
        </row>
        <row r="668">
          <cell r="A668" t="str">
            <v>EMUPS50K250PBHS</v>
          </cell>
          <cell r="B668" t="str">
            <v xml:space="preserve">Easy UPS 3-Phase Modular 50kW Scalable to 250kW 400V Black, 4 Switches, for Ext Batt, Start-up 5x8 Consisting of  1 x EMUPS50K250PBH  </v>
          </cell>
          <cell r="C668">
            <v>0</v>
          </cell>
          <cell r="E668" t="str">
            <v>PCS</v>
          </cell>
          <cell r="G668" t="str">
            <v>musa</v>
          </cell>
          <cell r="AA668" t="str">
            <v>SCHNEIDER STOCK</v>
          </cell>
        </row>
        <row r="669">
          <cell r="A669" t="str">
            <v>EMPM50KH</v>
          </cell>
          <cell r="B669" t="str">
            <v>Easy UPS 3-Phase Modular Power Module 50kW 400V</v>
          </cell>
          <cell r="C669">
            <v>1</v>
          </cell>
          <cell r="E669" t="str">
            <v>PCS</v>
          </cell>
          <cell r="F669" t="str">
            <v>272A</v>
          </cell>
          <cell r="G669" t="str">
            <v>musa</v>
          </cell>
          <cell r="AA669" t="str">
            <v>SCHNEIDER STOCK</v>
          </cell>
        </row>
        <row r="670">
          <cell r="A670" t="str">
            <v>E3SUPS10KHB2</v>
          </cell>
          <cell r="B670" t="str">
            <v xml:space="preserve">Easy UPS 3S 10kVA 400V 3:3 UPS 30 min Consisting of  8 x E3SBTU  1 x E3SUPS10KHB </v>
          </cell>
          <cell r="C670">
            <v>0</v>
          </cell>
          <cell r="E670" t="str">
            <v>2PN</v>
          </cell>
          <cell r="G670" t="str">
            <v>musa</v>
          </cell>
          <cell r="AA670" t="str">
            <v>SCHNEIDER STOCK</v>
          </cell>
        </row>
        <row r="671">
          <cell r="A671" t="str">
            <v>Sub Part number</v>
          </cell>
          <cell r="B671" t="str">
            <v>E3SBTU</v>
          </cell>
          <cell r="C671">
            <v>0</v>
          </cell>
          <cell r="E671" t="str">
            <v>pcs</v>
          </cell>
          <cell r="G671" t="str">
            <v>musa</v>
          </cell>
          <cell r="AA671" t="str">
            <v>SCHNEIDER STOCK</v>
          </cell>
        </row>
        <row r="672">
          <cell r="A672" t="str">
            <v>Sub Part number</v>
          </cell>
          <cell r="B672" t="str">
            <v xml:space="preserve">E3SUPS10KHB </v>
          </cell>
          <cell r="C672">
            <v>0</v>
          </cell>
          <cell r="E672" t="str">
            <v>pcs</v>
          </cell>
          <cell r="G672" t="str">
            <v>musa</v>
          </cell>
          <cell r="AA672" t="str">
            <v>SCHNEIDER STOCK</v>
          </cell>
        </row>
        <row r="673">
          <cell r="A673" t="str">
            <v>E3SUPS20KHB2</v>
          </cell>
          <cell r="B673" t="str">
            <v>Easy UPS 3S 20kVA 400V 3:3 UPS 25 min Consisting of  12 x E3SBTU  1 x E3SUPS20KHB</v>
          </cell>
          <cell r="C673">
            <v>0</v>
          </cell>
          <cell r="E673" t="str">
            <v>2PN</v>
          </cell>
          <cell r="G673" t="str">
            <v>musa</v>
          </cell>
          <cell r="AA673" t="str">
            <v>SCHNEIDER STOCK</v>
          </cell>
        </row>
        <row r="674">
          <cell r="A674" t="str">
            <v>Sub Part number</v>
          </cell>
          <cell r="B674" t="str">
            <v>E3SBTU</v>
          </cell>
          <cell r="C674">
            <v>0</v>
          </cell>
          <cell r="E674" t="str">
            <v>PCS</v>
          </cell>
          <cell r="G674" t="str">
            <v>musa</v>
          </cell>
          <cell r="AA674" t="str">
            <v>SCHNEIDER STOCK</v>
          </cell>
        </row>
        <row r="675">
          <cell r="A675" t="str">
            <v>Sub Part number</v>
          </cell>
          <cell r="B675" t="str">
            <v>E3SUPS20KHB</v>
          </cell>
          <cell r="C675">
            <v>0</v>
          </cell>
          <cell r="E675" t="str">
            <v>PCS</v>
          </cell>
          <cell r="G675" t="str">
            <v>musa</v>
          </cell>
          <cell r="AA675" t="str">
            <v>SCHNEIDER STOCK</v>
          </cell>
        </row>
        <row r="676">
          <cell r="A676" t="str">
            <v>E3SUPS30KHB2</v>
          </cell>
          <cell r="B676" t="str">
            <v>Easy UPS 3S 30kVA 400V 3:3 UPS 20 min Consisting of  16 x E3SBTU  1 x E3SUPS30KHB</v>
          </cell>
          <cell r="C676">
            <v>1</v>
          </cell>
          <cell r="E676" t="str">
            <v>2PN</v>
          </cell>
          <cell r="G676" t="str">
            <v>musa</v>
          </cell>
          <cell r="AA676" t="str">
            <v>SCHNEIDER STOCK</v>
          </cell>
        </row>
        <row r="677">
          <cell r="A677" t="str">
            <v>Sub Part number</v>
          </cell>
          <cell r="B677" t="str">
            <v>E3SBTU</v>
          </cell>
          <cell r="C677">
            <v>0</v>
          </cell>
          <cell r="E677" t="str">
            <v>PCS</v>
          </cell>
          <cell r="G677" t="str">
            <v>musa</v>
          </cell>
          <cell r="AA677" t="str">
            <v>SCHNEIDER STOCK</v>
          </cell>
        </row>
        <row r="678">
          <cell r="A678" t="str">
            <v>Sub Part number</v>
          </cell>
          <cell r="B678" t="str">
            <v>E3SUPS30KHB</v>
          </cell>
          <cell r="C678">
            <v>0</v>
          </cell>
          <cell r="E678" t="str">
            <v>PCS</v>
          </cell>
          <cell r="G678" t="str">
            <v>musa</v>
          </cell>
          <cell r="AA678" t="str">
            <v>SCHNEIDER STOCK</v>
          </cell>
        </row>
        <row r="679">
          <cell r="A679" t="str">
            <v>E3SUPS40KHB2</v>
          </cell>
          <cell r="B679" t="str">
            <v>Easy UPS 3S 40kVA 400V 3:3 UPS 20 min Consisting of  16 x E3SBTU  1 x E3SUPS40KHB</v>
          </cell>
          <cell r="C679">
            <v>0</v>
          </cell>
          <cell r="E679" t="str">
            <v>2PN</v>
          </cell>
          <cell r="G679" t="str">
            <v>musa</v>
          </cell>
          <cell r="AA679" t="str">
            <v>SCHNEIDER STOCK</v>
          </cell>
        </row>
        <row r="680">
          <cell r="A680" t="str">
            <v>Sub Part number</v>
          </cell>
          <cell r="B680" t="str">
            <v>E3SBTU</v>
          </cell>
          <cell r="C680">
            <v>0</v>
          </cell>
          <cell r="E680" t="str">
            <v>PCS</v>
          </cell>
          <cell r="G680" t="str">
            <v>musa</v>
          </cell>
          <cell r="AA680" t="str">
            <v>SCHNEIDER STOCK</v>
          </cell>
        </row>
        <row r="681">
          <cell r="A681" t="str">
            <v>Sub Part number</v>
          </cell>
          <cell r="B681" t="str">
            <v>E3SUPS40KHB</v>
          </cell>
          <cell r="C681">
            <v>0</v>
          </cell>
          <cell r="E681" t="str">
            <v>PCS</v>
          </cell>
          <cell r="G681" t="str">
            <v>musa</v>
          </cell>
          <cell r="AA681" t="str">
            <v>SCHNEIDER STOCK</v>
          </cell>
        </row>
        <row r="682">
          <cell r="A682" t="str">
            <v>E3MUPS60KHS</v>
          </cell>
          <cell r="B682" t="str">
            <v>Easy UPS 3M 60kVA 400V 3:3 UPS for external batteries Start-up 5x8 Consisting of  1 x E3MUPS60KH</v>
          </cell>
          <cell r="C682">
            <v>2</v>
          </cell>
          <cell r="E682" t="str">
            <v>PCS</v>
          </cell>
          <cell r="F682" t="str">
            <v>warehouse 3 Zone B</v>
          </cell>
          <cell r="G682" t="str">
            <v>musa</v>
          </cell>
          <cell r="AA682" t="str">
            <v>SCHNEIDER STOCK</v>
          </cell>
        </row>
        <row r="683">
          <cell r="A683" t="str">
            <v>SP3OPT006</v>
          </cell>
          <cell r="B683" t="str">
            <v>3-Phase UPS Battery Temperature Sensor</v>
          </cell>
          <cell r="C683">
            <v>6</v>
          </cell>
          <cell r="E683" t="str">
            <v>PCS</v>
          </cell>
          <cell r="G683" t="str">
            <v>musa</v>
          </cell>
          <cell r="AA683" t="str">
            <v>SCHNEIDER STOCK</v>
          </cell>
        </row>
        <row r="684">
          <cell r="A684" t="str">
            <v>E3MCBC10B</v>
          </cell>
          <cell r="B684" t="str">
            <v>Easy UPS 3M Classic Battery Cabinet 1000mm IEC With Batteries Config B XP12V2500</v>
          </cell>
          <cell r="C684">
            <v>0</v>
          </cell>
          <cell r="E684" t="str">
            <v>PCS</v>
          </cell>
          <cell r="G684" t="str">
            <v>musa</v>
          </cell>
          <cell r="AA684" t="str">
            <v>SCHNEIDER STOCK</v>
          </cell>
        </row>
        <row r="685">
          <cell r="A685" t="str">
            <v>NBRK0250A</v>
          </cell>
          <cell r="B685" t="str">
            <v>NetBotz Rack Monitor 250A</v>
          </cell>
          <cell r="C685">
            <v>138</v>
          </cell>
          <cell r="E685" t="str">
            <v>PCS</v>
          </cell>
          <cell r="F685" t="str">
            <v>428A,428B,436A,430A,253B,263C,256A,258A,424B,424B,410A,WH3</v>
          </cell>
          <cell r="G685" t="str">
            <v>musa</v>
          </cell>
          <cell r="AA685" t="str">
            <v>SCHNEIDER STOCK</v>
          </cell>
        </row>
        <row r="686">
          <cell r="A686" t="str">
            <v>AR7723</v>
          </cell>
          <cell r="B686" t="str">
            <v>Vertical Cable Manager for NetShelter SX 600mm Wide 48U</v>
          </cell>
          <cell r="C686">
            <v>204</v>
          </cell>
          <cell r="E686" t="str">
            <v>PCS</v>
          </cell>
          <cell r="F686" t="str">
            <v>427A,428A,429A,423A,236B,409A,411A,268B,271B,263A</v>
          </cell>
          <cell r="G686" t="str">
            <v>musa</v>
          </cell>
          <cell r="AA686" t="str">
            <v>SCHNEIDER STOCK</v>
          </cell>
        </row>
        <row r="687">
          <cell r="A687" t="str">
            <v>E3SBTU</v>
          </cell>
          <cell r="B687" t="str">
            <v>Easy UPS 3S Standard Battery Unit</v>
          </cell>
          <cell r="C687">
            <v>0</v>
          </cell>
          <cell r="E687" t="str">
            <v>PCS</v>
          </cell>
          <cell r="F687" t="str">
            <v>282A,278A,245A,410A,434B,270A</v>
          </cell>
          <cell r="G687" t="str">
            <v>musa</v>
          </cell>
          <cell r="AA687" t="str">
            <v>SCHNEIDER STOCK</v>
          </cell>
        </row>
        <row r="688">
          <cell r="A688" t="str">
            <v>E3SUPS20KHB</v>
          </cell>
          <cell r="B688" t="str">
            <v xml:space="preserve">Easy UPS 3S 20kVA 400V 3:3 UPS 25 min </v>
          </cell>
          <cell r="C688">
            <v>0</v>
          </cell>
          <cell r="E688" t="str">
            <v>PCS</v>
          </cell>
          <cell r="G688" t="str">
            <v>musa</v>
          </cell>
          <cell r="AA688" t="str">
            <v>SCHNEIDER STOCK</v>
          </cell>
        </row>
        <row r="689">
          <cell r="A689" t="str">
            <v>E3SUPS30KHB</v>
          </cell>
          <cell r="B689" t="str">
            <v xml:space="preserve">Easy UPS 3S 30kVA 400V 3:3 UPS 20 min </v>
          </cell>
          <cell r="C689">
            <v>0</v>
          </cell>
          <cell r="E689" t="str">
            <v>PCS</v>
          </cell>
          <cell r="F689" t="str">
            <v>ZONE A,ZONE A</v>
          </cell>
          <cell r="G689" t="str">
            <v>musa</v>
          </cell>
          <cell r="AA689" t="str">
            <v>SCHNEIDER STOCK</v>
          </cell>
        </row>
        <row r="690">
          <cell r="A690" t="str">
            <v>E3SUPS40KHB</v>
          </cell>
          <cell r="B690" t="str">
            <v xml:space="preserve">Easy UPS 3S 40kVA 400V 3:3 UPS 20 min </v>
          </cell>
          <cell r="C690">
            <v>4</v>
          </cell>
          <cell r="E690" t="str">
            <v>PCS</v>
          </cell>
          <cell r="G690" t="str">
            <v>musa</v>
          </cell>
          <cell r="AA690" t="str">
            <v>SCHNEIDER STOCK</v>
          </cell>
        </row>
        <row r="691">
          <cell r="A691" t="str">
            <v>SRV3KI</v>
          </cell>
          <cell r="B691" t="str">
            <v>APC SMART UPS RV 3000VA 230V</v>
          </cell>
          <cell r="C691">
            <v>0</v>
          </cell>
          <cell r="E691" t="str">
            <v>PCS</v>
          </cell>
          <cell r="G691" t="str">
            <v>musa</v>
          </cell>
          <cell r="AA691" t="str">
            <v>SCHNEIDER STOCK</v>
          </cell>
        </row>
        <row r="692">
          <cell r="A692" t="str">
            <v>ER6402</v>
          </cell>
          <cell r="B692" t="str">
            <v>Easy Rack 600mm/24U/1000mm , with Roof, Side panel,castors,feet and 4 Brackets, No Bottom, black</v>
          </cell>
          <cell r="C692">
            <v>0</v>
          </cell>
          <cell r="E692" t="str">
            <v>PCS</v>
          </cell>
          <cell r="G692" t="str">
            <v>musa</v>
          </cell>
          <cell r="AA692" t="str">
            <v>SCHNEIDER STOCK</v>
          </cell>
        </row>
        <row r="693">
          <cell r="A693" t="str">
            <v>AR8571X417</v>
          </cell>
          <cell r="B693" t="str">
            <v>Cable Trough 800mm</v>
          </cell>
          <cell r="C693">
            <v>0</v>
          </cell>
          <cell r="E693" t="str">
            <v>PCS</v>
          </cell>
          <cell r="G693" t="str">
            <v>musa</v>
          </cell>
          <cell r="AA693" t="str">
            <v>SCHNEIDER STOCK</v>
          </cell>
        </row>
        <row r="694">
          <cell r="A694" t="str">
            <v>AR3380X266</v>
          </cell>
          <cell r="B694" t="str">
            <v>NetShelter SX 42U 800mm Wide x 1200mm Deep Enclosure with Sides Black</v>
          </cell>
          <cell r="C694">
            <v>4</v>
          </cell>
          <cell r="E694" t="str">
            <v>PCS</v>
          </cell>
          <cell r="F694" t="str">
            <v>204C,205C,206C</v>
          </cell>
          <cell r="G694" t="str">
            <v>musa</v>
          </cell>
          <cell r="AA694" t="str">
            <v>SCHNEIDER STOCK</v>
          </cell>
        </row>
        <row r="695">
          <cell r="A695" t="str">
            <v>3827GY-50</v>
          </cell>
          <cell r="B695" t="str">
            <v>APC SMART-UPS  ACCESSORIES</v>
          </cell>
          <cell r="C695">
            <v>0</v>
          </cell>
          <cell r="E695" t="str">
            <v>PCS</v>
          </cell>
          <cell r="G695" t="str">
            <v>musa</v>
          </cell>
          <cell r="AA695" t="str">
            <v>SCHNEIDER STOCK</v>
          </cell>
        </row>
        <row r="696">
          <cell r="A696" t="str">
            <v>AR8442</v>
          </cell>
          <cell r="B696" t="str">
            <v>Vertical Cable Organizer 8 Cable Rings Zero U</v>
          </cell>
          <cell r="C696">
            <v>281</v>
          </cell>
          <cell r="E696" t="str">
            <v>PCS</v>
          </cell>
          <cell r="F696" t="str">
            <v>424A,432A,230B,233B,252B,251C,280C,256A,427B,410A,434B</v>
          </cell>
          <cell r="G696" t="str">
            <v>musa</v>
          </cell>
          <cell r="AA696" t="str">
            <v>SCHNEIDER STOCK</v>
          </cell>
        </row>
        <row r="697">
          <cell r="A697" t="str">
            <v>BX1200MI-MS</v>
          </cell>
          <cell r="B697" t="str">
            <v>APC Back-UPS 1200VA 230V AVR Universal Sockets</v>
          </cell>
          <cell r="C697">
            <v>49</v>
          </cell>
          <cell r="E697" t="str">
            <v>PCS</v>
          </cell>
          <cell r="F697" t="str">
            <v>268C,243B</v>
          </cell>
          <cell r="G697" t="str">
            <v>musa</v>
          </cell>
          <cell r="AA697" t="str">
            <v>SCHNEIDER STOCK</v>
          </cell>
        </row>
        <row r="698">
          <cell r="A698" t="str">
            <v>BX1600MI-MS</v>
          </cell>
          <cell r="B698" t="str">
            <v>APC Back-UPS 1600VA 230V AVR Universal Sockets</v>
          </cell>
          <cell r="C698">
            <v>18</v>
          </cell>
          <cell r="E698" t="str">
            <v>PCS</v>
          </cell>
          <cell r="F698" t="str">
            <v>207C</v>
          </cell>
          <cell r="G698" t="str">
            <v>musa</v>
          </cell>
          <cell r="AA698" t="str">
            <v>SCHNEIDER STOCK</v>
          </cell>
        </row>
        <row r="699">
          <cell r="A699" t="str">
            <v>ER6222</v>
          </cell>
          <cell r="B699" t="str">
            <v>Easy Rack 600mm/42U/1200mm with Roof Side panelcastorsfeet and 4 Brackets No Bottom black</v>
          </cell>
          <cell r="C699">
            <v>3</v>
          </cell>
          <cell r="E699" t="str">
            <v>PCS</v>
          </cell>
          <cell r="F699" t="str">
            <v>WH3</v>
          </cell>
          <cell r="G699" t="str">
            <v>musa</v>
          </cell>
          <cell r="AA699" t="str">
            <v>SCHNEIDER STOCK</v>
          </cell>
        </row>
        <row r="700">
          <cell r="A700" t="str">
            <v>ER7VCM42</v>
          </cell>
          <cell r="B700" t="str">
            <v>Easy Rack Vertical Cable Manager42U</v>
          </cell>
          <cell r="C700">
            <v>14</v>
          </cell>
          <cell r="E700" t="str">
            <v>PCS</v>
          </cell>
          <cell r="G700" t="str">
            <v>musa</v>
          </cell>
          <cell r="AA700" t="str">
            <v>SCHNEIDER STOCK</v>
          </cell>
        </row>
        <row r="701">
          <cell r="A701" t="str">
            <v>AR7721</v>
          </cell>
          <cell r="B701" t="str">
            <v>Vertical Cable Manager for NetShelter SX 600mm Wide 42U</v>
          </cell>
          <cell r="C701">
            <v>57</v>
          </cell>
          <cell r="E701" t="str">
            <v>PCS</v>
          </cell>
          <cell r="G701" t="str">
            <v>musa</v>
          </cell>
          <cell r="AA701" t="str">
            <v>SCHNEIDER STOCK</v>
          </cell>
        </row>
        <row r="702">
          <cell r="A702" t="str">
            <v>AP7553</v>
          </cell>
          <cell r="B702" t="str">
            <v>APC RACK BASIC PDU ZERO U 32A 230V</v>
          </cell>
          <cell r="C702">
            <v>26</v>
          </cell>
          <cell r="E702" t="str">
            <v>PCS</v>
          </cell>
          <cell r="F702" t="str">
            <v>230A,239A,250A</v>
          </cell>
          <cell r="G702" t="str">
            <v>musa</v>
          </cell>
          <cell r="AA702" t="str">
            <v>SCHNEIDER STOCK</v>
          </cell>
        </row>
        <row r="703">
          <cell r="A703" t="str">
            <v>AR8136BLK</v>
          </cell>
          <cell r="B703" t="str">
            <v>1U PLASTIC BLANKING PANEL KIT 19 BLACK QTY 10</v>
          </cell>
          <cell r="C703">
            <v>0</v>
          </cell>
          <cell r="E703" t="str">
            <v>PCS</v>
          </cell>
          <cell r="G703" t="str">
            <v>musa</v>
          </cell>
          <cell r="AA703" t="str">
            <v>SCHNEIDER STOCK</v>
          </cell>
        </row>
        <row r="704">
          <cell r="A704" t="str">
            <v>AP8886X919</v>
          </cell>
          <cell r="B704" t="str">
            <v>Rack PDU 2G Metered ZeroU 22.0kW(32A) 230V (30) C13 &amp; (12) C19 UL-US 60C 3m input</v>
          </cell>
          <cell r="C704">
            <v>369</v>
          </cell>
          <cell r="E704" t="str">
            <v>PCS</v>
          </cell>
          <cell r="F704" t="str">
            <v>warehouse 3 Zone B,206A,206B,210B,268A</v>
          </cell>
          <cell r="G704" t="str">
            <v>musa</v>
          </cell>
          <cell r="AA704" t="str">
            <v>SCHNEIDER STOCK</v>
          </cell>
        </row>
        <row r="705">
          <cell r="A705" t="str">
            <v>AR7588</v>
          </cell>
          <cell r="B705" t="str">
            <v>Vertical Cable manager for Netshelter SX 750mm Wide 48U</v>
          </cell>
          <cell r="C705">
            <v>216</v>
          </cell>
          <cell r="E705" t="str">
            <v>PCS</v>
          </cell>
          <cell r="F705" t="str">
            <v>424B,425B,425B,425B,427B,428A,429B,280C,248A</v>
          </cell>
          <cell r="G705" t="str">
            <v>musa</v>
          </cell>
          <cell r="AA705" t="str">
            <v>SCHNEIDER STOCK</v>
          </cell>
        </row>
        <row r="706">
          <cell r="A706" t="str">
            <v>AR8425A</v>
          </cell>
          <cell r="B706" t="str">
            <v>1U HORIZONTAL CABLE ORGANIZER BLACK</v>
          </cell>
          <cell r="C706">
            <v>138</v>
          </cell>
          <cell r="E706" t="str">
            <v>PCS</v>
          </cell>
          <cell r="F706" t="str">
            <v>248B,226A</v>
          </cell>
          <cell r="G706" t="str">
            <v>musa</v>
          </cell>
          <cell r="AA706" t="str">
            <v>SCHNEIDER STOCK</v>
          </cell>
        </row>
        <row r="707">
          <cell r="A707" t="str">
            <v>AP9335TH</v>
          </cell>
          <cell r="B707" t="str">
            <v>APC-Temperature and Humidity Sensor</v>
          </cell>
          <cell r="C707">
            <v>283</v>
          </cell>
          <cell r="E707" t="str">
            <v>PCS</v>
          </cell>
          <cell r="F707" t="str">
            <v>276B,276B,420B,241B</v>
          </cell>
          <cell r="G707" t="str">
            <v>musa</v>
          </cell>
          <cell r="AA707" t="str">
            <v>SCHNEIDER STOCK</v>
          </cell>
        </row>
        <row r="708">
          <cell r="A708" t="str">
            <v>NBES0303</v>
          </cell>
          <cell r="B708" t="str">
            <v>NetBotz Door Switch Sensors for an APC Rack-12ft</v>
          </cell>
          <cell r="C708">
            <v>92</v>
          </cell>
          <cell r="E708" t="str">
            <v>PCS</v>
          </cell>
          <cell r="F708" t="str">
            <v>421B,269A</v>
          </cell>
          <cell r="G708" t="str">
            <v>musa</v>
          </cell>
          <cell r="AA708" t="str">
            <v>SCHNEIDER STOCK</v>
          </cell>
        </row>
        <row r="709">
          <cell r="A709" t="str">
            <v>AP9641</v>
          </cell>
          <cell r="B709" t="str">
            <v>UPS NETWORK MANAGEMENT CARD 3 WITH ENVIRONMENTAL MONITORING</v>
          </cell>
          <cell r="C709">
            <v>69</v>
          </cell>
          <cell r="E709" t="str">
            <v>PCS</v>
          </cell>
          <cell r="F709" t="str">
            <v>236B,281C</v>
          </cell>
          <cell r="G709" t="str">
            <v>musa</v>
          </cell>
          <cell r="AA709" t="str">
            <v>SCHNEIDER STOCK</v>
          </cell>
        </row>
        <row r="710">
          <cell r="A710" t="str">
            <v>APCRBC140</v>
          </cell>
          <cell r="B710" t="str">
            <v>APC Replacement Battery Cartridge #140</v>
          </cell>
          <cell r="C710">
            <v>120</v>
          </cell>
          <cell r="E710" t="str">
            <v>PCS</v>
          </cell>
          <cell r="F710" t="str">
            <v>281B,281B,245C,262C,419B,426B,430B,431B,432B,249B,250B,251B</v>
          </cell>
          <cell r="G710" t="str">
            <v>musa</v>
          </cell>
          <cell r="AA710" t="str">
            <v>SCHNEIDER STOCK</v>
          </cell>
        </row>
        <row r="711">
          <cell r="A711" t="str">
            <v>NBHN125</v>
          </cell>
          <cell r="B711" t="str">
            <v>NetBotz 125 kHz Handle Kit</v>
          </cell>
          <cell r="C711">
            <v>304</v>
          </cell>
          <cell r="E711" t="str">
            <v>PCS</v>
          </cell>
          <cell r="F711" t="str">
            <v>427A,423A,432A,402A,269A</v>
          </cell>
          <cell r="G711" t="str">
            <v>musa</v>
          </cell>
          <cell r="AA711" t="str">
            <v>SCHNEIDER STOCK</v>
          </cell>
        </row>
        <row r="712">
          <cell r="A712" t="str">
            <v>AR3387G</v>
          </cell>
          <cell r="B712" t="str">
            <v>NetShelter SX 48U 800mm Wide x 1200mm Deep Enclosure with Sides Grey RAL7035</v>
          </cell>
          <cell r="C712">
            <v>118</v>
          </cell>
          <cell r="E712" t="str">
            <v>PCS</v>
          </cell>
          <cell r="F712" t="str">
            <v>WH3</v>
          </cell>
          <cell r="G712" t="str">
            <v>musa</v>
          </cell>
          <cell r="AA712" t="str">
            <v>SCHNEIDER STOCK</v>
          </cell>
        </row>
        <row r="713">
          <cell r="A713" t="str">
            <v>SRV6KI</v>
          </cell>
          <cell r="B713" t="str">
            <v>APC Smart-UPS RV 6000VA 230V</v>
          </cell>
          <cell r="C713">
            <v>38</v>
          </cell>
          <cell r="E713" t="str">
            <v>PCS</v>
          </cell>
          <cell r="F713" t="str">
            <v>276C,246A,256A,406A</v>
          </cell>
          <cell r="G713" t="str">
            <v>musa</v>
          </cell>
          <cell r="AA713" t="str">
            <v>SCHNEIDER STOCK</v>
          </cell>
        </row>
        <row r="714">
          <cell r="A714" t="str">
            <v>PDX332IEC-120</v>
          </cell>
          <cell r="B714" t="str">
            <v>APC MODULAR IT POWER DISTRIBUTION CABLE</v>
          </cell>
          <cell r="C714">
            <v>0</v>
          </cell>
          <cell r="E714" t="str">
            <v>PCS</v>
          </cell>
          <cell r="G714" t="str">
            <v>musa</v>
          </cell>
          <cell r="AA714" t="str">
            <v>SCHNEIDER STOCK</v>
          </cell>
        </row>
        <row r="715">
          <cell r="A715" t="str">
            <v>E3SBT4</v>
          </cell>
          <cell r="B715" t="str">
            <v>Easy UPS 3S Battery String Consisting of 4 x E3SBTU</v>
          </cell>
          <cell r="C715">
            <v>21</v>
          </cell>
          <cell r="E715" t="str">
            <v>4 x E3SBTU</v>
          </cell>
          <cell r="F715" t="str">
            <v>245A,245A</v>
          </cell>
          <cell r="G715" t="str">
            <v>musa</v>
          </cell>
          <cell r="AA715" t="str">
            <v>SCHNEIDER STOCK</v>
          </cell>
        </row>
        <row r="716">
          <cell r="A716" t="str">
            <v>E3SUPS10KHB</v>
          </cell>
          <cell r="B716" t="str">
            <v>Easy UPS 3S 10 kVA 400 V 3:3 UPS for internal batteries</v>
          </cell>
          <cell r="C716">
            <v>5</v>
          </cell>
          <cell r="E716" t="str">
            <v>PCS</v>
          </cell>
          <cell r="G716" t="str">
            <v>musa</v>
          </cell>
          <cell r="AA716" t="str">
            <v>SCHNEIDER STOCK</v>
          </cell>
        </row>
        <row r="717">
          <cell r="A717" t="str">
            <v>E3SXR6</v>
          </cell>
          <cell r="B717" t="str">
            <v>Easy UPS 3S Modular Battery Cabinet</v>
          </cell>
          <cell r="C717">
            <v>7</v>
          </cell>
          <cell r="E717" t="str">
            <v>PCS</v>
          </cell>
          <cell r="G717" t="str">
            <v>musa</v>
          </cell>
          <cell r="AA717" t="str">
            <v>SCHNEIDER STOCK</v>
          </cell>
        </row>
        <row r="718">
          <cell r="A718" t="str">
            <v>WASSEMSTRT-EZ-15</v>
          </cell>
          <cell r="B718" t="str">
            <v>Assembly and Startup Service for (1) Easy UPS 3S 10-15kVA UPS , Excluding Cabling material &amp; cabling Work and during working hours Sunday to Thursday from 8am to 5pm</v>
          </cell>
          <cell r="C718">
            <v>0</v>
          </cell>
          <cell r="E718" t="str">
            <v>PCS</v>
          </cell>
          <cell r="G718" t="str">
            <v>musa</v>
          </cell>
          <cell r="AA718" t="str">
            <v>SCHNEIDER STOCK</v>
          </cell>
        </row>
        <row r="719">
          <cell r="A719" t="str">
            <v>AP4424A</v>
          </cell>
          <cell r="B719" t="str">
            <v>Rack ATS 230V 32A IEC 309 in (16) C13 (12) C19 out</v>
          </cell>
          <cell r="C719">
            <v>74</v>
          </cell>
          <cell r="E719" t="str">
            <v>PCS</v>
          </cell>
          <cell r="F719" t="str">
            <v>278B,278B,236B,236B,249A,422B</v>
          </cell>
          <cell r="G719" t="str">
            <v>musa</v>
          </cell>
          <cell r="AA719" t="str">
            <v>SCHNEIDER STOCK</v>
          </cell>
        </row>
        <row r="720">
          <cell r="A720" t="str">
            <v>ER8822</v>
          </cell>
          <cell r="B720" t="str">
            <v>Easy Rack 800mm/48U/1200mm  with Roof Side panelcastorsfeet and 4 Brackets No Bottom black</v>
          </cell>
          <cell r="C720">
            <v>4</v>
          </cell>
          <cell r="E720" t="str">
            <v>PCS</v>
          </cell>
          <cell r="F720" t="str">
            <v>ZONE A</v>
          </cell>
          <cell r="G720" t="str">
            <v>musa</v>
          </cell>
          <cell r="AA720" t="str">
            <v>SCHNEIDER STOCK</v>
          </cell>
        </row>
        <row r="721">
          <cell r="A721" t="str">
            <v>GVBBB630EL-1CB</v>
          </cell>
          <cell r="B721" t="str">
            <v>Battery Breaker Box one 630A DC _breaker for Galaxy ranges</v>
          </cell>
          <cell r="C721">
            <v>2</v>
          </cell>
          <cell r="E721" t="str">
            <v>PCS</v>
          </cell>
          <cell r="F721" t="str">
            <v>274B,274B,244A</v>
          </cell>
          <cell r="G721" t="str">
            <v>musa</v>
          </cell>
          <cell r="AA721" t="str">
            <v>SCHNEIDER STOCK</v>
          </cell>
        </row>
        <row r="722">
          <cell r="A722" t="str">
            <v>AR3340</v>
          </cell>
          <cell r="B722" t="str">
            <v>NetShelter SX 42U 750mm Wide x 1200mm Deep Networking Enclosure with Sides Black</v>
          </cell>
          <cell r="C722">
            <v>24</v>
          </cell>
          <cell r="E722" t="str">
            <v>PCS</v>
          </cell>
          <cell r="F722" t="str">
            <v>ZONE A</v>
          </cell>
          <cell r="G722" t="str">
            <v>musa</v>
          </cell>
          <cell r="AA722" t="str">
            <v>SCHNEIDER STOCK</v>
          </cell>
        </row>
        <row r="723">
          <cell r="A723" t="str">
            <v>AR3300</v>
          </cell>
          <cell r="B723" t="str">
            <v>NetShelter SX 42U/600mm/1200mm Enclosure with Roof and Sides Black</v>
          </cell>
          <cell r="C723">
            <v>30</v>
          </cell>
          <cell r="E723" t="str">
            <v>PCS</v>
          </cell>
          <cell r="G723" t="str">
            <v>musa</v>
          </cell>
          <cell r="AA723" t="str">
            <v>SCHNEIDER STOCK</v>
          </cell>
        </row>
        <row r="724">
          <cell r="A724" t="str">
            <v>E3SUPS15KHB</v>
          </cell>
          <cell r="B724" t="str">
            <v>Easy UPS 3S 15 kVA 400 V 3:3 UPS for internal batteries</v>
          </cell>
          <cell r="C724">
            <v>2</v>
          </cell>
          <cell r="E724" t="str">
            <v>PCS</v>
          </cell>
          <cell r="G724" t="str">
            <v>musa</v>
          </cell>
          <cell r="AA724" t="str">
            <v>SCHNEIDER STOCK</v>
          </cell>
        </row>
        <row r="725">
          <cell r="A725" t="str">
            <v>SMT2200IC</v>
          </cell>
          <cell r="B725" t="str">
            <v>APC Smart-UPS 2200VA LCD 230V with SmartConnect</v>
          </cell>
          <cell r="C725">
            <v>4</v>
          </cell>
          <cell r="E725" t="str">
            <v>PCS</v>
          </cell>
          <cell r="F725" t="str">
            <v>270A</v>
          </cell>
          <cell r="G725" t="str">
            <v>musa</v>
          </cell>
          <cell r="AA725" t="str">
            <v>SCHNEIDER STOCK</v>
          </cell>
        </row>
        <row r="726">
          <cell r="A726" t="str">
            <v>ER8202</v>
          </cell>
          <cell r="B726" t="str">
            <v>EASY RACK 800 MM/42U /1000MM with Roof Side panelcastorsfeet and 4 Brackets No Bottom black</v>
          </cell>
          <cell r="C726">
            <v>30</v>
          </cell>
          <cell r="E726" t="str">
            <v>PCS</v>
          </cell>
          <cell r="F726" t="str">
            <v>warehouse 3 Zone B,ZONE A,WH3</v>
          </cell>
          <cell r="G726" t="str">
            <v>musa</v>
          </cell>
          <cell r="AA726" t="str">
            <v>SCHNEIDER STOCK</v>
          </cell>
        </row>
        <row r="727">
          <cell r="A727" t="str">
            <v>SMC1000I-2UC</v>
          </cell>
          <cell r="B727" t="str">
            <v>APC Smart-UPS C 1000VA LCD RM 2U 230V with SmartConnect</v>
          </cell>
          <cell r="C727">
            <v>0</v>
          </cell>
          <cell r="E727" t="str">
            <v>PCS</v>
          </cell>
          <cell r="G727" t="str">
            <v>musa</v>
          </cell>
          <cell r="AA727" t="str">
            <v>SCHNEIDER STOCK</v>
          </cell>
        </row>
        <row r="728">
          <cell r="A728" t="str">
            <v>SMC1500I-2UC</v>
          </cell>
          <cell r="B728" t="str">
            <v>APC Smart-UPS C 1500VA LCD RM 2U 230V with SmartConnect</v>
          </cell>
          <cell r="C728">
            <v>8</v>
          </cell>
          <cell r="E728" t="str">
            <v>PCS</v>
          </cell>
          <cell r="F728" t="str">
            <v>274A,241A</v>
          </cell>
          <cell r="G728" t="str">
            <v>musa</v>
          </cell>
          <cell r="AA728" t="str">
            <v>SCHNEIDER STOCK</v>
          </cell>
        </row>
        <row r="729">
          <cell r="A729" t="str">
            <v>SMT2200RMI2UC</v>
          </cell>
          <cell r="B729" t="str">
            <v>APC Smart-UPS C 2200VA LCD RM 2U 230V with SmartConnect</v>
          </cell>
          <cell r="C729">
            <v>13</v>
          </cell>
          <cell r="E729" t="str">
            <v>PCS</v>
          </cell>
          <cell r="F729" t="str">
            <v>271B,243C</v>
          </cell>
          <cell r="G729" t="str">
            <v>musa</v>
          </cell>
          <cell r="AA729" t="str">
            <v>SCHNEIDER STOCK</v>
          </cell>
        </row>
        <row r="730">
          <cell r="A730" t="str">
            <v>SRTG15KXLI</v>
          </cell>
          <cell r="B730" t="str">
            <v>APC Smart-UPS RT 15kVA  230V International, consisting of SRTG15KXLI-PM x 1, SRTG192XLBP2 x 1</v>
          </cell>
          <cell r="C730">
            <v>2</v>
          </cell>
          <cell r="E730" t="str">
            <v>PCS</v>
          </cell>
          <cell r="G730" t="str">
            <v>musa</v>
          </cell>
          <cell r="AA730" t="str">
            <v>SCHNEIDER STOCK</v>
          </cell>
        </row>
        <row r="731">
          <cell r="A731" t="str">
            <v>SRTG20KXLI</v>
          </cell>
          <cell r="B731" t="str">
            <v>APC Smart-UPS RT 20kVA 230V International, consisting of 1 x SRTG20KXLI-PM, 1 x SRTG192XLBP2</v>
          </cell>
          <cell r="C731">
            <v>1</v>
          </cell>
          <cell r="E731" t="str">
            <v xml:space="preserve">2PN </v>
          </cell>
          <cell r="G731" t="str">
            <v>musa</v>
          </cell>
          <cell r="AA731" t="str">
            <v>SCHNEIDER STOCK</v>
          </cell>
        </row>
        <row r="732">
          <cell r="A732" t="str">
            <v>SRV10KI</v>
          </cell>
          <cell r="B732" t="str">
            <v>APC Smart-UPS RV 10000VA  230V</v>
          </cell>
          <cell r="C732">
            <v>5</v>
          </cell>
          <cell r="E732" t="str">
            <v>PCS</v>
          </cell>
          <cell r="F732" t="str">
            <v>282B,282B</v>
          </cell>
          <cell r="G732" t="str">
            <v>musa</v>
          </cell>
          <cell r="AA732" t="str">
            <v>SCHNEIDER STOCK</v>
          </cell>
        </row>
        <row r="733">
          <cell r="A733" t="str">
            <v>SRV1KI</v>
          </cell>
          <cell r="B733" t="str">
            <v>APC Smart-UPS SRV 1000VA  230V</v>
          </cell>
          <cell r="C733">
            <v>0</v>
          </cell>
          <cell r="E733" t="str">
            <v>PCS</v>
          </cell>
          <cell r="G733" t="str">
            <v>musa</v>
          </cell>
          <cell r="AA733" t="str">
            <v>SCHNEIDER STOCK</v>
          </cell>
        </row>
        <row r="734">
          <cell r="A734" t="str">
            <v>GVSBPSU10K20H</v>
          </cell>
          <cell r="B734" t="str">
            <v>Galaxy VS Maintenance Bypass Panel Single unit 10-20kW 400V wallmount</v>
          </cell>
          <cell r="C734">
            <v>2</v>
          </cell>
          <cell r="E734" t="str">
            <v>PCS</v>
          </cell>
          <cell r="F734" t="str">
            <v>260A</v>
          </cell>
          <cell r="G734" t="str">
            <v>musa</v>
          </cell>
          <cell r="AA734" t="str">
            <v>SCHNEIDER STOCK</v>
          </cell>
        </row>
        <row r="735">
          <cell r="A735" t="str">
            <v>AR8136BLK200</v>
          </cell>
          <cell r="B735" t="str">
            <v>APC 1U 19'' BLACK TOOLLESS BLANKING PANEL - QTY-200</v>
          </cell>
          <cell r="C735">
            <v>46</v>
          </cell>
          <cell r="E735" t="str">
            <v>PCS</v>
          </cell>
          <cell r="F735" t="str">
            <v>238B,255B,266C,247A,408A,432B</v>
          </cell>
          <cell r="G735" t="str">
            <v>musa</v>
          </cell>
          <cell r="AA735" t="str">
            <v>SCHNEIDER STOCK</v>
          </cell>
        </row>
        <row r="736">
          <cell r="A736" t="str">
            <v>E3SOPT001</v>
          </cell>
          <cell r="B736" t="str">
            <v>Easy UPS 3 Series Network Card</v>
          </cell>
          <cell r="C736">
            <v>0</v>
          </cell>
          <cell r="E736" t="str">
            <v>PCS</v>
          </cell>
          <cell r="G736" t="str">
            <v>musa</v>
          </cell>
          <cell r="AA736" t="str">
            <v>SCHNEIDER STOCK</v>
          </cell>
        </row>
        <row r="737">
          <cell r="A737" t="str">
            <v>E3SBTH4</v>
          </cell>
          <cell r="B737" t="str">
            <v>Easy UPS 3S High Capacity Battery String Consisting of 1 x  4 E3SBTHU</v>
          </cell>
          <cell r="C737">
            <v>66</v>
          </cell>
          <cell r="E737" t="str">
            <v>4 E3SBTHU</v>
          </cell>
          <cell r="G737" t="str">
            <v>musa</v>
          </cell>
          <cell r="AA737" t="str">
            <v>SCHNEIDER STOCK</v>
          </cell>
        </row>
        <row r="738">
          <cell r="A738" t="str">
            <v>RBC31</v>
          </cell>
          <cell r="B738" t="str">
            <v>APC SMART-UPS APC REPLACEMENT BATTERY CARTRIDGE#31</v>
          </cell>
          <cell r="C738">
            <v>3</v>
          </cell>
          <cell r="E738" t="str">
            <v>PCS</v>
          </cell>
          <cell r="F738" t="str">
            <v>245A</v>
          </cell>
          <cell r="G738" t="str">
            <v>musa</v>
          </cell>
          <cell r="AA738" t="str">
            <v>SCHNEIDER STOCK</v>
          </cell>
        </row>
        <row r="739">
          <cell r="A739" t="str">
            <v>RBC55</v>
          </cell>
          <cell r="B739" t="str">
            <v>APC REPLACEMENT BATTERY CARTRIDGE#55</v>
          </cell>
          <cell r="C739">
            <v>3</v>
          </cell>
          <cell r="E739" t="str">
            <v>PCS</v>
          </cell>
          <cell r="F739" t="str">
            <v>232B</v>
          </cell>
          <cell r="G739" t="str">
            <v>musa</v>
          </cell>
          <cell r="AA739" t="str">
            <v>SCHNEIDER STOCK</v>
          </cell>
        </row>
        <row r="740">
          <cell r="A740" t="str">
            <v>RBC7</v>
          </cell>
          <cell r="B740" t="str">
            <v>APC REPLACEMENT CARTRIDGE # 7</v>
          </cell>
          <cell r="C740">
            <v>0</v>
          </cell>
          <cell r="E740" t="str">
            <v>PCS</v>
          </cell>
          <cell r="G740" t="str">
            <v>musa</v>
          </cell>
          <cell r="AA740" t="str">
            <v>SCHNEIDER STOCK</v>
          </cell>
        </row>
        <row r="741">
          <cell r="A741" t="str">
            <v>SRTG192XLBP4</v>
          </cell>
          <cell r="B741" t="str">
            <v>APC Smart-UPS RT 192V 32*5Ah BP /wo ralikit</v>
          </cell>
          <cell r="C741">
            <v>48</v>
          </cell>
          <cell r="E741" t="str">
            <v>PCS</v>
          </cell>
          <cell r="F741" t="str">
            <v>280B,275B,280B,275B,262B,258B,252C,275C,283C,247A,242B,244B</v>
          </cell>
          <cell r="G741" t="str">
            <v>musa</v>
          </cell>
          <cell r="AA741" t="str">
            <v>SCHNEIDER STOCK</v>
          </cell>
        </row>
        <row r="742">
          <cell r="A742" t="str">
            <v>APCRBC152</v>
          </cell>
          <cell r="B742" t="str">
            <v>APC Replacement battery cartridge #152</v>
          </cell>
          <cell r="C742">
            <v>2</v>
          </cell>
          <cell r="E742" t="str">
            <v>PCS</v>
          </cell>
          <cell r="F742" t="str">
            <v>279A</v>
          </cell>
          <cell r="G742" t="str">
            <v>musa</v>
          </cell>
          <cell r="AA742" t="str">
            <v>SCHNEIDER STOCK</v>
          </cell>
        </row>
        <row r="743">
          <cell r="A743" t="str">
            <v>DAS SERVICE</v>
          </cell>
          <cell r="B743" t="str">
            <v>SERVICES CHARGES FOR STCDATA CENTER DELI</v>
          </cell>
          <cell r="C743">
            <v>0</v>
          </cell>
          <cell r="E743" t="str">
            <v>PCS</v>
          </cell>
          <cell r="G743" t="str">
            <v>musa</v>
          </cell>
          <cell r="AA743" t="str">
            <v>SCHNEIDER STOCK</v>
          </cell>
        </row>
        <row r="744">
          <cell r="A744" t="str">
            <v>PDM3516IEC-800</v>
          </cell>
          <cell r="B744" t="str">
            <v>APC IT Power Distribution Module 3 Pole 5 Wire 16A IEC309 800cm</v>
          </cell>
          <cell r="C744">
            <v>0</v>
          </cell>
          <cell r="E744" t="str">
            <v>PCS</v>
          </cell>
          <cell r="G744" t="str">
            <v>musa</v>
          </cell>
          <cell r="AA744" t="str">
            <v>SCHNEIDER STOCK</v>
          </cell>
        </row>
        <row r="745">
          <cell r="A745" t="str">
            <v>AR7731</v>
          </cell>
          <cell r="B745" t="str">
            <v>NetShelter SX External Air Sealing Kit</v>
          </cell>
          <cell r="C745">
            <v>10</v>
          </cell>
          <cell r="E745" t="str">
            <v>PCS</v>
          </cell>
          <cell r="F745" t="str">
            <v>433A,259A,421B</v>
          </cell>
          <cell r="G745" t="str">
            <v>musa</v>
          </cell>
          <cell r="AA745" t="str">
            <v>SCHNEIDER STOCK</v>
          </cell>
        </row>
        <row r="746">
          <cell r="A746" t="str">
            <v>APF8896D-00002</v>
          </cell>
          <cell r="B746" t="str">
            <v>Rack PDU 2G Flex Metered ZeroU 43.5kW 230V (48) C13 &amp; (24) C19 UL-US 60C 3m input</v>
          </cell>
          <cell r="C746">
            <v>0</v>
          </cell>
          <cell r="E746" t="str">
            <v>PCS</v>
          </cell>
          <cell r="G746" t="str">
            <v>musa</v>
          </cell>
          <cell r="AA746" t="str">
            <v>SCHNEIDER STOCK</v>
          </cell>
        </row>
        <row r="747">
          <cell r="A747" t="str">
            <v>ER6202</v>
          </cell>
          <cell r="B747" t="str">
            <v>Easy Rack 600mm/42U/1000mm with Roof Side panelcastorsfeet and 4 Brackets No Bottom black</v>
          </cell>
          <cell r="C747">
            <v>0</v>
          </cell>
          <cell r="E747" t="str">
            <v>PCS</v>
          </cell>
          <cell r="F747" t="str">
            <v>ZONE A,421C</v>
          </cell>
          <cell r="G747" t="str">
            <v>musa</v>
          </cell>
          <cell r="AA747" t="str">
            <v>SCHNEIDER STOCK</v>
          </cell>
        </row>
        <row r="748">
          <cell r="A748" t="str">
            <v>ER8222</v>
          </cell>
          <cell r="B748" t="str">
            <v>EASY RACK 800 MM/42U /1200MM WITH ROOF SIDE PANEL CASTORS FEET AND 4 BRACKETS NO BOTTOM BLACK</v>
          </cell>
          <cell r="C748">
            <v>7</v>
          </cell>
          <cell r="E748" t="str">
            <v>PCS</v>
          </cell>
          <cell r="F748" t="str">
            <v>ZONE A,ZONE A,ZONE A</v>
          </cell>
          <cell r="G748" t="str">
            <v>musa</v>
          </cell>
          <cell r="AA748" t="str">
            <v>SCHNEIDER STOCK</v>
          </cell>
        </row>
        <row r="749">
          <cell r="A749" t="str">
            <v>SRT1000RMXLI</v>
          </cell>
          <cell r="B749" t="str">
            <v>APC SMART-UPS SRT 1000VA RM 230V</v>
          </cell>
          <cell r="C749">
            <v>4</v>
          </cell>
          <cell r="E749" t="str">
            <v>PCS</v>
          </cell>
          <cell r="F749" t="str">
            <v>257A</v>
          </cell>
          <cell r="G749" t="str">
            <v>musa</v>
          </cell>
          <cell r="AA749" t="str">
            <v>SCHNEIDER STOCK</v>
          </cell>
        </row>
        <row r="750">
          <cell r="A750" t="str">
            <v>SMT2200RM2UC</v>
          </cell>
          <cell r="B750" t="str">
            <v>APC SMART-UPS 2200VA LCD RM 2U 120V WITH SMARTCONNECT</v>
          </cell>
          <cell r="C750">
            <v>0</v>
          </cell>
          <cell r="E750" t="str">
            <v>PCS</v>
          </cell>
          <cell r="G750" t="str">
            <v>musa</v>
          </cell>
          <cell r="AA750" t="str">
            <v>SCHNEIDER STOCK</v>
          </cell>
        </row>
        <row r="751">
          <cell r="A751" t="str">
            <v>SRT5KRMXLI</v>
          </cell>
          <cell r="B751" t="str">
            <v>APC SMART-UPS SRT 5000VA RM 230V</v>
          </cell>
          <cell r="C751">
            <v>0</v>
          </cell>
          <cell r="E751" t="str">
            <v>PCS</v>
          </cell>
          <cell r="G751" t="str">
            <v>musa</v>
          </cell>
          <cell r="AA751" t="str">
            <v>SCHNEIDER STOCK</v>
          </cell>
        </row>
        <row r="752">
          <cell r="A752" t="str">
            <v>SRTRK3</v>
          </cell>
          <cell r="B752" t="str">
            <v>APC 2-POST MOUNTING RAIL KIT FOR SMART-UPS SRT</v>
          </cell>
          <cell r="C752">
            <v>10</v>
          </cell>
          <cell r="E752" t="str">
            <v>PCS</v>
          </cell>
          <cell r="G752" t="str">
            <v>musa</v>
          </cell>
          <cell r="AA752" t="str">
            <v>SCHNEIDER STOCK</v>
          </cell>
        </row>
        <row r="753">
          <cell r="A753" t="str">
            <v>WBEXTWAR3YR-SP-05</v>
          </cell>
          <cell r="B753" t="str">
            <v>WBEXTWAR3YR-SP-05 SERVICE PACK 3 YEAR WARRANTY EXTENSION</v>
          </cell>
          <cell r="C753">
            <v>0</v>
          </cell>
          <cell r="E753" t="str">
            <v>PCS 258B</v>
          </cell>
          <cell r="F753" t="str">
            <v>238B</v>
          </cell>
          <cell r="G753" t="str">
            <v>musa</v>
          </cell>
          <cell r="AA753" t="str">
            <v>SCHNEIDER STOCK</v>
          </cell>
        </row>
        <row r="754">
          <cell r="A754" t="str">
            <v>AP6020A</v>
          </cell>
          <cell r="B754" t="str">
            <v>Rack PDU, Basic, 0U/1U, 100-240V/20A, 220-240V/16A, (13) C13</v>
          </cell>
          <cell r="C754">
            <v>14</v>
          </cell>
          <cell r="E754" t="str">
            <v>PCS</v>
          </cell>
          <cell r="F754" t="str">
            <v>253B,257A</v>
          </cell>
          <cell r="G754" t="str">
            <v>musa</v>
          </cell>
          <cell r="AA754" t="str">
            <v>SCHNEIDER STOCK</v>
          </cell>
        </row>
        <row r="755">
          <cell r="A755" t="str">
            <v>ACAC10049</v>
          </cell>
          <cell r="B755" t="str">
            <v>Winter Accessory Kit - Heaters Brackets Wiring</v>
          </cell>
          <cell r="C755">
            <v>3</v>
          </cell>
          <cell r="E755" t="str">
            <v>PCS</v>
          </cell>
          <cell r="F755" t="str">
            <v>205B</v>
          </cell>
          <cell r="G755" t="str">
            <v>musa</v>
          </cell>
          <cell r="AA755" t="str">
            <v>SCHNEIDER STOCK</v>
          </cell>
        </row>
        <row r="756">
          <cell r="A756" t="str">
            <v>QWBATT-QAAM89966-00</v>
          </cell>
          <cell r="B756" t="str">
            <v>PRODUCT 3RD PARTY HARDWARE OTHER BATTERY BLOCK EXIDE SPRINTER XP12V1800,N/A</v>
          </cell>
          <cell r="C756">
            <v>0</v>
          </cell>
          <cell r="E756" t="str">
            <v>PCS</v>
          </cell>
          <cell r="G756" t="str">
            <v>musa</v>
          </cell>
          <cell r="AA756" t="str">
            <v>SCHNEIDER STOCK</v>
          </cell>
        </row>
        <row r="757">
          <cell r="A757" t="str">
            <v>QWBATT-QAAM98237-00</v>
          </cell>
          <cell r="B757" t="str">
            <v>PRODUCT 3RD PARTY HARDWARE OTHER BATTERY BLOCK EXIDE SPRINTER XP12V3000 (2 X BOLT, 1 X BELT, 2 X COVER)</v>
          </cell>
          <cell r="C757">
            <v>0</v>
          </cell>
          <cell r="E757" t="str">
            <v>PCS</v>
          </cell>
          <cell r="G757" t="str">
            <v>musa</v>
          </cell>
          <cell r="AA757" t="str">
            <v>SCHNEIDER STOCK</v>
          </cell>
        </row>
        <row r="758">
          <cell r="A758" t="str">
            <v>QCONTAINMENT-QRRA46435-00</v>
          </cell>
          <cell r="B758" t="str">
            <v>PRODUCT 3RD PARTY HARDWARE OTHER RAL7035 20×SD48U1200W1200D E OPTION DOORS WITH 32×BLIND PANELS N/A</v>
          </cell>
          <cell r="C758">
            <v>0</v>
          </cell>
          <cell r="E758" t="str">
            <v>PCS</v>
          </cell>
          <cell r="G758" t="str">
            <v>musa</v>
          </cell>
          <cell r="AA758" t="str">
            <v>SCHNEIDER STOCK</v>
          </cell>
        </row>
        <row r="759">
          <cell r="A759" t="str">
            <v>EPDU1132S</v>
          </cell>
          <cell r="B759" t="str">
            <v>APC Easy Rack PDU, Switched, 0U, 1 Phase, 7.4kW, 230V, 32A, 20 x C13 and 4 x C19 outlets, IEC60309 2P+E inlet</v>
          </cell>
          <cell r="C759">
            <v>0</v>
          </cell>
          <cell r="E759" t="str">
            <v>PCS</v>
          </cell>
          <cell r="G759" t="str">
            <v>musa</v>
          </cell>
          <cell r="AA759" t="str">
            <v>SCHNEIDER STOCK</v>
          </cell>
        </row>
        <row r="760">
          <cell r="A760" t="str">
            <v>EPDU1132M</v>
          </cell>
          <cell r="B760" t="str">
            <v>APC Easy Rack PDU, Metered, 0U, 1 Phase, 7.4kW, 230V,32A, 20 x C13 and 4 x C19 outlets, IEC60309 2P+E inlet</v>
          </cell>
          <cell r="C760">
            <v>0</v>
          </cell>
          <cell r="E760" t="str">
            <v>PCS</v>
          </cell>
          <cell r="F760" t="str">
            <v>240A</v>
          </cell>
          <cell r="G760" t="str">
            <v>musa</v>
          </cell>
          <cell r="AA760" t="str">
            <v>SCHNEIDER STOCK</v>
          </cell>
        </row>
        <row r="761">
          <cell r="A761" t="str">
            <v>ER7BTM04</v>
          </cell>
          <cell r="B761" t="str">
            <v>EASY BRKT POST BTM 3-4FT INSIDEone pair</v>
          </cell>
          <cell r="C761">
            <v>6</v>
          </cell>
          <cell r="E761" t="str">
            <v>PCS</v>
          </cell>
          <cell r="F761" t="str">
            <v>255B,271B</v>
          </cell>
          <cell r="G761" t="str">
            <v>musa</v>
          </cell>
          <cell r="AA761" t="str">
            <v>SCHNEIDER STOCK</v>
          </cell>
        </row>
        <row r="762">
          <cell r="A762" t="str">
            <v>EMUPS50K250QBHS</v>
          </cell>
          <cell r="B762" t="str">
            <v>Easy UPS 3-Phase Modular 50kW Scalable to 250kW 400V Black 1 Switch for Ext Batt Start-up 5x8 Consisting of  1 x EMUPS50K250QBH</v>
          </cell>
          <cell r="C762">
            <v>1</v>
          </cell>
          <cell r="E762" t="str">
            <v>PCS</v>
          </cell>
          <cell r="F762" t="str">
            <v>ZONE A</v>
          </cell>
          <cell r="G762" t="str">
            <v>musa</v>
          </cell>
          <cell r="AA762" t="str">
            <v>SCHNEIDER STOCK</v>
          </cell>
        </row>
        <row r="763">
          <cell r="A763" t="str">
            <v>SMX3000HV</v>
          </cell>
          <cell r="B763" t="str">
            <v>APC SMART UPS X 3000VA RACK/ TOWER LCD 200-240V</v>
          </cell>
          <cell r="C763">
            <v>7</v>
          </cell>
          <cell r="E763" t="str">
            <v>PCS</v>
          </cell>
          <cell r="F763" t="str">
            <v>274A,208C,251C,259C,242A</v>
          </cell>
          <cell r="G763" t="str">
            <v>musa</v>
          </cell>
          <cell r="AA763" t="str">
            <v>SCHNEIDER STOCK</v>
          </cell>
        </row>
        <row r="764">
          <cell r="A764" t="str">
            <v>SMX120BP</v>
          </cell>
          <cell r="B764" t="str">
            <v>APC Smart-UPS X 120V External Battery Pack Rack/Tower</v>
          </cell>
          <cell r="C764">
            <v>9</v>
          </cell>
          <cell r="E764" t="str">
            <v>PCS</v>
          </cell>
          <cell r="F764" t="str">
            <v>243A,248A,260B</v>
          </cell>
          <cell r="G764" t="str">
            <v>musa</v>
          </cell>
          <cell r="AA764" t="str">
            <v>SCHNEIDER STOCK</v>
          </cell>
        </row>
        <row r="765">
          <cell r="A765" t="str">
            <v>SMX2200HV</v>
          </cell>
          <cell r="B765" t="str">
            <v>APC Smart-UPS X 2200VA Rack/Tower LCD 200-240V</v>
          </cell>
          <cell r="C765">
            <v>21</v>
          </cell>
          <cell r="E765" t="str">
            <v>PCS</v>
          </cell>
          <cell r="F765" t="str">
            <v>253B,208C,264C,265C,268C,266B</v>
          </cell>
          <cell r="G765" t="str">
            <v>musa</v>
          </cell>
          <cell r="AA765" t="str">
            <v>SCHNEIDER STOCK</v>
          </cell>
        </row>
        <row r="766">
          <cell r="A766" t="str">
            <v>SMT3000IC</v>
          </cell>
          <cell r="B766" t="str">
            <v>APC Smart-UPS 3000VA LCD 230V with SmartConnect</v>
          </cell>
          <cell r="C766">
            <v>0</v>
          </cell>
          <cell r="E766" t="str">
            <v>PCS</v>
          </cell>
          <cell r="F766" t="str">
            <v>204C,245A</v>
          </cell>
          <cell r="G766" t="str">
            <v>musa</v>
          </cell>
          <cell r="AA766" t="str">
            <v>SCHNEIDER STOCK</v>
          </cell>
        </row>
        <row r="767">
          <cell r="A767" t="str">
            <v>SRT48BP</v>
          </cell>
          <cell r="B767" t="str">
            <v>APC Smart-UPS SRT 48V 1kVA 1.5kVA Battery Pack</v>
          </cell>
          <cell r="C767">
            <v>22</v>
          </cell>
          <cell r="E767" t="str">
            <v>PCS</v>
          </cell>
          <cell r="F767" t="str">
            <v>257C,244A,254B</v>
          </cell>
          <cell r="G767" t="str">
            <v>musa</v>
          </cell>
          <cell r="AA767" t="str">
            <v>SCHNEIDER STOCK</v>
          </cell>
        </row>
        <row r="768">
          <cell r="A768" t="str">
            <v>AP9547</v>
          </cell>
          <cell r="B768" t="str">
            <v>Network Management Card for Easy UPS,3-Phase</v>
          </cell>
          <cell r="C768">
            <v>54</v>
          </cell>
          <cell r="E768" t="str">
            <v>PCS</v>
          </cell>
          <cell r="F768" t="str">
            <v>245B</v>
          </cell>
          <cell r="G768" t="str">
            <v>musa</v>
          </cell>
          <cell r="AA768" t="str">
            <v>SCHNEIDER STOCK</v>
          </cell>
        </row>
        <row r="769">
          <cell r="A769" t="str">
            <v>APCRBC115</v>
          </cell>
          <cell r="B769" t="str">
            <v>APC Replacement Battery Cartridge #115</v>
          </cell>
          <cell r="C769">
            <v>29</v>
          </cell>
          <cell r="E769" t="str">
            <v>PCS</v>
          </cell>
          <cell r="F769" t="str">
            <v>236B,251C,415B,407A</v>
          </cell>
          <cell r="G769" t="str">
            <v>musa</v>
          </cell>
          <cell r="AA769" t="str">
            <v>SCHNEIDER STOCK</v>
          </cell>
        </row>
        <row r="770">
          <cell r="A770" t="str">
            <v>APCRBC141</v>
          </cell>
          <cell r="B770" t="str">
            <v>APC Replacement Battery Cartridge #141</v>
          </cell>
          <cell r="C770">
            <v>5</v>
          </cell>
          <cell r="E770" t="str">
            <v>PCS</v>
          </cell>
          <cell r="F770" t="str">
            <v>432A</v>
          </cell>
          <cell r="G770" t="str">
            <v>musa</v>
          </cell>
          <cell r="AA770" t="str">
            <v>SCHNEIDER STOCK</v>
          </cell>
        </row>
        <row r="771">
          <cell r="A771" t="str">
            <v>GVSBPSU20K60H</v>
          </cell>
          <cell r="B771" t="str">
            <v>Galaxy VS Maintenance Bypass Panel Single-Unit 20-60kW 400V Wallmount</v>
          </cell>
          <cell r="C771">
            <v>2</v>
          </cell>
          <cell r="E771" t="str">
            <v>PCS</v>
          </cell>
          <cell r="F771" t="str">
            <v>232B</v>
          </cell>
          <cell r="G771" t="str">
            <v>musa</v>
          </cell>
          <cell r="AA771" t="str">
            <v>SCHNEIDER STOCK</v>
          </cell>
        </row>
        <row r="772">
          <cell r="A772" t="str">
            <v>GVSBPSU80K120H</v>
          </cell>
          <cell r="B772" t="str">
            <v>Galaxy VS Maintenance Bypass Panel Single-Unit 80-120kW 400V Wallmount</v>
          </cell>
          <cell r="C772">
            <v>3</v>
          </cell>
          <cell r="E772" t="str">
            <v>PCS</v>
          </cell>
          <cell r="F772" t="str">
            <v>247B</v>
          </cell>
          <cell r="G772" t="str">
            <v>musa</v>
          </cell>
          <cell r="AA772" t="str">
            <v>SCHNEIDER STOCK</v>
          </cell>
        </row>
        <row r="773">
          <cell r="A773" t="str">
            <v>GVSBBB20K80H</v>
          </cell>
          <cell r="B773" t="str">
            <v>Galaxy VS Battery Breaker Box 20-80kW 400V</v>
          </cell>
          <cell r="C773">
            <v>25</v>
          </cell>
          <cell r="E773" t="str">
            <v>PCS</v>
          </cell>
          <cell r="F773" t="str">
            <v>230C,243C,259C,261C,272C</v>
          </cell>
          <cell r="G773" t="str">
            <v>musa</v>
          </cell>
          <cell r="AA773" t="str">
            <v>SCHNEIDER STOCK</v>
          </cell>
        </row>
        <row r="774">
          <cell r="A774" t="str">
            <v>SURT15KRMXLI</v>
          </cell>
          <cell r="B774" t="str">
            <v>SMART UPS RT 15KVA</v>
          </cell>
          <cell r="C774">
            <v>0</v>
          </cell>
          <cell r="E774" t="str">
            <v>PCS</v>
          </cell>
          <cell r="G774" t="str">
            <v>musa</v>
          </cell>
          <cell r="AA774" t="str">
            <v>SCHNEIDER STOCK</v>
          </cell>
        </row>
        <row r="775">
          <cell r="A775" t="str">
            <v>SRTGRK2</v>
          </cell>
          <cell r="B775" t="str">
            <v>APC SMART-UPS RT 19 Rail Kit For External Battery Pack 15/20kVA</v>
          </cell>
          <cell r="C775">
            <v>70</v>
          </cell>
          <cell r="E775" t="str">
            <v>PCS</v>
          </cell>
          <cell r="F775" t="str">
            <v>255A,431B</v>
          </cell>
          <cell r="G775" t="str">
            <v>musa</v>
          </cell>
          <cell r="AA775" t="str">
            <v>SCHNEIDER STOCK</v>
          </cell>
        </row>
        <row r="776">
          <cell r="A776" t="str">
            <v>MDCRQ-QAPA37357-00</v>
          </cell>
          <cell r="B776" t="str">
            <v>PRODUCT ECOSTRUXURE MDC CUSTOM R SERIES INDUSTRIAL RACK 42UH X 800W X 800D WITH ACCS N A</v>
          </cell>
          <cell r="C776">
            <v>0</v>
          </cell>
          <cell r="E776" t="str">
            <v>PCS</v>
          </cell>
          <cell r="G776" t="str">
            <v>musa</v>
          </cell>
          <cell r="AA776" t="str">
            <v>SCHNEIDER STOCK</v>
          </cell>
        </row>
        <row r="777">
          <cell r="A777" t="str">
            <v>MDCRQ-QAPA81837-00</v>
          </cell>
          <cell r="B777" t="str">
            <v>PRODUCT ECOSTRUXURE MDC CUSTOM R SERIES INDUSTRIAL RACK 42UH X 600W X 800D WITH ACCS N A</v>
          </cell>
          <cell r="C777">
            <v>0</v>
          </cell>
          <cell r="E777" t="str">
            <v>PCS</v>
          </cell>
          <cell r="G777" t="str">
            <v>musa</v>
          </cell>
          <cell r="AA777" t="str">
            <v>SCHNEIDER STOCK</v>
          </cell>
        </row>
        <row r="778">
          <cell r="A778" t="str">
            <v>MDCRQ-QAPA17434-00</v>
          </cell>
          <cell r="B778" t="str">
            <v>PRODUCT ECOSTRUXURE MDC CUSTOM R SERIES INDUSTRIAL RACK 42UH X 800W X 1000D WITH ACCS N A</v>
          </cell>
          <cell r="C778">
            <v>0</v>
          </cell>
          <cell r="E778" t="str">
            <v>PCS</v>
          </cell>
          <cell r="G778" t="str">
            <v>musa</v>
          </cell>
          <cell r="AA778" t="str">
            <v>SCHNEIDER STOCK</v>
          </cell>
        </row>
        <row r="779">
          <cell r="A779" t="str">
            <v>MDCSQ-QAPA97362-00</v>
          </cell>
          <cell r="B779" t="str">
            <v>PRODUCT ECOSTRUXURE MDC CUSTOM S SERIES WALLMOUNT DOUBLE SECTION 12UH X 800W X 600W X 600D WITH ACCS N A</v>
          </cell>
          <cell r="C779">
            <v>0</v>
          </cell>
          <cell r="E779" t="str">
            <v>PCS</v>
          </cell>
          <cell r="G779" t="str">
            <v>musa</v>
          </cell>
          <cell r="AA779" t="str">
            <v>SCHNEIDER STOCK</v>
          </cell>
        </row>
        <row r="780">
          <cell r="A780" t="str">
            <v>MDCRQ-QAPA38323-00</v>
          </cell>
          <cell r="B780" t="str">
            <v>PRODUCT ECOSTRUXURE MDC CUSTOM R SERIES INDUSTRIAL RACK 42UH X 800W X 800D WITH ACCS WITHOUT FANS N A</v>
          </cell>
          <cell r="C780">
            <v>0</v>
          </cell>
          <cell r="E780" t="str">
            <v>PCS</v>
          </cell>
          <cell r="G780" t="str">
            <v>musa</v>
          </cell>
          <cell r="AA780" t="str">
            <v>SCHNEIDER STOCK</v>
          </cell>
        </row>
        <row r="781">
          <cell r="A781" t="str">
            <v>E3SUPS15KHB2</v>
          </cell>
          <cell r="B781" t="str">
            <v xml:space="preserve">Easy UPS 3S 15kVA 400V 3:3 UPS 30 min Consisting of  8 x E3SBTU  1 x E3SUPS15KHB </v>
          </cell>
          <cell r="C781">
            <v>0</v>
          </cell>
          <cell r="E781" t="str">
            <v>2PN</v>
          </cell>
          <cell r="G781" t="str">
            <v>musa</v>
          </cell>
          <cell r="AA781" t="str">
            <v>SCHNEIDER STOCK</v>
          </cell>
        </row>
        <row r="782">
          <cell r="A782" t="str">
            <v>AP8881</v>
          </cell>
          <cell r="B782" t="str">
            <v>Easy UPS 3S 15 kVA 400 V 3:3 UPS for internal batteries</v>
          </cell>
          <cell r="C782">
            <v>0</v>
          </cell>
          <cell r="E782" t="str">
            <v>PCS</v>
          </cell>
          <cell r="G782" t="str">
            <v>musa</v>
          </cell>
          <cell r="AA782" t="str">
            <v>SCHNEIDER STOCK</v>
          </cell>
        </row>
        <row r="783">
          <cell r="A783" t="str">
            <v>RBC6</v>
          </cell>
          <cell r="B783" t="str">
            <v>APC REPLACEMENT CARTRIDGE # 6</v>
          </cell>
          <cell r="C783">
            <v>11</v>
          </cell>
          <cell r="E783" t="str">
            <v>PCS</v>
          </cell>
          <cell r="F783" t="str">
            <v>419B</v>
          </cell>
          <cell r="G783" t="str">
            <v>musa</v>
          </cell>
          <cell r="AA783" t="str">
            <v>SCHNEIDER STOCK</v>
          </cell>
        </row>
        <row r="784">
          <cell r="A784" t="str">
            <v>SRV3KRI</v>
          </cell>
          <cell r="B784" t="str">
            <v>APC Easy UPS SRV RM 3000VA 230V</v>
          </cell>
          <cell r="C784">
            <v>0</v>
          </cell>
          <cell r="E784" t="str">
            <v>PCS</v>
          </cell>
          <cell r="F784" t="str">
            <v>263C,259B</v>
          </cell>
          <cell r="G784" t="str">
            <v>musa</v>
          </cell>
          <cell r="AA784" t="str">
            <v>SCHNEIDER STOCK</v>
          </cell>
        </row>
        <row r="785">
          <cell r="A785" t="str">
            <v>SRV2KRI</v>
          </cell>
          <cell r="B785" t="str">
            <v>APC Easy UPS SRV RM 2000VA 230V</v>
          </cell>
          <cell r="C785">
            <v>2</v>
          </cell>
          <cell r="E785" t="str">
            <v>PCS</v>
          </cell>
          <cell r="F785" t="str">
            <v>276B,275B,276B,275B,249C</v>
          </cell>
          <cell r="G785" t="str">
            <v>musa</v>
          </cell>
          <cell r="AA785" t="str">
            <v>SCHNEIDER STOCK</v>
          </cell>
        </row>
        <row r="786">
          <cell r="A786" t="str">
            <v>SMT1000RMI2UC</v>
          </cell>
          <cell r="B786" t="str">
            <v>APC Smart-UPS 1000VA LCD RM 2U 230V with SmartConnect</v>
          </cell>
          <cell r="C786">
            <v>17</v>
          </cell>
          <cell r="E786" t="str">
            <v>PCS</v>
          </cell>
          <cell r="F786" t="str">
            <v>203B,408A,241B</v>
          </cell>
          <cell r="G786" t="str">
            <v>musa</v>
          </cell>
          <cell r="AA786" t="str">
            <v>SCHNEIDER STOCK</v>
          </cell>
        </row>
        <row r="787">
          <cell r="A787" t="str">
            <v>SMT1500RMI2UC</v>
          </cell>
          <cell r="B787" t="str">
            <v>APC Smart-UPS 1500VA LCD RM 2U 230V with SmartConnect</v>
          </cell>
          <cell r="C787">
            <v>4</v>
          </cell>
          <cell r="E787" t="str">
            <v>PCS</v>
          </cell>
          <cell r="F787" t="str">
            <v>274C</v>
          </cell>
          <cell r="G787" t="str">
            <v>musa</v>
          </cell>
          <cell r="AA787" t="str">
            <v>SCHNEIDER STOCK</v>
          </cell>
        </row>
        <row r="788">
          <cell r="A788" t="str">
            <v>E3SUPS30KH</v>
          </cell>
          <cell r="B788" t="str">
            <v>Easy UPS 3S 30kVA 400V 3:3 UPS Low Tower</v>
          </cell>
          <cell r="C788">
            <v>5</v>
          </cell>
          <cell r="E788" t="str">
            <v>PCS</v>
          </cell>
          <cell r="F788" t="str">
            <v>warehouse 3 Zone B</v>
          </cell>
          <cell r="G788" t="str">
            <v>musa</v>
          </cell>
          <cell r="AA788" t="str">
            <v>SCHNEIDER STOCK</v>
          </cell>
        </row>
        <row r="789">
          <cell r="A789" t="str">
            <v>BX750MI-MS</v>
          </cell>
          <cell r="B789" t="str">
            <v>APC Back-UPS 750VA 230V AVR Universal Sockets</v>
          </cell>
          <cell r="C789">
            <v>0</v>
          </cell>
          <cell r="E789" t="str">
            <v>PCS</v>
          </cell>
          <cell r="F789" t="str">
            <v>282A,281A,230B,270B,270A</v>
          </cell>
          <cell r="G789" t="str">
            <v>musa</v>
          </cell>
          <cell r="AA789" t="str">
            <v>SCHNEIDER STOCK</v>
          </cell>
        </row>
        <row r="790">
          <cell r="A790" t="str">
            <v>BX750MI</v>
          </cell>
          <cell r="B790" t="str">
            <v>APC Back-UPS 750VA 230V AVR IEC Sockets</v>
          </cell>
          <cell r="C790">
            <v>15</v>
          </cell>
          <cell r="E790" t="str">
            <v>PCS</v>
          </cell>
          <cell r="F790" t="str">
            <v>268B</v>
          </cell>
          <cell r="G790" t="str">
            <v>musa</v>
          </cell>
          <cell r="AA790" t="str">
            <v>SCHNEIDER STOCK</v>
          </cell>
        </row>
        <row r="791">
          <cell r="A791" t="str">
            <v>AP8712S</v>
          </cell>
          <cell r="B791" t="str">
            <v>Power Cord Kit (6 ea) Locking C19 to C20 0.6m</v>
          </cell>
          <cell r="C791">
            <v>19</v>
          </cell>
          <cell r="E791" t="str">
            <v>PCS</v>
          </cell>
          <cell r="F791" t="str">
            <v>260B</v>
          </cell>
          <cell r="G791" t="str">
            <v>musa</v>
          </cell>
          <cell r="AA791" t="str">
            <v>SCHNEIDER STOCK</v>
          </cell>
        </row>
        <row r="792">
          <cell r="A792" t="str">
            <v>AP8714S</v>
          </cell>
          <cell r="B792" t="str">
            <v>Power Cord Kit (6 ea) Locking C19 to C20 1.2m</v>
          </cell>
          <cell r="C792">
            <v>33</v>
          </cell>
          <cell r="E792" t="str">
            <v>PCS</v>
          </cell>
          <cell r="F792" t="str">
            <v>230B,230B,236B,417B</v>
          </cell>
          <cell r="G792" t="str">
            <v>musa</v>
          </cell>
          <cell r="AA792" t="str">
            <v>SCHNEIDER STOCK</v>
          </cell>
        </row>
        <row r="793">
          <cell r="A793" t="str">
            <v>E3SUPS20KH</v>
          </cell>
          <cell r="B793" t="str">
            <v>Easy UPS 3S 20kVA 400V 3:3 UPS Low Tower</v>
          </cell>
          <cell r="C793">
            <v>0</v>
          </cell>
          <cell r="E793" t="str">
            <v>PCS</v>
          </cell>
          <cell r="G793" t="str">
            <v>musa</v>
          </cell>
          <cell r="AA793" t="str">
            <v>SCHNEIDER STOCK</v>
          </cell>
        </row>
        <row r="794">
          <cell r="A794" t="str">
            <v>QRACKACC-QRGO46714-00</v>
          </cell>
          <cell r="B794" t="str">
            <v>PRODUCT 3RD PARTY HARDWARE OTHER 48U GRE</v>
          </cell>
          <cell r="C794">
            <v>0</v>
          </cell>
          <cell r="E794" t="str">
            <v>PCS</v>
          </cell>
          <cell r="G794" t="str">
            <v>musa</v>
          </cell>
          <cell r="AA794" t="str">
            <v>SCHNEIDER STOCK</v>
          </cell>
        </row>
        <row r="795">
          <cell r="A795" t="str">
            <v>SMX120RMBP2U</v>
          </cell>
          <cell r="B795" t="str">
            <v>APC Smart-UPS X 120V External Battery Pack Rack/Tower</v>
          </cell>
          <cell r="C795">
            <v>0</v>
          </cell>
          <cell r="E795" t="str">
            <v>PCS</v>
          </cell>
          <cell r="G795" t="str">
            <v>musa</v>
          </cell>
          <cell r="AA795" t="str">
            <v>SCHNEIDER STOCK</v>
          </cell>
        </row>
        <row r="796">
          <cell r="A796" t="str">
            <v>AP8704S-WW</v>
          </cell>
          <cell r="B796" t="str">
            <v>Power Cord Kit (6 ea)Locking</v>
          </cell>
          <cell r="C796">
            <v>1</v>
          </cell>
          <cell r="E796" t="str">
            <v>PCS</v>
          </cell>
          <cell r="F796" t="str">
            <v>246B</v>
          </cell>
          <cell r="G796" t="str">
            <v>musa</v>
          </cell>
          <cell r="AA796" t="str">
            <v>SCHNEIDER STOCK</v>
          </cell>
        </row>
        <row r="797">
          <cell r="A797" t="str">
            <v>E3SUPS40KH</v>
          </cell>
          <cell r="B797" t="str">
            <v>Easy UPS 3S 40 kVA 400 V 3:3 UPS for external batteries</v>
          </cell>
          <cell r="C797">
            <v>0</v>
          </cell>
          <cell r="E797" t="str">
            <v>PCS</v>
          </cell>
          <cell r="F797" t="str">
            <v>403A,ZONE A,ZoneE</v>
          </cell>
          <cell r="G797" t="str">
            <v>musa</v>
          </cell>
          <cell r="AA797" t="str">
            <v>SCHNEIDER STOCK</v>
          </cell>
        </row>
        <row r="798">
          <cell r="A798" t="str">
            <v>AP7921B</v>
          </cell>
          <cell r="B798" t="str">
            <v>RACK PDU SWITCHED 1U 16A 230V</v>
          </cell>
          <cell r="C798">
            <v>20</v>
          </cell>
          <cell r="E798" t="str">
            <v>PCS</v>
          </cell>
          <cell r="F798" t="str">
            <v>230B,255B</v>
          </cell>
          <cell r="G798" t="str">
            <v>musa</v>
          </cell>
          <cell r="AA798" t="str">
            <v>SCHNEIDER STOCK</v>
          </cell>
        </row>
        <row r="799">
          <cell r="A799" t="str">
            <v>SU032A</v>
          </cell>
          <cell r="B799" t="str">
            <v>APC 4-POST RACKMOUNT RAILS</v>
          </cell>
          <cell r="C799">
            <v>248</v>
          </cell>
          <cell r="E799" t="str">
            <v>PCS</v>
          </cell>
          <cell r="F799" t="str">
            <v>257C,419B,426B</v>
          </cell>
          <cell r="G799" t="str">
            <v>musa</v>
          </cell>
          <cell r="AA799" t="str">
            <v>SCHNEIDER STOCK</v>
          </cell>
        </row>
        <row r="800">
          <cell r="A800" t="str">
            <v>RBC43</v>
          </cell>
          <cell r="B800" t="str">
            <v>APC REPLACEMENT BATTERY CARTRIDGE # 43</v>
          </cell>
          <cell r="C800">
            <v>1</v>
          </cell>
          <cell r="E800" t="str">
            <v>PCS</v>
          </cell>
          <cell r="F800" t="str">
            <v>264B,259A</v>
          </cell>
          <cell r="G800" t="str">
            <v>musa</v>
          </cell>
          <cell r="AA800" t="str">
            <v>SCHNEIDER STOCK</v>
          </cell>
        </row>
        <row r="801">
          <cell r="A801" t="str">
            <v>ACF502</v>
          </cell>
          <cell r="B801" t="str">
            <v>APC NETSHELTER SX ROOF FAN TRAY 208-230 VAC</v>
          </cell>
          <cell r="C801">
            <v>5</v>
          </cell>
          <cell r="E801" t="str">
            <v>PCS</v>
          </cell>
          <cell r="F801" t="str">
            <v>229B</v>
          </cell>
          <cell r="G801" t="str">
            <v>musa</v>
          </cell>
          <cell r="AA801" t="str">
            <v>SCHNEIDER STOCK</v>
          </cell>
        </row>
        <row r="802">
          <cell r="A802" t="str">
            <v>AR8172BLKX417</v>
          </cell>
          <cell r="B802" t="str">
            <v>Data Cable Partition, NetShelter, 800mm</v>
          </cell>
          <cell r="C802">
            <v>0</v>
          </cell>
          <cell r="E802" t="str">
            <v>PCS</v>
          </cell>
          <cell r="G802" t="str">
            <v>musa</v>
          </cell>
          <cell r="AA802" t="str">
            <v>SCHNEIDER STOCK</v>
          </cell>
        </row>
        <row r="803">
          <cell r="A803" t="str">
            <v>EPDU-TH</v>
          </cell>
          <cell r="B803" t="str">
            <v>T/H SENSOR for Easy PDU</v>
          </cell>
          <cell r="C803">
            <v>0</v>
          </cell>
          <cell r="E803" t="str">
            <v>PCS</v>
          </cell>
          <cell r="G803" t="str">
            <v>musa</v>
          </cell>
          <cell r="AA803" t="str">
            <v>SCHNEIDER STOCK</v>
          </cell>
        </row>
        <row r="804">
          <cell r="A804" t="str">
            <v>NBES0308</v>
          </cell>
          <cell r="B804" t="str">
            <v>NetBotz Leak Rope  - 20 ft</v>
          </cell>
          <cell r="C804">
            <v>5</v>
          </cell>
          <cell r="E804" t="str">
            <v>PCS</v>
          </cell>
          <cell r="F804" t="str">
            <v>407A,245B</v>
          </cell>
          <cell r="G804" t="str">
            <v>musa</v>
          </cell>
          <cell r="AA804" t="str">
            <v>SCHNEIDER STOCK</v>
          </cell>
        </row>
        <row r="805">
          <cell r="A805" t="str">
            <v>NBES0309</v>
          </cell>
          <cell r="B805" t="str">
            <v>NetBotz Leak Rope Extension - 20 ft</v>
          </cell>
          <cell r="C805">
            <v>17</v>
          </cell>
          <cell r="E805" t="str">
            <v>PCS</v>
          </cell>
          <cell r="F805" t="str">
            <v>407A,245B</v>
          </cell>
          <cell r="G805" t="str">
            <v>musa</v>
          </cell>
          <cell r="AA805" t="str">
            <v>SCHNEIDER STOCK</v>
          </cell>
        </row>
        <row r="806">
          <cell r="A806" t="str">
            <v>NBES0302</v>
          </cell>
          <cell r="B806" t="str">
            <v>NetBotz Door Switch Sensor</v>
          </cell>
          <cell r="C806">
            <v>10</v>
          </cell>
          <cell r="E806" t="str">
            <v>PCS</v>
          </cell>
          <cell r="F806" t="str">
            <v>407A,245B</v>
          </cell>
          <cell r="G806" t="str">
            <v>musa</v>
          </cell>
          <cell r="AA806" t="str">
            <v>SCHNEIDER STOCK</v>
          </cell>
        </row>
        <row r="807">
          <cell r="A807" t="str">
            <v>ER6482</v>
          </cell>
          <cell r="B807" t="str">
            <v>Easy Rack 600mm/24U/800mm  with Roof Side panelcastorsfeet and 4 Brackets No Bottom black</v>
          </cell>
          <cell r="C807">
            <v>13</v>
          </cell>
          <cell r="E807" t="str">
            <v>PCS</v>
          </cell>
          <cell r="F807" t="str">
            <v>405C,405C,ZONE A</v>
          </cell>
          <cell r="G807" t="str">
            <v>musa</v>
          </cell>
          <cell r="AA807" t="str">
            <v>SCHNEIDER STOCK</v>
          </cell>
        </row>
        <row r="808">
          <cell r="A808" t="str">
            <v>QRACKACC-QBSU03240</v>
          </cell>
          <cell r="B808" t="str">
            <v>PRODUCT 3RD PARTY HARDWARE OTHER 48U GREY RCC SKU NO 0M 5917E 006 (QRACKACC-QRGO05473-00)</v>
          </cell>
          <cell r="C808">
            <v>0</v>
          </cell>
          <cell r="E808" t="str">
            <v>PCS</v>
          </cell>
          <cell r="G808" t="str">
            <v>musa</v>
          </cell>
          <cell r="AA808" t="str">
            <v>SCHNEIDER STOCK</v>
          </cell>
        </row>
        <row r="809">
          <cell r="A809" t="str">
            <v>GVSBBB100K200H</v>
          </cell>
          <cell r="B809" t="str">
            <v>Galaxy VS Battery Breaker Box 100-200kW 400V</v>
          </cell>
          <cell r="C809">
            <v>0</v>
          </cell>
          <cell r="E809" t="str">
            <v>PCS</v>
          </cell>
          <cell r="G809" t="str">
            <v>musa</v>
          </cell>
          <cell r="AA809" t="str">
            <v>SCHNEIDER STOCK</v>
          </cell>
        </row>
        <row r="810">
          <cell r="A810" t="str">
            <v>E3SOPT002</v>
          </cell>
          <cell r="B810" t="str">
            <v>Easy UPS 3S Parallel Kit</v>
          </cell>
          <cell r="C810">
            <v>10</v>
          </cell>
          <cell r="E810" t="str">
            <v>PCS</v>
          </cell>
          <cell r="F810" t="str">
            <v>236B</v>
          </cell>
          <cell r="G810" t="str">
            <v>musa</v>
          </cell>
          <cell r="AA810" t="str">
            <v>SCHNEIDER STOCK</v>
          </cell>
        </row>
        <row r="811">
          <cell r="A811" t="str">
            <v>QRACKACC-QRGO35598-00</v>
          </cell>
          <cell r="B811" t="str">
            <v>PRODUCT RACK ACCESSORY 200 X 48U GREY RCC SKU NO 0M 5917E 006,N/A</v>
          </cell>
          <cell r="C811">
            <v>0</v>
          </cell>
          <cell r="E811" t="str">
            <v>PCS</v>
          </cell>
          <cell r="G811" t="str">
            <v>musa</v>
          </cell>
          <cell r="AA811" t="str">
            <v>SCHNEIDER STOCK</v>
          </cell>
        </row>
        <row r="812">
          <cell r="A812" t="str">
            <v>AP8702S-WW</v>
          </cell>
          <cell r="B812" t="str">
            <v>POWER CORD KIT (6 EA) LOCKING C13 TO C14 0.6M</v>
          </cell>
          <cell r="C812">
            <v>24</v>
          </cell>
          <cell r="E812" t="str">
            <v>PCS</v>
          </cell>
          <cell r="F812" t="str">
            <v>237B,237B</v>
          </cell>
          <cell r="G812" t="str">
            <v>musa</v>
          </cell>
          <cell r="AA812" t="str">
            <v>SCHNEIDER STOCK</v>
          </cell>
        </row>
        <row r="813">
          <cell r="A813" t="str">
            <v>NBHN125S</v>
          </cell>
          <cell r="B813" t="str">
            <v>NetBotz 125 kHz Single Handle Kit</v>
          </cell>
          <cell r="C813">
            <v>24</v>
          </cell>
          <cell r="E813" t="str">
            <v>PCS</v>
          </cell>
          <cell r="F813" t="str">
            <v>246B</v>
          </cell>
          <cell r="G813" t="str">
            <v>musa</v>
          </cell>
          <cell r="AA813" t="str">
            <v>SCHNEIDER STOCK</v>
          </cell>
        </row>
        <row r="814">
          <cell r="A814" t="str">
            <v>E3SUPS10KH</v>
          </cell>
          <cell r="B814" t="str">
            <v>Easy UPS 3S 10 kVA 400 V 3:3 UPS for external batteries</v>
          </cell>
          <cell r="C814">
            <v>3</v>
          </cell>
          <cell r="E814" t="str">
            <v>PCS</v>
          </cell>
          <cell r="F814" t="str">
            <v>254A</v>
          </cell>
          <cell r="G814" t="str">
            <v>musa</v>
          </cell>
          <cell r="AA814" t="str">
            <v>SCHNEIDER STOCK</v>
          </cell>
        </row>
        <row r="815">
          <cell r="A815" t="str">
            <v>AP5808</v>
          </cell>
          <cell r="B815" t="str">
            <v>17 Rack LCD Console with Integrated 8 Port Analog KVM Switch</v>
          </cell>
          <cell r="C815">
            <v>0</v>
          </cell>
          <cell r="E815" t="str">
            <v>PCS</v>
          </cell>
          <cell r="G815" t="str">
            <v>musa</v>
          </cell>
          <cell r="AA815" t="str">
            <v>SCHNEIDER STOCK</v>
          </cell>
        </row>
        <row r="816">
          <cell r="A816" t="str">
            <v>AR3200</v>
          </cell>
          <cell r="B816" t="str">
            <v>Netshelter SX Colocation 2x2OU 600mm Wide x 1070mm Deep Enclosure with slides</v>
          </cell>
          <cell r="C816">
            <v>1</v>
          </cell>
          <cell r="E816" t="str">
            <v>PCS</v>
          </cell>
          <cell r="F816" t="str">
            <v>ZONE A</v>
          </cell>
          <cell r="G816" t="str">
            <v>musa</v>
          </cell>
          <cell r="AA816" t="str">
            <v>SCHNEIDER STOCK</v>
          </cell>
        </row>
        <row r="817">
          <cell r="A817" t="str">
            <v>EGX150</v>
          </cell>
          <cell r="B817" t="str">
            <v>LINK 150 ETHERNET GATEWAY</v>
          </cell>
          <cell r="C817">
            <v>0</v>
          </cell>
          <cell r="E817" t="str">
            <v>PCS</v>
          </cell>
          <cell r="G817" t="str">
            <v>musa</v>
          </cell>
          <cell r="AA817" t="str">
            <v>SCHNEIDER STOCK</v>
          </cell>
        </row>
        <row r="818">
          <cell r="A818" t="str">
            <v>EPDU1232B</v>
          </cell>
          <cell r="B818" t="str">
            <v>Easy PDU Basic Zero U 22 kW 230V (30) C13 (12) C19 IEC309</v>
          </cell>
          <cell r="C818">
            <v>4</v>
          </cell>
          <cell r="E818" t="str">
            <v>PCS</v>
          </cell>
          <cell r="F818" t="str">
            <v>240A</v>
          </cell>
          <cell r="G818" t="str">
            <v>musa</v>
          </cell>
          <cell r="AA818" t="str">
            <v>SCHNEIDER STOCK</v>
          </cell>
        </row>
        <row r="819">
          <cell r="A819" t="str">
            <v>NBES0303S</v>
          </cell>
          <cell r="B819" t="str">
            <v>NetBotz Door Switch Sensor (1) for an APC Rack - 12 ft.</v>
          </cell>
          <cell r="C819">
            <v>13</v>
          </cell>
          <cell r="E819" t="str">
            <v>PCS</v>
          </cell>
          <cell r="F819" t="str">
            <v>246B</v>
          </cell>
          <cell r="G819" t="str">
            <v>musa</v>
          </cell>
          <cell r="AA819" t="str">
            <v>SCHNEIDER STOCK</v>
          </cell>
        </row>
        <row r="820">
          <cell r="A820" t="str">
            <v>AP9370-10</v>
          </cell>
          <cell r="B820" t="str">
            <v>APC NetBotz HID Proximity Cards - 10 Pack</v>
          </cell>
          <cell r="C820">
            <v>0</v>
          </cell>
          <cell r="E820" t="str">
            <v>PCS</v>
          </cell>
          <cell r="G820" t="str">
            <v>musa</v>
          </cell>
          <cell r="AA820" t="str">
            <v>SCHNEIDER STOCK</v>
          </cell>
        </row>
        <row r="821">
          <cell r="A821" t="str">
            <v>ACDC2410</v>
          </cell>
          <cell r="B821" t="str">
            <v>Curtain Door Mounting Rail 900 - 1200mm (36 - 48in) aisle width</v>
          </cell>
          <cell r="C821">
            <v>0</v>
          </cell>
          <cell r="E821" t="str">
            <v>PCS</v>
          </cell>
          <cell r="G821" t="str">
            <v>musa</v>
          </cell>
          <cell r="AA821" t="str">
            <v>SCHNEIDER STOCK</v>
          </cell>
        </row>
        <row r="822">
          <cell r="A822" t="str">
            <v>SYPM25KD</v>
          </cell>
          <cell r="B822" t="str">
            <v>APC Symmetra PX 25kW Power Module, 400/480V</v>
          </cell>
          <cell r="C822">
            <v>0</v>
          </cell>
          <cell r="E822" t="str">
            <v>PCS</v>
          </cell>
          <cell r="G822" t="str">
            <v>musa</v>
          </cell>
          <cell r="AA822" t="str">
            <v>SCHNEIDER STOCK</v>
          </cell>
        </row>
        <row r="823">
          <cell r="A823" t="str">
            <v>3827GY-10</v>
          </cell>
          <cell r="B823" t="str">
            <v>APC CATEGORY 5 UTP 568B PATCH CABLE, GRE</v>
          </cell>
          <cell r="C823">
            <v>0</v>
          </cell>
          <cell r="E823" t="str">
            <v>PCS</v>
          </cell>
          <cell r="G823" t="str">
            <v>musa</v>
          </cell>
          <cell r="AA823" t="str">
            <v>SCHNEIDER STOCK</v>
          </cell>
        </row>
        <row r="824">
          <cell r="A824" t="str">
            <v>3827GY-15</v>
          </cell>
          <cell r="B824" t="str">
            <v>APC CATEGORY 5 UTP 568B PATCH CABLE, GRE</v>
          </cell>
          <cell r="C824">
            <v>0</v>
          </cell>
          <cell r="E824" t="str">
            <v>PCS</v>
          </cell>
          <cell r="G824" t="str">
            <v>musa</v>
          </cell>
          <cell r="AA824" t="str">
            <v>SCHNEIDER STOCK</v>
          </cell>
        </row>
        <row r="825">
          <cell r="A825" t="str">
            <v>3827GY-20</v>
          </cell>
          <cell r="B825" t="str">
            <v>APC CATEGORY 5 UTP 568B PATCH CABLE, GRE</v>
          </cell>
          <cell r="C825">
            <v>0</v>
          </cell>
          <cell r="E825" t="str">
            <v>PCS</v>
          </cell>
          <cell r="G825" t="str">
            <v>musa</v>
          </cell>
          <cell r="AA825" t="str">
            <v>SCHNEIDER STOCK</v>
          </cell>
        </row>
        <row r="826">
          <cell r="A826" t="str">
            <v>3827GY-30</v>
          </cell>
          <cell r="B826" t="str">
            <v>APC CATEGORY 5 UTP 568B PATCH CABLE, GRE</v>
          </cell>
          <cell r="C826">
            <v>0</v>
          </cell>
          <cell r="E826" t="str">
            <v>PCS</v>
          </cell>
          <cell r="G826" t="str">
            <v>musa</v>
          </cell>
          <cell r="AA826" t="str">
            <v>SCHNEIDER STOCK</v>
          </cell>
        </row>
        <row r="827">
          <cell r="A827" t="str">
            <v>47136WH</v>
          </cell>
          <cell r="B827" t="str">
            <v>APC RJ45F/RJ45F, WHITE, IN LINE COUPLER,</v>
          </cell>
          <cell r="C827">
            <v>0</v>
          </cell>
          <cell r="E827" t="str">
            <v>PCS</v>
          </cell>
          <cell r="G827" t="str">
            <v>musa</v>
          </cell>
          <cell r="AA827" t="str">
            <v>SCHNEIDER STOCK</v>
          </cell>
        </row>
        <row r="828">
          <cell r="A828" t="str">
            <v>ACAC10005</v>
          </cell>
          <cell r="B828" t="str">
            <v>InRow Bridge Partition,Data Cable 300 M</v>
          </cell>
          <cell r="C828">
            <v>0</v>
          </cell>
          <cell r="E828" t="str">
            <v>PCS</v>
          </cell>
          <cell r="G828" t="str">
            <v>musa</v>
          </cell>
          <cell r="AA828" t="str">
            <v>SCHNEIDER STOCK</v>
          </cell>
        </row>
        <row r="829">
          <cell r="A829" t="str">
            <v>ACAC10035</v>
          </cell>
          <cell r="B829" t="str">
            <v>Compressor Acoustic Hood - RD25kW</v>
          </cell>
          <cell r="C829">
            <v>0</v>
          </cell>
          <cell r="E829" t="str">
            <v>PCS</v>
          </cell>
          <cell r="G829" t="str">
            <v>musa</v>
          </cell>
          <cell r="AA829" t="str">
            <v>SCHNEIDER STOCK</v>
          </cell>
        </row>
        <row r="830">
          <cell r="A830" t="str">
            <v>ACAC10037</v>
          </cell>
          <cell r="B830" t="str">
            <v>Ball Valve &amp; Union - RD25kW</v>
          </cell>
          <cell r="C830">
            <v>0</v>
          </cell>
          <cell r="E830" t="str">
            <v>PCS</v>
          </cell>
          <cell r="G830" t="str">
            <v>musa</v>
          </cell>
          <cell r="AA830" t="str">
            <v>SCHNEIDER STOCK</v>
          </cell>
        </row>
        <row r="831">
          <cell r="A831" t="str">
            <v>ACCU302D</v>
          </cell>
          <cell r="B831" t="str">
            <v>InRow DX 300mm Condensing Unit, 380-415v</v>
          </cell>
          <cell r="C831">
            <v>0</v>
          </cell>
          <cell r="E831" t="str">
            <v>PCS</v>
          </cell>
          <cell r="G831" t="str">
            <v>musa</v>
          </cell>
          <cell r="AA831" t="str">
            <v>SCHNEIDER STOCK</v>
          </cell>
        </row>
        <row r="832">
          <cell r="A832" t="str">
            <v>ACDC2000</v>
          </cell>
          <cell r="B832" t="str">
            <v>Ceiling Panel Mounting Rail - 1800mm (70</v>
          </cell>
          <cell r="C832">
            <v>5</v>
          </cell>
          <cell r="E832" t="str">
            <v>PCS</v>
          </cell>
          <cell r="F832" t="str">
            <v>213A</v>
          </cell>
          <cell r="G832" t="str">
            <v>musa</v>
          </cell>
          <cell r="AA832" t="str">
            <v>SCHNEIDER STOCK</v>
          </cell>
        </row>
        <row r="833">
          <cell r="A833" t="str">
            <v>ACDC2002</v>
          </cell>
          <cell r="B833" t="str">
            <v>Ceiling Panel Mounting Rail - 300mm (11.</v>
          </cell>
          <cell r="C833">
            <v>0</v>
          </cell>
          <cell r="E833" t="str">
            <v>PCS</v>
          </cell>
          <cell r="G833" t="str">
            <v>musa</v>
          </cell>
          <cell r="AA833" t="str">
            <v>SCHNEIDER STOCK</v>
          </cell>
        </row>
        <row r="834">
          <cell r="A834" t="str">
            <v>ACDC2003</v>
          </cell>
          <cell r="B834" t="str">
            <v>Ceiling Panel Mounting Rail - 100mm (3.9</v>
          </cell>
          <cell r="C834">
            <v>3</v>
          </cell>
          <cell r="E834" t="str">
            <v>PCS</v>
          </cell>
          <cell r="F834" t="str">
            <v>259B</v>
          </cell>
          <cell r="G834" t="str">
            <v>musa</v>
          </cell>
          <cell r="AA834" t="str">
            <v>SCHNEIDER STOCK</v>
          </cell>
        </row>
        <row r="835">
          <cell r="A835" t="str">
            <v>ACDC2004</v>
          </cell>
          <cell r="B835" t="str">
            <v>NetShelter Aisle Containment, Ceiling Pa</v>
          </cell>
          <cell r="C835">
            <v>0</v>
          </cell>
          <cell r="E835" t="str">
            <v>PCS</v>
          </cell>
          <cell r="G835" t="str">
            <v>musa</v>
          </cell>
          <cell r="AA835" t="str">
            <v>SCHNEIDER STOCK</v>
          </cell>
        </row>
        <row r="836">
          <cell r="A836" t="str">
            <v>ACDC2018</v>
          </cell>
          <cell r="B836" t="str">
            <v>Aisle Containment Lighting kit (w/ power</v>
          </cell>
          <cell r="C836">
            <v>35</v>
          </cell>
          <cell r="E836" t="str">
            <v>PCS</v>
          </cell>
          <cell r="F836" t="str">
            <v>253A,260A,426B</v>
          </cell>
          <cell r="G836" t="str">
            <v>musa</v>
          </cell>
          <cell r="AA836" t="str">
            <v>SCHNEIDER STOCK</v>
          </cell>
        </row>
        <row r="837">
          <cell r="A837" t="str">
            <v>ACDC2019</v>
          </cell>
          <cell r="B837" t="str">
            <v>Aisle Containment Lighting kit (w/o powe</v>
          </cell>
          <cell r="C837">
            <v>4</v>
          </cell>
          <cell r="E837" t="str">
            <v>PCS</v>
          </cell>
          <cell r="F837" t="str">
            <v>243B</v>
          </cell>
          <cell r="G837" t="str">
            <v>musa</v>
          </cell>
          <cell r="AA837" t="str">
            <v>SCHNEIDER STOCK</v>
          </cell>
        </row>
        <row r="838">
          <cell r="A838" t="str">
            <v>ACRD301P</v>
          </cell>
          <cell r="B838" t="str">
            <v>InRow DX 300mm 30kW Indoor Unit, 200-240</v>
          </cell>
          <cell r="C838">
            <v>0</v>
          </cell>
          <cell r="E838" t="str">
            <v>PCS</v>
          </cell>
          <cell r="G838" t="str">
            <v>musa</v>
          </cell>
          <cell r="AA838" t="str">
            <v>SCHNEIDER STOCK</v>
          </cell>
        </row>
        <row r="839">
          <cell r="A839" t="str">
            <v>ACRD301S</v>
          </cell>
          <cell r="B839" t="str">
            <v>InRow DX 300mm 30kW Indoor Unit, 100-120</v>
          </cell>
          <cell r="C839">
            <v>0</v>
          </cell>
          <cell r="E839" t="str">
            <v>PCS</v>
          </cell>
          <cell r="G839" t="str">
            <v>musa</v>
          </cell>
          <cell r="AA839" t="str">
            <v>SCHNEIDER STOCK</v>
          </cell>
        </row>
        <row r="840">
          <cell r="A840" t="str">
            <v>AP420</v>
          </cell>
          <cell r="B840" t="str">
            <v>APC FERRITE FOR 10BT CABLE QTY 10</v>
          </cell>
          <cell r="C840">
            <v>0</v>
          </cell>
          <cell r="E840" t="str">
            <v>PCS</v>
          </cell>
          <cell r="G840" t="str">
            <v>musa</v>
          </cell>
          <cell r="AA840" t="str">
            <v>SCHNEIDER STOCK</v>
          </cell>
        </row>
        <row r="841">
          <cell r="A841" t="str">
            <v>AP8858EU3</v>
          </cell>
          <cell r="B841" t="str">
            <v>Rack PDU 2G, Metered, ZeroU, 16A, 230V,</v>
          </cell>
          <cell r="C841">
            <v>0</v>
          </cell>
          <cell r="E841" t="str">
            <v>PCS</v>
          </cell>
          <cell r="G841" t="str">
            <v>musa</v>
          </cell>
          <cell r="AA841" t="str">
            <v>SCHNEIDER STOCK</v>
          </cell>
        </row>
        <row r="842">
          <cell r="A842" t="str">
            <v>AP9224110</v>
          </cell>
          <cell r="B842" t="str">
            <v>APC 24 Port 10/100 Ethernet Switch</v>
          </cell>
          <cell r="C842">
            <v>0</v>
          </cell>
          <cell r="E842" t="str">
            <v>PCS</v>
          </cell>
          <cell r="G842" t="str">
            <v>musa</v>
          </cell>
          <cell r="AA842" t="str">
            <v>SCHNEIDER STOCK</v>
          </cell>
        </row>
        <row r="843">
          <cell r="A843" t="str">
            <v>AR8006A</v>
          </cell>
          <cell r="B843" t="str">
            <v>Equipment Support Rails for 600mm Wide</v>
          </cell>
          <cell r="C843">
            <v>0</v>
          </cell>
          <cell r="E843" t="str">
            <v>PCS</v>
          </cell>
          <cell r="G843" t="str">
            <v>musa</v>
          </cell>
          <cell r="AA843" t="str">
            <v>SCHNEIDER STOCK</v>
          </cell>
        </row>
        <row r="844">
          <cell r="A844" t="str">
            <v>AR8172BLK</v>
          </cell>
          <cell r="B844" t="str">
            <v>Data Cable Partition, NetShelter, 750mm</v>
          </cell>
          <cell r="C844">
            <v>0</v>
          </cell>
          <cell r="E844" t="str">
            <v>PCS</v>
          </cell>
          <cell r="G844" t="str">
            <v>musa</v>
          </cell>
          <cell r="AA844" t="str">
            <v>SCHNEIDER STOCK</v>
          </cell>
        </row>
        <row r="845">
          <cell r="A845" t="str">
            <v>AR8173BLK</v>
          </cell>
          <cell r="B845" t="str">
            <v>Data Cable Partition, NetShelter, 750mm</v>
          </cell>
          <cell r="C845">
            <v>0</v>
          </cell>
          <cell r="E845" t="str">
            <v>PCS</v>
          </cell>
          <cell r="G845" t="str">
            <v>musa</v>
          </cell>
          <cell r="AA845" t="str">
            <v>SCHNEIDER STOCK</v>
          </cell>
        </row>
        <row r="846">
          <cell r="A846" t="str">
            <v>AR8429</v>
          </cell>
          <cell r="B846" t="str">
            <v>Horizontal Cable Organizer 1U w/brush st</v>
          </cell>
          <cell r="C846">
            <v>17</v>
          </cell>
          <cell r="E846" t="str">
            <v>PCS</v>
          </cell>
          <cell r="F846" t="str">
            <v>247B</v>
          </cell>
          <cell r="G846" t="str">
            <v>musa</v>
          </cell>
          <cell r="AA846" t="str">
            <v>SCHNEIDER STOCK</v>
          </cell>
        </row>
        <row r="847">
          <cell r="A847" t="str">
            <v>AR8571</v>
          </cell>
          <cell r="B847" t="str">
            <v>Cable Trough, 750mm</v>
          </cell>
          <cell r="C847">
            <v>0</v>
          </cell>
          <cell r="E847" t="str">
            <v>PCS</v>
          </cell>
          <cell r="G847" t="str">
            <v>musa</v>
          </cell>
          <cell r="AA847" t="str">
            <v>SCHNEIDER STOCK</v>
          </cell>
        </row>
        <row r="848">
          <cell r="A848" t="str">
            <v>AR8580</v>
          </cell>
          <cell r="B848" t="str">
            <v>Cable Trough, Open Bottom, 300mm</v>
          </cell>
          <cell r="C848">
            <v>0</v>
          </cell>
          <cell r="E848" t="str">
            <v>PCS</v>
          </cell>
          <cell r="G848" t="str">
            <v>musa</v>
          </cell>
          <cell r="AA848" t="str">
            <v>SCHNEIDER STOCK</v>
          </cell>
        </row>
        <row r="849">
          <cell r="A849" t="str">
            <v>SMX3000RMHV2U</v>
          </cell>
          <cell r="B849" t="str">
            <v>Smart-UPS X, Line Interactive, 3kVA, Rac</v>
          </cell>
          <cell r="C849">
            <v>0</v>
          </cell>
          <cell r="E849" t="str">
            <v>PCS</v>
          </cell>
          <cell r="G849" t="str">
            <v>musa</v>
          </cell>
          <cell r="AA849" t="str">
            <v>SCHNEIDER STOCK</v>
          </cell>
        </row>
        <row r="850">
          <cell r="A850" t="str">
            <v>AR3003</v>
          </cell>
          <cell r="B850" t="str">
            <v>APC NetShelter SX 12U Server Rack Enclosure 600mm x 900mm</v>
          </cell>
          <cell r="C850">
            <v>0</v>
          </cell>
          <cell r="E850" t="str">
            <v>PCS</v>
          </cell>
          <cell r="G850" t="str">
            <v>musa</v>
          </cell>
          <cell r="AA850" t="str">
            <v>SCHNEIDER STOCK</v>
          </cell>
        </row>
        <row r="851">
          <cell r="A851" t="str">
            <v>ER7PDUBRKT</v>
          </cell>
          <cell r="B851" t="str">
            <v>Easy Rack  PDU mounting bracket double width 2pair</v>
          </cell>
          <cell r="C851">
            <v>2</v>
          </cell>
          <cell r="E851" t="str">
            <v>PCS</v>
          </cell>
          <cell r="F851" t="str">
            <v>236B</v>
          </cell>
          <cell r="G851" t="str">
            <v>musa</v>
          </cell>
          <cell r="AA851" t="str">
            <v>SCHNEIDER STOCK</v>
          </cell>
        </row>
        <row r="852">
          <cell r="A852" t="str">
            <v>NBES0304</v>
          </cell>
          <cell r="B852" t="str">
            <v>NetBotz Sensors-NetBotz Dry Contact Cable-15ft</v>
          </cell>
          <cell r="C852">
            <v>15</v>
          </cell>
          <cell r="E852" t="str">
            <v>PCS</v>
          </cell>
          <cell r="F852" t="str">
            <v>235B</v>
          </cell>
          <cell r="G852" t="str">
            <v>musa</v>
          </cell>
          <cell r="AA852" t="str">
            <v>SCHNEIDER STOCK</v>
          </cell>
        </row>
        <row r="853">
          <cell r="A853" t="str">
            <v>NBPD0150</v>
          </cell>
          <cell r="B853" t="str">
            <v>UPS ACCESSORIES-NetBotz Rack Sensor Pod 150</v>
          </cell>
          <cell r="C853">
            <v>26</v>
          </cell>
          <cell r="E853" t="str">
            <v>PCS</v>
          </cell>
          <cell r="F853" t="str">
            <v>236B</v>
          </cell>
          <cell r="G853" t="str">
            <v>musa</v>
          </cell>
          <cell r="AA853" t="str">
            <v>SCHNEIDER STOCK</v>
          </cell>
        </row>
        <row r="854">
          <cell r="A854" t="str">
            <v>0M-STSU100HZ4</v>
          </cell>
          <cell r="B854" t="str">
            <v>UPSILON STS 100 4POLE 380-425V 1900MM</v>
          </cell>
          <cell r="C854">
            <v>0</v>
          </cell>
          <cell r="E854" t="str">
            <v>PCS</v>
          </cell>
          <cell r="G854" t="str">
            <v>musa</v>
          </cell>
          <cell r="AA854" t="str">
            <v>SCHNEIDER STOCK</v>
          </cell>
        </row>
        <row r="855">
          <cell r="A855" t="str">
            <v>NBRK0750</v>
          </cell>
          <cell r="B855" t="str">
            <v>NetBotz Rack Monitor 750</v>
          </cell>
          <cell r="C855">
            <v>9</v>
          </cell>
          <cell r="E855" t="str">
            <v>PCS</v>
          </cell>
          <cell r="F855" t="str">
            <v>406A,246B</v>
          </cell>
          <cell r="G855" t="str">
            <v>musa</v>
          </cell>
          <cell r="AA855" t="str">
            <v>SCHNEIDER STOCK</v>
          </cell>
        </row>
        <row r="856">
          <cell r="A856" t="str">
            <v>ACDC2001</v>
          </cell>
          <cell r="B856" t="str">
            <v>Ceiling Panel Mounting Rail - 600mm (23.</v>
          </cell>
          <cell r="C856">
            <v>0</v>
          </cell>
          <cell r="E856" t="str">
            <v>PCS</v>
          </cell>
          <cell r="G856" t="str">
            <v>musa</v>
          </cell>
          <cell r="AA856" t="str">
            <v>SCHNEIDER STOCK</v>
          </cell>
        </row>
        <row r="857">
          <cell r="A857" t="str">
            <v>ACDC2015</v>
          </cell>
          <cell r="B857" t="str">
            <v>Ceiling Panel Lock System (w/o power sup</v>
          </cell>
          <cell r="C857">
            <v>8</v>
          </cell>
          <cell r="E857" t="str">
            <v>PCS</v>
          </cell>
          <cell r="F857" t="str">
            <v>259B,205B</v>
          </cell>
          <cell r="G857" t="str">
            <v>musa</v>
          </cell>
          <cell r="AA857" t="str">
            <v>SCHNEIDER STOCK</v>
          </cell>
        </row>
        <row r="858">
          <cell r="A858" t="str">
            <v>ACDC2017</v>
          </cell>
          <cell r="B858" t="str">
            <v>Ceiling Panel Lock System,200-240V (w/</v>
          </cell>
          <cell r="C858">
            <v>1</v>
          </cell>
          <cell r="E858" t="str">
            <v>PCS</v>
          </cell>
          <cell r="F858" t="str">
            <v>258B</v>
          </cell>
          <cell r="G858" t="str">
            <v>musa</v>
          </cell>
          <cell r="AA858" t="str">
            <v>SCHNEIDER STOCK</v>
          </cell>
        </row>
        <row r="859">
          <cell r="A859" t="str">
            <v>ACDC2400</v>
          </cell>
          <cell r="B859" t="str">
            <v>Aisle Containment Door - Sliding</v>
          </cell>
          <cell r="C859">
            <v>1</v>
          </cell>
          <cell r="E859" t="str">
            <v>PCS</v>
          </cell>
          <cell r="F859" t="str">
            <v>404A</v>
          </cell>
          <cell r="G859" t="str">
            <v>musa</v>
          </cell>
          <cell r="AA859" t="str">
            <v>SCHNEIDER STOCK</v>
          </cell>
        </row>
        <row r="860">
          <cell r="A860" t="str">
            <v>ACDC2401</v>
          </cell>
          <cell r="B860" t="str">
            <v>Door Header - 42U SX</v>
          </cell>
          <cell r="C860">
            <v>1</v>
          </cell>
          <cell r="E860" t="str">
            <v>PCS</v>
          </cell>
          <cell r="F860" t="str">
            <v>211A</v>
          </cell>
          <cell r="G860" t="str">
            <v>musa</v>
          </cell>
          <cell r="AA860" t="str">
            <v>SCHNEIDER STOCK</v>
          </cell>
        </row>
        <row r="861">
          <cell r="A861" t="str">
            <v>ACDC2404</v>
          </cell>
          <cell r="B861" t="str">
            <v>Door Post,900 - 1200mm (36 - 48in) Aisl</v>
          </cell>
          <cell r="C861">
            <v>1</v>
          </cell>
          <cell r="E861" t="str">
            <v>PCS</v>
          </cell>
          <cell r="F861" t="str">
            <v>213A</v>
          </cell>
          <cell r="G861" t="str">
            <v>musa</v>
          </cell>
          <cell r="AA861" t="str">
            <v>SCHNEIDER STOCK</v>
          </cell>
        </row>
        <row r="862">
          <cell r="A862" t="str">
            <v>ACDC2408</v>
          </cell>
          <cell r="B862" t="str">
            <v>Door Lock</v>
          </cell>
          <cell r="C862">
            <v>1</v>
          </cell>
          <cell r="E862" t="str">
            <v>PCS</v>
          </cell>
          <cell r="F862" t="str">
            <v>243B</v>
          </cell>
          <cell r="G862" t="str">
            <v>musa</v>
          </cell>
          <cell r="AA862" t="str">
            <v>SCHNEIDER STOCK</v>
          </cell>
        </row>
        <row r="863">
          <cell r="A863" t="str">
            <v>ACDC2576</v>
          </cell>
          <cell r="B863" t="str">
            <v>Blanking Panel, 42-48U SX / 42U VX, 600m</v>
          </cell>
          <cell r="C863">
            <v>4</v>
          </cell>
          <cell r="E863" t="str">
            <v>PCS</v>
          </cell>
          <cell r="F863" t="str">
            <v>231A</v>
          </cell>
          <cell r="G863" t="str">
            <v>musa</v>
          </cell>
          <cell r="AA863" t="str">
            <v>SCHNEIDER STOCK</v>
          </cell>
        </row>
        <row r="864">
          <cell r="A864" t="str">
            <v>AR8165ABLK</v>
          </cell>
          <cell r="B864" t="str">
            <v>Cable Ladder 12 (30cm) Wide w/Ladder Attachment Kit Consisting of  1 x AR8166ABLK  1 x AR8165AKIT</v>
          </cell>
          <cell r="C864">
            <v>0</v>
          </cell>
          <cell r="E864" t="str">
            <v>2PN</v>
          </cell>
          <cell r="G864" t="str">
            <v>musa</v>
          </cell>
          <cell r="AA864" t="str">
            <v>SCHNEIDER STOCK</v>
          </cell>
        </row>
        <row r="865">
          <cell r="A865" t="str">
            <v>AR8164ABLK</v>
          </cell>
          <cell r="B865" t="str">
            <v>APC- Cable Consisting of  1 x AR8166ABLK  1 x AR8164AKIT</v>
          </cell>
          <cell r="C865">
            <v>2</v>
          </cell>
          <cell r="E865" t="str">
            <v>2PN</v>
          </cell>
          <cell r="G865" t="str">
            <v>musa</v>
          </cell>
          <cell r="AA865" t="str">
            <v>SCHNEIDER STOCK</v>
          </cell>
        </row>
        <row r="866">
          <cell r="A866" t="str">
            <v>AR8177BLK</v>
          </cell>
          <cell r="B866" t="str">
            <v>Cable Ladder Attachment Kit, 750mm Wide,</v>
          </cell>
          <cell r="C866">
            <v>0</v>
          </cell>
          <cell r="E866" t="str">
            <v>PCS</v>
          </cell>
          <cell r="G866" t="str">
            <v>musa</v>
          </cell>
          <cell r="AA866" t="str">
            <v>SCHNEIDER STOCK</v>
          </cell>
        </row>
        <row r="867">
          <cell r="A867" t="str">
            <v>CERTIFICATION</v>
          </cell>
          <cell r="B867" t="str">
            <v>DOCUMENTATION CERTIFICATION</v>
          </cell>
          <cell r="C867">
            <v>0</v>
          </cell>
          <cell r="E867" t="str">
            <v>PCS</v>
          </cell>
          <cell r="G867" t="str">
            <v>musa</v>
          </cell>
          <cell r="AA867" t="str">
            <v>SCHNEIDER STOCK</v>
          </cell>
        </row>
        <row r="868">
          <cell r="A868" t="str">
            <v>EPDU1232M</v>
          </cell>
          <cell r="B868" t="str">
            <v>Easy PDU Metered Zero U 22 kW 230V (18)</v>
          </cell>
          <cell r="C868">
            <v>3</v>
          </cell>
          <cell r="E868" t="str">
            <v>PCS</v>
          </cell>
          <cell r="F868" t="str">
            <v>232A</v>
          </cell>
          <cell r="G868" t="str">
            <v>musa</v>
          </cell>
          <cell r="AA868" t="str">
            <v>SCHNEIDER STOCK</v>
          </cell>
        </row>
        <row r="869">
          <cell r="A869" t="str">
            <v>ACAC75017</v>
          </cell>
          <cell r="B869" t="str">
            <v>Flooded Receiver 20L 219mm diameter 640mm length PED with 200w heater</v>
          </cell>
          <cell r="C869">
            <v>0</v>
          </cell>
          <cell r="E869" t="str">
            <v>PCS</v>
          </cell>
          <cell r="G869" t="str">
            <v>musa</v>
          </cell>
          <cell r="AA869" t="str">
            <v>SCHNEIDER STOCK</v>
          </cell>
        </row>
        <row r="870">
          <cell r="A870" t="str">
            <v>ACDC2550</v>
          </cell>
          <cell r="B870" t="str">
            <v>Depth Adapter 1070 to 1200mm SX42U 300mm Width</v>
          </cell>
          <cell r="C870">
            <v>1</v>
          </cell>
          <cell r="E870" t="str">
            <v>PCS</v>
          </cell>
          <cell r="F870" t="str">
            <v>231A</v>
          </cell>
          <cell r="G870" t="str">
            <v>musa</v>
          </cell>
          <cell r="AA870" t="str">
            <v>SCHNEIDER STOCK</v>
          </cell>
        </row>
        <row r="871">
          <cell r="A871" t="str">
            <v>ACF504</v>
          </cell>
          <cell r="B871" t="str">
            <v>Netshelter SX Roof Fan Tray 208-230 VAC 750mm</v>
          </cell>
          <cell r="C871">
            <v>0</v>
          </cell>
          <cell r="E871" t="str">
            <v>PCS</v>
          </cell>
          <cell r="G871" t="str">
            <v>musa</v>
          </cell>
          <cell r="AA871" t="str">
            <v>SCHNEIDER STOCK</v>
          </cell>
        </row>
        <row r="872">
          <cell r="A872" t="str">
            <v>AP7152B</v>
          </cell>
          <cell r="B872" t="str">
            <v>IN-LINE CURRENT METER, 16A, 230V, IEC309-16A, 2P+G</v>
          </cell>
          <cell r="C872">
            <v>0</v>
          </cell>
          <cell r="E872" t="str">
            <v>PCS</v>
          </cell>
          <cell r="G872" t="str">
            <v>musa</v>
          </cell>
          <cell r="AA872" t="str">
            <v>SCHNEIDER STOCK</v>
          </cell>
        </row>
        <row r="873">
          <cell r="A873" t="str">
            <v>AP9643</v>
          </cell>
          <cell r="B873" t="str">
            <v>UPS NETWORK MANAGEMENT CARD 3 W/ ENVIRONMENTAL MONITORING AND MODBUS</v>
          </cell>
          <cell r="C873">
            <v>15</v>
          </cell>
          <cell r="E873" t="str">
            <v>PCS</v>
          </cell>
          <cell r="F873" t="str">
            <v>230B,245B</v>
          </cell>
          <cell r="G873" t="str">
            <v>musa</v>
          </cell>
          <cell r="AA873" t="str">
            <v>SCHNEIDER STOCK</v>
          </cell>
        </row>
        <row r="874">
          <cell r="A874" t="str">
            <v>AR8132A</v>
          </cell>
          <cell r="B874" t="str">
            <v>APC COMBINATION LOCK HANDLES</v>
          </cell>
          <cell r="C874">
            <v>0</v>
          </cell>
          <cell r="E874" t="str">
            <v>PCS</v>
          </cell>
          <cell r="G874" t="str">
            <v>musa</v>
          </cell>
          <cell r="AA874" t="str">
            <v>SCHNEIDER STOCK</v>
          </cell>
        </row>
        <row r="875">
          <cell r="A875" t="str">
            <v>AR8162ABLK</v>
          </cell>
          <cell r="B875" t="str">
            <v>SHIELDING PARTITION SOLID 600MM WIDE BLACK</v>
          </cell>
          <cell r="C875">
            <v>0</v>
          </cell>
          <cell r="E875" t="str">
            <v>PCS</v>
          </cell>
          <cell r="G875" t="str">
            <v>musa</v>
          </cell>
          <cell r="AA875" t="str">
            <v>SCHNEIDER STOCK</v>
          </cell>
        </row>
        <row r="876">
          <cell r="A876" t="str">
            <v>AR8184</v>
          </cell>
          <cell r="B876" t="str">
            <v>Cable Partition 300mm</v>
          </cell>
          <cell r="C876">
            <v>0</v>
          </cell>
          <cell r="E876" t="str">
            <v>PCS</v>
          </cell>
          <cell r="G876" t="str">
            <v>musa</v>
          </cell>
          <cell r="AA876" t="str">
            <v>SCHNEIDER STOCK</v>
          </cell>
        </row>
        <row r="877">
          <cell r="A877" t="str">
            <v>AR8561</v>
          </cell>
          <cell r="B877" t="str">
            <v>Cable Trough 600mm</v>
          </cell>
          <cell r="C877">
            <v>8</v>
          </cell>
          <cell r="E877" t="str">
            <v>PCS</v>
          </cell>
          <cell r="F877" t="str">
            <v>202C</v>
          </cell>
          <cell r="G877" t="str">
            <v>musa</v>
          </cell>
          <cell r="AA877" t="str">
            <v>SCHNEIDER STOCK</v>
          </cell>
        </row>
        <row r="878">
          <cell r="A878" t="str">
            <v>AR8600A</v>
          </cell>
          <cell r="B878" t="str">
            <v>Horizontal Cable Manager 2U x 4 Deep Single-Sided with Cover</v>
          </cell>
          <cell r="C878">
            <v>0</v>
          </cell>
          <cell r="E878" t="str">
            <v>PCS</v>
          </cell>
          <cell r="G878" t="str">
            <v>musa</v>
          </cell>
          <cell r="AA878" t="str">
            <v>SCHNEIDER STOCK</v>
          </cell>
        </row>
        <row r="879">
          <cell r="A879" t="str">
            <v>AR8602A</v>
          </cell>
          <cell r="B879" t="str">
            <v>Horizontal Cable Manager 1U x 4 Deep Single-Sided with Cover</v>
          </cell>
          <cell r="C879">
            <v>9</v>
          </cell>
          <cell r="E879" t="str">
            <v>PCS</v>
          </cell>
          <cell r="F879" t="str">
            <v>236B</v>
          </cell>
          <cell r="G879" t="str">
            <v>musa</v>
          </cell>
          <cell r="AA879" t="str">
            <v>SCHNEIDER STOCK</v>
          </cell>
        </row>
        <row r="880">
          <cell r="A880" t="str">
            <v>E3SOPT006</v>
          </cell>
          <cell r="B880" t="str">
            <v>Easy UPS Parallel Maintenance Bypass up  to 2 units 10-40kva</v>
          </cell>
          <cell r="C880">
            <v>2</v>
          </cell>
          <cell r="E880" t="str">
            <v>PCS</v>
          </cell>
          <cell r="F880" t="str">
            <v>226B</v>
          </cell>
          <cell r="G880" t="str">
            <v>musa</v>
          </cell>
          <cell r="AA880" t="str">
            <v>SCHNEIDER STOCK</v>
          </cell>
        </row>
        <row r="881">
          <cell r="A881" t="str">
            <v>E3SUPS15KH</v>
          </cell>
          <cell r="B881" t="str">
            <v>Easy UPS 3S 15 kVA 400 V 3:3 UPS for external batteries</v>
          </cell>
          <cell r="C881">
            <v>3</v>
          </cell>
          <cell r="E881" t="str">
            <v>PCS</v>
          </cell>
          <cell r="F881" t="str">
            <v>254A</v>
          </cell>
          <cell r="G881" t="str">
            <v>musa</v>
          </cell>
          <cell r="AA881" t="str">
            <v>SCHNEIDER STOCK</v>
          </cell>
        </row>
        <row r="882">
          <cell r="A882" t="str">
            <v>EPDU1132B</v>
          </cell>
          <cell r="B882" t="str">
            <v>Easy PDU Basic Zero U 32A 230V (20)C13 &amp; (4)C19?IEC309</v>
          </cell>
          <cell r="C882">
            <v>0</v>
          </cell>
          <cell r="E882" t="str">
            <v>PCS</v>
          </cell>
          <cell r="F882" t="str">
            <v>263A</v>
          </cell>
          <cell r="G882" t="str">
            <v>musa</v>
          </cell>
          <cell r="AA882" t="str">
            <v>SCHNEIDER STOCK</v>
          </cell>
        </row>
        <row r="883">
          <cell r="A883" t="str">
            <v>GVLOPT002</v>
          </cell>
          <cell r="B883" t="str">
            <v xml:space="preserve">GALAXY VL SEISMIC KIT FOR UPS MAINTANANCE BYPASS AD BOTTOM CABLE ENTRY CABINET </v>
          </cell>
          <cell r="C883">
            <v>0</v>
          </cell>
          <cell r="E883" t="str">
            <v>PCS</v>
          </cell>
          <cell r="G883" t="str">
            <v>musa</v>
          </cell>
          <cell r="AA883" t="str">
            <v>SCHNEIDER STOCK</v>
          </cell>
        </row>
        <row r="884">
          <cell r="A884" t="str">
            <v>GVLOPT004</v>
          </cell>
          <cell r="B884" t="str">
            <v>Galaxy VL Internal Backfeed kit for IEC . -</v>
          </cell>
          <cell r="C884">
            <v>0</v>
          </cell>
          <cell r="E884" t="str">
            <v>PCS</v>
          </cell>
          <cell r="G884" t="str">
            <v>musa</v>
          </cell>
          <cell r="AA884" t="str">
            <v>SCHNEIDER STOCK</v>
          </cell>
        </row>
        <row r="885">
          <cell r="A885" t="str">
            <v>PDM3532IEC-260</v>
          </cell>
          <cell r="B885" t="str">
            <v>APC IT Power Distribution Module 3 Pole 5 Wire 32A IEC309 260cm</v>
          </cell>
          <cell r="C885">
            <v>0</v>
          </cell>
          <cell r="E885" t="str">
            <v>PCS</v>
          </cell>
          <cell r="G885" t="str">
            <v>musa</v>
          </cell>
          <cell r="AA885" t="str">
            <v>SCHNEIDER STOCK</v>
          </cell>
        </row>
        <row r="886">
          <cell r="A886" t="str">
            <v>PDM3532IEC-320</v>
          </cell>
          <cell r="B886" t="str">
            <v>APC IT POWER DISTRIBUTION MODULE</v>
          </cell>
          <cell r="C886">
            <v>0</v>
          </cell>
          <cell r="E886" t="str">
            <v>PCS</v>
          </cell>
          <cell r="G886" t="str">
            <v>musa</v>
          </cell>
          <cell r="AA886" t="str">
            <v>SCHNEIDER STOCK</v>
          </cell>
        </row>
        <row r="887">
          <cell r="A887" t="str">
            <v>PDM3532IEC-440</v>
          </cell>
          <cell r="B887" t="str">
            <v>APC IT POWER DISTRIBUTION MODULE</v>
          </cell>
          <cell r="C887">
            <v>0</v>
          </cell>
          <cell r="E887" t="str">
            <v>PCS</v>
          </cell>
          <cell r="G887" t="str">
            <v>musa</v>
          </cell>
          <cell r="AA887" t="str">
            <v>SCHNEIDER STOCK</v>
          </cell>
        </row>
        <row r="888">
          <cell r="A888" t="str">
            <v>PDM3532IEC-500</v>
          </cell>
          <cell r="B888" t="str">
            <v>APC IT POWER DISTRIBUTION MODULE</v>
          </cell>
          <cell r="C888">
            <v>0</v>
          </cell>
          <cell r="E888" t="str">
            <v>PCS</v>
          </cell>
          <cell r="G888" t="str">
            <v>musa</v>
          </cell>
          <cell r="AA888" t="str">
            <v>SCHNEIDER STOCK</v>
          </cell>
        </row>
        <row r="889">
          <cell r="A889" t="str">
            <v>PDM3532IEC-560</v>
          </cell>
          <cell r="B889" t="str">
            <v>APC IT Power Distribution Module 3 Pole 5 Wire 32A IEC309 560cm</v>
          </cell>
          <cell r="C889">
            <v>0</v>
          </cell>
          <cell r="E889" t="str">
            <v>PCS</v>
          </cell>
          <cell r="G889" t="str">
            <v>musa</v>
          </cell>
          <cell r="AA889" t="str">
            <v>SCHNEIDER STOCK</v>
          </cell>
        </row>
        <row r="890">
          <cell r="A890" t="str">
            <v>PDM3532IEC-620</v>
          </cell>
          <cell r="B890" t="str">
            <v>APC IT POWER DISTRIBUTION MODULE</v>
          </cell>
          <cell r="C890">
            <v>0</v>
          </cell>
          <cell r="E890" t="str">
            <v>PCS</v>
          </cell>
          <cell r="G890" t="str">
            <v>musa</v>
          </cell>
          <cell r="AA890" t="str">
            <v>SCHNEIDER STOCK</v>
          </cell>
        </row>
        <row r="891">
          <cell r="A891" t="str">
            <v>PDM3532IEC-740</v>
          </cell>
          <cell r="B891" t="str">
            <v>APC IT POWER DISTRIBUTION MODULE</v>
          </cell>
          <cell r="C891">
            <v>0</v>
          </cell>
          <cell r="E891" t="str">
            <v>PCS</v>
          </cell>
          <cell r="G891" t="str">
            <v>musa</v>
          </cell>
          <cell r="AA891" t="str">
            <v>SCHNEIDER STOCK</v>
          </cell>
        </row>
        <row r="892">
          <cell r="A892" t="str">
            <v>PDPM277H</v>
          </cell>
          <cell r="B892" t="str">
            <v>Infrastruxure Modular IT Power Dist.Unit</v>
          </cell>
          <cell r="C892">
            <v>0</v>
          </cell>
          <cell r="E892" t="str">
            <v>PCS</v>
          </cell>
          <cell r="G892" t="str">
            <v>musa</v>
          </cell>
          <cell r="AA892" t="str">
            <v>SCHNEIDER STOCK</v>
          </cell>
        </row>
        <row r="893">
          <cell r="A893" t="str">
            <v>SRTL3KRM1UIC</v>
          </cell>
          <cell r="B893" t="str">
            <v>APC Smart-UPS Ultra3000VA 230V 1U with Lithium-lon Battery with SmartConnect</v>
          </cell>
          <cell r="C893">
            <v>0</v>
          </cell>
          <cell r="E893" t="str">
            <v>PCS</v>
          </cell>
          <cell r="G893" t="str">
            <v>musa</v>
          </cell>
          <cell r="AA893" t="str">
            <v>SCHNEIDER STOCK</v>
          </cell>
        </row>
        <row r="894">
          <cell r="A894" t="str">
            <v>51029099SE</v>
          </cell>
          <cell r="B894" t="str">
            <v>JBUS/MODBUS (BALI) PCBA COM-SPARE PART</v>
          </cell>
          <cell r="C894">
            <v>0</v>
          </cell>
          <cell r="E894" t="str">
            <v>PCS</v>
          </cell>
          <cell r="G894" t="str">
            <v>musa</v>
          </cell>
          <cell r="AA894" t="str">
            <v>SCHNEIDER STOCK</v>
          </cell>
        </row>
        <row r="895">
          <cell r="A895" t="str">
            <v>QBATT-QRRA07424-00</v>
          </cell>
          <cell r="B895" t="str">
            <v>PRODUCT 3RD PARTY HARDWARE OTHER GLOBAL POWERSHIELD BATTERY MANAGEMENT SYSTEM,N/A</v>
          </cell>
          <cell r="C895">
            <v>0</v>
          </cell>
          <cell r="E895" t="str">
            <v>PCS</v>
          </cell>
          <cell r="G895" t="str">
            <v>musa</v>
          </cell>
          <cell r="AA895" t="str">
            <v>SCHNEIDER STOCK</v>
          </cell>
        </row>
        <row r="896">
          <cell r="A896" t="str">
            <v>GVLOPT006</v>
          </cell>
          <cell r="B896" t="str">
            <v>Galaxy VL parallel communications Kit Worldwide</v>
          </cell>
          <cell r="C896">
            <v>0</v>
          </cell>
          <cell r="E896" t="str">
            <v>PCS</v>
          </cell>
          <cell r="G896" t="str">
            <v>musa</v>
          </cell>
          <cell r="AA896" t="str">
            <v>SCHNEIDER STOCK</v>
          </cell>
        </row>
        <row r="897">
          <cell r="A897" t="str">
            <v>GVBBB630EL-3CB</v>
          </cell>
          <cell r="B897" t="str">
            <v>Battery Breaker Box three 630A DC breakers for Galaxy ranges</v>
          </cell>
          <cell r="C897">
            <v>0</v>
          </cell>
          <cell r="E897" t="str">
            <v>PCS</v>
          </cell>
          <cell r="G897" t="str">
            <v>musa</v>
          </cell>
          <cell r="AA897" t="str">
            <v>SCHNEIDER STOCK</v>
          </cell>
        </row>
        <row r="898">
          <cell r="A898" t="str">
            <v>34003604SE</v>
          </cell>
          <cell r="B898" t="str">
            <v>TELPAC GALAXY PCBA COM.-SPARE PART</v>
          </cell>
          <cell r="C898">
            <v>0</v>
          </cell>
          <cell r="E898" t="str">
            <v>PCS</v>
          </cell>
          <cell r="G898" t="str">
            <v>musa</v>
          </cell>
          <cell r="AA898" t="str">
            <v>SCHNEIDER STOCK</v>
          </cell>
        </row>
        <row r="899">
          <cell r="A899" t="str">
            <v>ACCU302</v>
          </cell>
          <cell r="B899" t="str">
            <v>InRow DX 300mm Condensing Unit 380-415v Single Power CE</v>
          </cell>
          <cell r="C899">
            <v>0</v>
          </cell>
          <cell r="E899" t="str">
            <v>PCS</v>
          </cell>
          <cell r="G899" t="str">
            <v>musa</v>
          </cell>
          <cell r="AA899" t="str">
            <v>SCHNEIDER STOCK</v>
          </cell>
        </row>
        <row r="900">
          <cell r="A900" t="str">
            <v>AR8163ABLK</v>
          </cell>
          <cell r="B900" t="str">
            <v>Data Cable Partition 600mm wide Pass-through</v>
          </cell>
          <cell r="C900">
            <v>1</v>
          </cell>
          <cell r="E900" t="str">
            <v>PCS</v>
          </cell>
          <cell r="F900" t="str">
            <v>243B</v>
          </cell>
          <cell r="G900" t="str">
            <v>musa</v>
          </cell>
          <cell r="AA900" t="str">
            <v>SCHNEIDER STOCK</v>
          </cell>
        </row>
        <row r="901">
          <cell r="A901" t="str">
            <v>PDM3532IEC-800</v>
          </cell>
          <cell r="B901" t="str">
            <v>APC IT POWER DISTRIBUTION MODULE</v>
          </cell>
          <cell r="C901">
            <v>0</v>
          </cell>
          <cell r="E901" t="str">
            <v>PCS</v>
          </cell>
          <cell r="G901" t="str">
            <v>musa</v>
          </cell>
          <cell r="AA901" t="str">
            <v>SCHNEIDER STOCK</v>
          </cell>
        </row>
        <row r="902">
          <cell r="A902" t="str">
            <v>AP7922B</v>
          </cell>
          <cell r="B902" t="str">
            <v>RACK PDU SWITCHED 2U 32A 230V (16)C13</v>
          </cell>
          <cell r="C902">
            <v>0</v>
          </cell>
          <cell r="E902" t="str">
            <v>PCS</v>
          </cell>
          <cell r="G902" t="str">
            <v>musa</v>
          </cell>
          <cell r="AA902" t="str">
            <v>SCHNEIDER STOCK</v>
          </cell>
        </row>
        <row r="903">
          <cell r="A903" t="str">
            <v>NBES0307</v>
          </cell>
          <cell r="B903" t="str">
            <v>NetBotz Smoke Sensor-Analyzer Parts</v>
          </cell>
          <cell r="C903">
            <v>6</v>
          </cell>
          <cell r="E903" t="str">
            <v>PCS</v>
          </cell>
          <cell r="G903" t="str">
            <v>musa</v>
          </cell>
          <cell r="AA903" t="str">
            <v>SCHNEIDER STOCK</v>
          </cell>
        </row>
        <row r="904">
          <cell r="A904" t="str">
            <v>GVSBBK20K80H</v>
          </cell>
          <cell r="B904" t="str">
            <v>Galaxy VS Battery Breaker Kit 20-80kW 400V</v>
          </cell>
          <cell r="C904">
            <v>0</v>
          </cell>
          <cell r="E904" t="str">
            <v>PCS</v>
          </cell>
          <cell r="G904" t="str">
            <v>musa</v>
          </cell>
          <cell r="AA904" t="str">
            <v>SCHNEIDER STOCK</v>
          </cell>
        </row>
        <row r="905">
          <cell r="A905" t="str">
            <v>QSG-QSMA55149-138</v>
          </cell>
          <cell r="B905" t="str">
            <v>PRODUCT 3RD PARTY HARDWARE OTHER LED BOX AND CONTACT ALARM 8 INPUTS 1 STAGE WITH SINGLE POWER SUPPLY 80 TO 265 VAC OR VDC,N/A</v>
          </cell>
          <cell r="C905">
            <v>0</v>
          </cell>
          <cell r="E905" t="str">
            <v>PCS</v>
          </cell>
          <cell r="G905" t="str">
            <v>musa</v>
          </cell>
          <cell r="AA905" t="str">
            <v>SCHNEIDER STOCK</v>
          </cell>
        </row>
        <row r="906">
          <cell r="A906" t="str">
            <v>USTSQ-QNSO52365-01</v>
          </cell>
          <cell r="B906" t="str">
            <v>PRODUCT STS STS STSU400QZ4 ETO VERSION,N/A(USTSQ-QNSO52365-00)</v>
          </cell>
          <cell r="C906">
            <v>0</v>
          </cell>
          <cell r="E906" t="str">
            <v>PCS</v>
          </cell>
          <cell r="G906" t="str">
            <v>musa</v>
          </cell>
          <cell r="AA906" t="str">
            <v>SCHNEIDER STOCK</v>
          </cell>
        </row>
        <row r="907">
          <cell r="A907" t="str">
            <v>34003640SE</v>
          </cell>
          <cell r="B907" t="str">
            <v>YUPI PCBA COM-SPARE PART</v>
          </cell>
          <cell r="C907">
            <v>0</v>
          </cell>
          <cell r="E907" t="str">
            <v>PCS</v>
          </cell>
          <cell r="G907" t="str">
            <v>musa</v>
          </cell>
          <cell r="AA907" t="str">
            <v>SCHNEIDER STOCK</v>
          </cell>
        </row>
        <row r="908">
          <cell r="A908" t="str">
            <v>ER7FANTRAY</v>
          </cell>
          <cell r="B908" t="str">
            <v>Easy Rack Fantray with single fan</v>
          </cell>
          <cell r="C908">
            <v>16</v>
          </cell>
          <cell r="E908" t="str">
            <v>PCS</v>
          </cell>
          <cell r="F908" t="str">
            <v>245B</v>
          </cell>
          <cell r="G908" t="str">
            <v>musa</v>
          </cell>
          <cell r="AA908" t="str">
            <v>SCHNEIDER STOCK</v>
          </cell>
        </row>
        <row r="909">
          <cell r="A909" t="str">
            <v>GVEBC11</v>
          </cell>
          <cell r="B909" t="str">
            <v>Empty Battery Cabinet 1100mm wide</v>
          </cell>
          <cell r="C909">
            <v>1</v>
          </cell>
          <cell r="E909" t="str">
            <v>PCS</v>
          </cell>
          <cell r="F909" t="str">
            <v>ZONE A</v>
          </cell>
          <cell r="G909" t="str">
            <v>musa</v>
          </cell>
          <cell r="AA909" t="str">
            <v>SCHNEIDER STOCK</v>
          </cell>
        </row>
        <row r="910">
          <cell r="A910" t="str">
            <v>E3SOPT003</v>
          </cell>
          <cell r="B910" t="str">
            <v>Temperature sensor kit for external battery system</v>
          </cell>
          <cell r="C910">
            <v>8</v>
          </cell>
          <cell r="E910" t="str">
            <v>PCS</v>
          </cell>
          <cell r="F910" t="str">
            <v>274,274B,274,274B</v>
          </cell>
          <cell r="G910" t="str">
            <v>musa</v>
          </cell>
          <cell r="AA910" t="str">
            <v>SCHNEIDER STOCK</v>
          </cell>
        </row>
        <row r="911">
          <cell r="A911" t="str">
            <v>ENL480-2</v>
          </cell>
          <cell r="B911" t="str">
            <v>ENL480-2 Yuasa VRLA 2V Battery</v>
          </cell>
          <cell r="C911">
            <v>0</v>
          </cell>
          <cell r="E911" t="str">
            <v>PCS</v>
          </cell>
          <cell r="G911" t="str">
            <v>musa</v>
          </cell>
          <cell r="AA911" t="str">
            <v>SCHNEIDER STOCK</v>
          </cell>
        </row>
        <row r="912">
          <cell r="A912" t="str">
            <v>QRACKACC-QRGO46714</v>
          </cell>
          <cell r="B912" t="str">
            <v>PRODUCT 3RD PARTY HARDWARE OTHER 48U GRE</v>
          </cell>
          <cell r="C912">
            <v>0</v>
          </cell>
          <cell r="E912" t="str">
            <v>PCS</v>
          </cell>
          <cell r="G912" t="str">
            <v>musa</v>
          </cell>
          <cell r="AA912" t="str">
            <v>SCHNEIDER STOCK</v>
          </cell>
        </row>
        <row r="913">
          <cell r="A913" t="str">
            <v>AP4421A</v>
          </cell>
          <cell r="B913" t="str">
            <v>Rack ATS 230V 10A C14 in (12) C13 out</v>
          </cell>
          <cell r="C913">
            <v>0</v>
          </cell>
          <cell r="E913" t="str">
            <v>PCS</v>
          </cell>
          <cell r="F913" t="str">
            <v>246A,422B</v>
          </cell>
          <cell r="G913" t="str">
            <v>musa</v>
          </cell>
          <cell r="AA913" t="str">
            <v>SCHNEIDER STOCK</v>
          </cell>
        </row>
        <row r="914">
          <cell r="A914" t="str">
            <v>AR8136BLK200-1</v>
          </cell>
          <cell r="B914" t="str">
            <v>APC 1U 19'' BLACK TOOLLESS BLANKING PANEL - QTY-200 (Seprated from AR8136BLK200)</v>
          </cell>
          <cell r="C914">
            <v>9</v>
          </cell>
          <cell r="E914" t="str">
            <v>PCS</v>
          </cell>
          <cell r="G914" t="str">
            <v>musa</v>
          </cell>
          <cell r="AA914" t="str">
            <v>SCHNEIDER STOCK</v>
          </cell>
        </row>
        <row r="915">
          <cell r="A915" t="str">
            <v>CCT15365</v>
          </cell>
          <cell r="B915" t="str">
            <v>IH Mech. Time Switch 24h 200h memory</v>
          </cell>
          <cell r="C915">
            <v>0</v>
          </cell>
          <cell r="E915" t="str">
            <v>PCS</v>
          </cell>
          <cell r="G915" t="str">
            <v>musa</v>
          </cell>
          <cell r="AA915" t="str">
            <v>SCHNEIDER STOCK</v>
          </cell>
        </row>
        <row r="916">
          <cell r="A916" t="str">
            <v>WHD20</v>
          </cell>
          <cell r="B916" t="str">
            <v>20A DP ISOLATOR</v>
          </cell>
          <cell r="C916">
            <v>0</v>
          </cell>
          <cell r="E916" t="str">
            <v>PCS</v>
          </cell>
          <cell r="F916" t="str">
            <v>221A</v>
          </cell>
          <cell r="G916" t="str">
            <v>musa</v>
          </cell>
          <cell r="AA916" t="str">
            <v>SCHNEIDER STOCK</v>
          </cell>
        </row>
        <row r="917">
          <cell r="A917" t="str">
            <v>WHD35</v>
          </cell>
          <cell r="B917" t="str">
            <v>35A DP ISOLATOR</v>
          </cell>
          <cell r="C917">
            <v>35</v>
          </cell>
          <cell r="E917" t="str">
            <v>PCS</v>
          </cell>
          <cell r="G917" t="str">
            <v>musa</v>
          </cell>
          <cell r="AA917" t="str">
            <v>SCHNEIDER STOCK</v>
          </cell>
        </row>
        <row r="918">
          <cell r="A918" t="str">
            <v>WHD55</v>
          </cell>
          <cell r="B918" t="str">
            <v>55A DP ISOLATOR</v>
          </cell>
          <cell r="C918">
            <v>0</v>
          </cell>
          <cell r="E918" t="str">
            <v>PCS</v>
          </cell>
          <cell r="G918" t="str">
            <v>musa</v>
          </cell>
          <cell r="AA918" t="str">
            <v>SCHNEIDER STOCK</v>
          </cell>
        </row>
        <row r="919">
          <cell r="A919" t="str">
            <v>WHD63</v>
          </cell>
          <cell r="B919" t="str">
            <v>63A DP ISOLATOR</v>
          </cell>
          <cell r="C919">
            <v>279</v>
          </cell>
          <cell r="E919" t="str">
            <v>PCS</v>
          </cell>
          <cell r="F919" t="str">
            <v>257C,257C</v>
          </cell>
          <cell r="G919" t="str">
            <v>musa</v>
          </cell>
          <cell r="AA919" t="str">
            <v>SCHNEIDER STOCK</v>
          </cell>
        </row>
        <row r="920">
          <cell r="A920" t="str">
            <v>WHT20</v>
          </cell>
          <cell r="B920" t="str">
            <v>20A TP ISOLATOR</v>
          </cell>
          <cell r="C920">
            <v>0</v>
          </cell>
          <cell r="E920" t="str">
            <v>PCS</v>
          </cell>
          <cell r="G920" t="str">
            <v>musa</v>
          </cell>
          <cell r="AA920" t="str">
            <v>SCHNEIDER STOCK</v>
          </cell>
        </row>
        <row r="921">
          <cell r="A921" t="str">
            <v>WHT35</v>
          </cell>
          <cell r="B921" t="str">
            <v>35A TP ISOLATOR</v>
          </cell>
          <cell r="C921">
            <v>0</v>
          </cell>
          <cell r="E921" t="str">
            <v>PCS</v>
          </cell>
          <cell r="G921" t="str">
            <v>musa</v>
          </cell>
          <cell r="AA921" t="str">
            <v>SCHNEIDER STOCK</v>
          </cell>
        </row>
        <row r="922">
          <cell r="A922" t="str">
            <v>WHT55</v>
          </cell>
          <cell r="B922" t="str">
            <v>55A TP ISOLATOR</v>
          </cell>
          <cell r="C922">
            <v>0</v>
          </cell>
          <cell r="E922" t="str">
            <v>PCS</v>
          </cell>
          <cell r="G922" t="str">
            <v>musa</v>
          </cell>
          <cell r="AA922" t="str">
            <v>SCHNEIDER STOCK</v>
          </cell>
        </row>
        <row r="923">
          <cell r="A923" t="str">
            <v>WHT63</v>
          </cell>
          <cell r="B923" t="str">
            <v>63A TP ISOLATOR</v>
          </cell>
          <cell r="C923">
            <v>60</v>
          </cell>
          <cell r="E923" t="str">
            <v>PCS</v>
          </cell>
          <cell r="F923" t="str">
            <v>257C</v>
          </cell>
          <cell r="G923" t="str">
            <v>musa</v>
          </cell>
          <cell r="AA923" t="str">
            <v>SCHNEIDER STOCK</v>
          </cell>
        </row>
        <row r="924">
          <cell r="A924" t="str">
            <v>A9H312MNS100FD</v>
          </cell>
          <cell r="B924" t="str">
            <v>DISBO 3P 12W NS 100A FLAT FLUSH</v>
          </cell>
          <cell r="C924">
            <v>0</v>
          </cell>
          <cell r="E924" t="str">
            <v>PCS</v>
          </cell>
          <cell r="F924" t="str">
            <v>234C</v>
          </cell>
          <cell r="G924" t="str">
            <v>musa</v>
          </cell>
          <cell r="AA924" t="str">
            <v>SCHNEIDER STOCK</v>
          </cell>
        </row>
        <row r="925">
          <cell r="A925" t="str">
            <v>A9H324MNS160FD</v>
          </cell>
          <cell r="B925" t="str">
            <v>DISBO 3P 24W NS 160A FLAT FLUSH</v>
          </cell>
          <cell r="C925">
            <v>0</v>
          </cell>
          <cell r="E925" t="str">
            <v>PCS</v>
          </cell>
          <cell r="G925" t="str">
            <v>musa</v>
          </cell>
          <cell r="AA925" t="str">
            <v>SCHNEIDER STOCK</v>
          </cell>
        </row>
        <row r="926">
          <cell r="A926" t="str">
            <v>A9H330MNS100FD</v>
          </cell>
          <cell r="B926" t="str">
            <v>DISBO 3P 30W NS 100A FLAT FLUSH</v>
          </cell>
          <cell r="C926">
            <v>0</v>
          </cell>
          <cell r="E926" t="str">
            <v>PCS</v>
          </cell>
          <cell r="F926" t="str">
            <v>209C,230C</v>
          </cell>
          <cell r="G926" t="str">
            <v>musa</v>
          </cell>
          <cell r="AA926" t="str">
            <v>SCHNEIDER STOCK</v>
          </cell>
        </row>
        <row r="927">
          <cell r="A927" t="str">
            <v>A9H330MNS200FD</v>
          </cell>
          <cell r="B927" t="str">
            <v>DISBO 3P 30W NS 200A FLAT FLUSH</v>
          </cell>
          <cell r="C927">
            <v>0</v>
          </cell>
          <cell r="E927" t="str">
            <v>PCS</v>
          </cell>
          <cell r="F927" t="str">
            <v>420B</v>
          </cell>
          <cell r="G927" t="str">
            <v>musa</v>
          </cell>
          <cell r="AA927" t="str">
            <v>SCHNEIDER STOCK</v>
          </cell>
        </row>
        <row r="928">
          <cell r="A928" t="str">
            <v>A9H330MNS63FD</v>
          </cell>
          <cell r="B928" t="str">
            <v>DISBO 3P 30W NS 63A FLAT FLUSH</v>
          </cell>
          <cell r="C928">
            <v>0</v>
          </cell>
          <cell r="E928" t="str">
            <v>PCS</v>
          </cell>
          <cell r="G928" t="str">
            <v>musa</v>
          </cell>
          <cell r="AA928" t="str">
            <v>SCHNEIDER STOCK</v>
          </cell>
        </row>
        <row r="929">
          <cell r="A929" t="str">
            <v>A9H336MNS200FD</v>
          </cell>
          <cell r="B929" t="str">
            <v>DISBO 3P 36W NS 200A FLAT FLUSH</v>
          </cell>
          <cell r="C929">
            <v>0</v>
          </cell>
          <cell r="E929" t="str">
            <v>PCS</v>
          </cell>
          <cell r="G929" t="str">
            <v>musa</v>
          </cell>
          <cell r="AA929" t="str">
            <v>SCHNEIDER STOCK</v>
          </cell>
        </row>
        <row r="930">
          <cell r="A930" t="str">
            <v>A9H336MNS250FD</v>
          </cell>
          <cell r="B930" t="str">
            <v>DISBO 3P 36W NS 250A FLAT FLUSH</v>
          </cell>
          <cell r="C930">
            <v>0</v>
          </cell>
          <cell r="E930" t="str">
            <v>PCS</v>
          </cell>
          <cell r="G930" t="str">
            <v>musa</v>
          </cell>
          <cell r="AA930" t="str">
            <v>SCHNEIDER STOCK</v>
          </cell>
        </row>
        <row r="931">
          <cell r="A931" t="str">
            <v>A9H342MNS100FD</v>
          </cell>
          <cell r="B931" t="str">
            <v>DISBO 3P 42W NS 100A FLAT FLUSH</v>
          </cell>
          <cell r="C931">
            <v>0</v>
          </cell>
          <cell r="E931" t="str">
            <v>PCS</v>
          </cell>
          <cell r="G931" t="str">
            <v>musa</v>
          </cell>
          <cell r="AA931" t="str">
            <v>SCHNEIDER STOCK</v>
          </cell>
        </row>
        <row r="932">
          <cell r="A932" t="str">
            <v>A9H342MNS200FD</v>
          </cell>
          <cell r="B932" t="str">
            <v>DISBO 3P 42W NS 200A FLAT FLUSH</v>
          </cell>
          <cell r="C932">
            <v>0</v>
          </cell>
          <cell r="E932" t="str">
            <v>PCS</v>
          </cell>
          <cell r="G932" t="str">
            <v>musa</v>
          </cell>
          <cell r="AA932" t="str">
            <v>SCHNEIDER STOCK</v>
          </cell>
        </row>
        <row r="933">
          <cell r="A933" t="str">
            <v>A9H342MNS250FD</v>
          </cell>
          <cell r="B933" t="str">
            <v>DISBO 3P 42W NS 250A FLAT FLUSH</v>
          </cell>
          <cell r="C933">
            <v>0</v>
          </cell>
          <cell r="E933" t="str">
            <v>PCS</v>
          </cell>
          <cell r="F933" t="str">
            <v>417B</v>
          </cell>
          <cell r="G933" t="str">
            <v>musa</v>
          </cell>
          <cell r="AA933" t="str">
            <v>SCHNEIDER STOCK</v>
          </cell>
        </row>
        <row r="934">
          <cell r="A934" t="str">
            <v>A9H348MNS100FD</v>
          </cell>
          <cell r="B934" t="str">
            <v>DISBO 3P 48W NS 100A FLAT FLUSH</v>
          </cell>
          <cell r="C934">
            <v>15</v>
          </cell>
          <cell r="E934" t="str">
            <v>PCS</v>
          </cell>
          <cell r="F934" t="str">
            <v>231C,434C</v>
          </cell>
          <cell r="G934" t="str">
            <v>musa</v>
          </cell>
          <cell r="AA934" t="str">
            <v>SCHNEIDER STOCK</v>
          </cell>
        </row>
        <row r="935">
          <cell r="A935" t="str">
            <v>A9H348MNS200FD</v>
          </cell>
          <cell r="B935" t="str">
            <v>DISBO 3P 48W NS 200A FLAT FLUSH</v>
          </cell>
          <cell r="C935">
            <v>8</v>
          </cell>
          <cell r="E935" t="str">
            <v>PCS</v>
          </cell>
          <cell r="F935" t="str">
            <v>211A,407C,435C</v>
          </cell>
          <cell r="G935" t="str">
            <v>musa</v>
          </cell>
          <cell r="AA935" t="str">
            <v>SCHNEIDER STOCK</v>
          </cell>
        </row>
        <row r="936">
          <cell r="A936" t="str">
            <v>A9H348MNS250FD</v>
          </cell>
          <cell r="B936" t="str">
            <v>DISBO 3P 48W NS 250A FLAT FLUSH</v>
          </cell>
          <cell r="C936">
            <v>0</v>
          </cell>
          <cell r="E936" t="str">
            <v>PCS</v>
          </cell>
          <cell r="G936" t="str">
            <v>musa</v>
          </cell>
          <cell r="AA936" t="str">
            <v>SCHNEIDER STOCK</v>
          </cell>
        </row>
        <row r="937">
          <cell r="A937" t="str">
            <v>RES312EZ100</v>
          </cell>
          <cell r="B937" t="str">
            <v>EASY9 RESBO DB 12 WAYS EASYPACT 100A</v>
          </cell>
          <cell r="C937">
            <v>112</v>
          </cell>
          <cell r="E937" t="str">
            <v>PCS</v>
          </cell>
          <cell r="F937" t="str">
            <v>210A,211A,237B,211B,218B,212C,213C,219C,250C,232C,238C,412B</v>
          </cell>
          <cell r="G937" t="str">
            <v>musa</v>
          </cell>
          <cell r="AA937" t="str">
            <v>SCHNEIDER STOCK</v>
          </cell>
        </row>
        <row r="938">
          <cell r="A938" t="str">
            <v>RES318EZ100</v>
          </cell>
          <cell r="B938" t="str">
            <v>EASY9 RESBO DB 18 WAYS EASYPACT 100A</v>
          </cell>
          <cell r="C938">
            <v>25</v>
          </cell>
          <cell r="E938" t="str">
            <v>PCS</v>
          </cell>
          <cell r="F938" t="str">
            <v>260B,207B,214B,214C,215C,216C,220C,233C,234C,238C</v>
          </cell>
          <cell r="G938" t="str">
            <v>musa</v>
          </cell>
          <cell r="AA938" t="str">
            <v>SCHNEIDER STOCK</v>
          </cell>
        </row>
        <row r="939">
          <cell r="A939" t="str">
            <v>RES324EZ100</v>
          </cell>
          <cell r="B939" t="str">
            <v>EASY9 RESBO DB 24 WAYS EASYPACT 100A</v>
          </cell>
          <cell r="C939">
            <v>48</v>
          </cell>
          <cell r="E939" t="str">
            <v>PCS</v>
          </cell>
          <cell r="F939" t="str">
            <v>204A,204A,204B,204B,201C,213C,215C,216C,235C</v>
          </cell>
          <cell r="G939" t="str">
            <v>musa</v>
          </cell>
          <cell r="AA939" t="str">
            <v>SCHNEIDER STOCK</v>
          </cell>
        </row>
        <row r="940">
          <cell r="A940" t="str">
            <v>RES330EZ100</v>
          </cell>
          <cell r="B940" t="str">
            <v>EASY9 RESBO DB 30 WAYS EASYPACT 100A</v>
          </cell>
          <cell r="C940">
            <v>6</v>
          </cell>
          <cell r="E940" t="str">
            <v>PCS</v>
          </cell>
          <cell r="F940" t="str">
            <v>218C,236C</v>
          </cell>
          <cell r="G940" t="str">
            <v>musa</v>
          </cell>
          <cell r="AA940" t="str">
            <v>SCHNEIDER STOCK</v>
          </cell>
        </row>
        <row r="941">
          <cell r="A941" t="str">
            <v>RES336EZ100</v>
          </cell>
          <cell r="B941" t="str">
            <v>EASY9 RESBO DB 36 WAYS EASYPACT 100A</v>
          </cell>
          <cell r="C941">
            <v>0</v>
          </cell>
          <cell r="E941" t="str">
            <v>PCS</v>
          </cell>
          <cell r="G941" t="str">
            <v>musa</v>
          </cell>
          <cell r="AA941" t="str">
            <v>SCHNEIDER STOCK</v>
          </cell>
        </row>
        <row r="942">
          <cell r="A942" t="str">
            <v>RES342EZ100</v>
          </cell>
          <cell r="B942" t="str">
            <v>EASY9 RESBO DB 42 WAYS EASYPACT 100A</v>
          </cell>
          <cell r="C942">
            <v>28</v>
          </cell>
          <cell r="E942" t="str">
            <v>PCS</v>
          </cell>
          <cell r="F942" t="str">
            <v>221C,238C,277C</v>
          </cell>
          <cell r="G942" t="str">
            <v>musa</v>
          </cell>
          <cell r="AA942" t="str">
            <v>SCHNEIDER STOCK</v>
          </cell>
        </row>
        <row r="943">
          <cell r="A943" t="str">
            <v>RES342EZ150</v>
          </cell>
          <cell r="B943" t="str">
            <v>RESBO, 3 PHASE, 42 WAY 150A, FLUSH</v>
          </cell>
          <cell r="C943">
            <v>22</v>
          </cell>
          <cell r="E943" t="str">
            <v>PCS</v>
          </cell>
          <cell r="F943" t="str">
            <v>209A,412B,418B,435B</v>
          </cell>
          <cell r="G943" t="str">
            <v>musa</v>
          </cell>
          <cell r="AA943" t="str">
            <v>SCHNEIDER STOCK</v>
          </cell>
        </row>
        <row r="944">
          <cell r="A944" t="str">
            <v>VLVIP54KIT03</v>
          </cell>
          <cell r="B944" t="str">
            <v>Kit IP54 VarSet for cubicles size F5N</v>
          </cell>
          <cell r="C944">
            <v>0</v>
          </cell>
          <cell r="E944" t="str">
            <v>PCS</v>
          </cell>
          <cell r="G944" t="str">
            <v>musa</v>
          </cell>
          <cell r="AA944" t="str">
            <v>SCHNEIDER STOCK</v>
          </cell>
        </row>
        <row r="945">
          <cell r="A945" t="str">
            <v>VLVAF2P03608CA</v>
          </cell>
          <cell r="B945" t="str">
            <v>VarSet Auto 100kvar  DR3,8 400V-60 CB </v>
          </cell>
          <cell r="C945">
            <v>0</v>
          </cell>
          <cell r="E945" t="str">
            <v>PCS</v>
          </cell>
          <cell r="G945" t="str">
            <v>musa</v>
          </cell>
          <cell r="AA945" t="str">
            <v>SCHNEIDER STOCK</v>
          </cell>
        </row>
        <row r="946">
          <cell r="A946" t="str">
            <v>VLVAF3P03614 AK</v>
          </cell>
          <cell r="B946" t="str">
            <v>VarSet Auto 250K DR3,8  400V-60 CB Top</v>
          </cell>
          <cell r="C946">
            <v>0</v>
          </cell>
          <cell r="E946" t="str">
            <v>PCS</v>
          </cell>
          <cell r="G946" t="str">
            <v>musa</v>
          </cell>
          <cell r="AA946" t="str">
            <v>SCHNEIDER STOCK</v>
          </cell>
        </row>
        <row r="947">
          <cell r="A947" t="str">
            <v>QEPOD-QRRA17695-00</v>
          </cell>
          <cell r="B947" t="str">
            <v>PRODUCT 3RD PARTY HARDWARE OTHER 1XSDWA42U938D1070L ECO WITH E OPTION SLIDING DOOR, N/A</v>
          </cell>
          <cell r="C947">
            <v>0</v>
          </cell>
          <cell r="E947" t="str">
            <v>PCS</v>
          </cell>
          <cell r="G947" t="str">
            <v>musa</v>
          </cell>
          <cell r="AA947" t="str">
            <v>SCHNEIDER STOCK</v>
          </cell>
        </row>
        <row r="948">
          <cell r="A948" t="str">
            <v>E3SOPT008</v>
          </cell>
          <cell r="B948" t="str">
            <v>Easy UPS 3S Battery Breaker Kit</v>
          </cell>
          <cell r="C948">
            <v>6</v>
          </cell>
          <cell r="E948" t="str">
            <v>PCS</v>
          </cell>
          <cell r="F948" t="str">
            <v>258B,248A,260A</v>
          </cell>
          <cell r="G948" t="str">
            <v>musa</v>
          </cell>
          <cell r="AA948" t="str">
            <v>SCHNEIDER STOCK</v>
          </cell>
        </row>
        <row r="949">
          <cell r="A949" t="str">
            <v>SMC1000I-2U</v>
          </cell>
          <cell r="B949" t="str">
            <v>APC Smart-UPS C 1000VA 2U Rack mountable LCD 230V</v>
          </cell>
          <cell r="C949">
            <v>0</v>
          </cell>
          <cell r="E949" t="str">
            <v>PCS</v>
          </cell>
          <cell r="G949" t="str">
            <v>musa</v>
          </cell>
          <cell r="AA949" t="str">
            <v>SCHNEIDER STOCK</v>
          </cell>
        </row>
        <row r="950">
          <cell r="A950" t="str">
            <v>QSG-QSMA55149-163</v>
          </cell>
          <cell r="B950" t="str">
            <v>PRODUCT 3RD PARTY HARDWARE OTHER LED BOX AND CONTRACT ALARM 8 INPUTS 1 STAGE WITH SINGLE POWER SUPPLY 80 TO 265 VAC OR VDC,N/A</v>
          </cell>
          <cell r="C950">
            <v>0</v>
          </cell>
          <cell r="E950" t="str">
            <v>PCS</v>
          </cell>
          <cell r="G950" t="str">
            <v>musa</v>
          </cell>
          <cell r="AA950" t="str">
            <v>SCHNEIDER STOCK</v>
          </cell>
        </row>
        <row r="951">
          <cell r="A951" t="str">
            <v>QBATT-QRRA37891-00</v>
          </cell>
          <cell r="B951" t="str">
            <v>PRODUCT 3RD PARTY HARDWARE OTHER POWERSHEILD BMS FOR 2X44XEXIDE PC12 180FT EXIDE PC12 180FT EXIDE BATTERIES,N/A</v>
          </cell>
          <cell r="C951">
            <v>0</v>
          </cell>
          <cell r="E951" t="str">
            <v>PCS</v>
          </cell>
          <cell r="G951" t="str">
            <v>musa</v>
          </cell>
          <cell r="AA951" t="str">
            <v>SCHNEIDER STOCK</v>
          </cell>
        </row>
        <row r="952">
          <cell r="A952" t="str">
            <v>QRACKACC-QHAL63762-00</v>
          </cell>
          <cell r="B952" t="str">
            <v>PRODUCT RACK ACCESSORY 252 X 48U GREY RCC SKU NO 0M 5917E 006,N/A</v>
          </cell>
          <cell r="C952">
            <v>0</v>
          </cell>
          <cell r="E952" t="str">
            <v>PCS</v>
          </cell>
          <cell r="G952" t="str">
            <v>musa</v>
          </cell>
          <cell r="AA952" t="str">
            <v>SCHNEIDER STOCK</v>
          </cell>
        </row>
        <row r="953">
          <cell r="A953" t="str">
            <v>SP3OPT005</v>
          </cell>
          <cell r="B953" t="str">
            <v>600 mm Wide Seismic Kit for 250 kW Easy UPS 3-Phase Modular and Galaxy PX UPS, Black</v>
          </cell>
          <cell r="C953">
            <v>0</v>
          </cell>
          <cell r="E953" t="str">
            <v>PCS</v>
          </cell>
          <cell r="G953" t="str">
            <v>musa</v>
          </cell>
          <cell r="AA953" t="str">
            <v>SCHNEIDER STOCK</v>
          </cell>
        </row>
        <row r="954">
          <cell r="A954" t="str">
            <v>GVSOPT033</v>
          </cell>
          <cell r="B954" t="str">
            <v>GALAXY VS IP52 / NEMA 12 KIT FOR 521 MM (20.5IN) WIDE UPS</v>
          </cell>
          <cell r="C954">
            <v>1</v>
          </cell>
          <cell r="E954" t="str">
            <v>PCS</v>
          </cell>
          <cell r="G954" t="str">
            <v>musa</v>
          </cell>
          <cell r="AA954" t="str">
            <v>SCHNEIDER STOCK</v>
          </cell>
        </row>
        <row r="955">
          <cell r="A955" t="str">
            <v>GVEBC7</v>
          </cell>
          <cell r="B955" t="str">
            <v>Empty Battery Cabinet 700mm wide</v>
          </cell>
          <cell r="C955">
            <v>10</v>
          </cell>
          <cell r="E955" t="str">
            <v>PCS</v>
          </cell>
          <cell r="G955" t="str">
            <v>musa</v>
          </cell>
          <cell r="AA955" t="str">
            <v>SCHNEIDER STOCK</v>
          </cell>
        </row>
        <row r="956">
          <cell r="A956" t="str">
            <v>GVL500KDS</v>
          </cell>
          <cell r="B956" t="str">
            <v>Galaxy VS Parallel Communications Kit</v>
          </cell>
          <cell r="C956">
            <v>0</v>
          </cell>
          <cell r="E956" t="str">
            <v>PCS</v>
          </cell>
          <cell r="G956" t="str">
            <v>musa</v>
          </cell>
          <cell r="AA956" t="str">
            <v>SCHNEIDER STOCK</v>
          </cell>
        </row>
        <row r="957">
          <cell r="A957" t="str">
            <v>GVL500KDS</v>
          </cell>
          <cell r="B957" t="str">
            <v xml:space="preserve">Galaxy VL UPS 500 kW 400/480V Start-up 5x8 Consisting of  1 x GVLFRM200K500D  6 x GVPM50KD  </v>
          </cell>
          <cell r="C957">
            <v>0</v>
          </cell>
          <cell r="E957" t="str">
            <v>2 PN</v>
          </cell>
          <cell r="G957" t="str">
            <v>musa</v>
          </cell>
          <cell r="AA957" t="str">
            <v>SCHNEIDER STOCK</v>
          </cell>
        </row>
        <row r="958">
          <cell r="A958" t="str">
            <v>Sub Part number</v>
          </cell>
          <cell r="B958" t="str">
            <v>GVLFRM200K500D</v>
          </cell>
          <cell r="C958">
            <v>0</v>
          </cell>
          <cell r="E958" t="str">
            <v xml:space="preserve">GVLFRM200K500D = </v>
          </cell>
          <cell r="G958" t="str">
            <v>musa</v>
          </cell>
          <cell r="AA958" t="str">
            <v>SCHNEIDER STOCK</v>
          </cell>
        </row>
        <row r="959">
          <cell r="A959" t="str">
            <v>Sub Part number</v>
          </cell>
          <cell r="B959" t="str">
            <v>GVPM50KD</v>
          </cell>
          <cell r="C959">
            <v>0</v>
          </cell>
          <cell r="E959" t="str">
            <v xml:space="preserve">GVPM50KD = </v>
          </cell>
          <cell r="G959" t="str">
            <v>musa</v>
          </cell>
          <cell r="AA959" t="str">
            <v>SCHNEIDER STOCK</v>
          </cell>
        </row>
        <row r="960">
          <cell r="A960" t="str">
            <v>GVSUPS100KHS</v>
          </cell>
          <cell r="B960" t="str">
            <v>Galaxy VS UPS 100kW 400V for External Batteries Start-up 5x8</v>
          </cell>
          <cell r="C960">
            <v>1</v>
          </cell>
          <cell r="E960" t="str">
            <v>PCS</v>
          </cell>
          <cell r="G960" t="str">
            <v>musa</v>
          </cell>
          <cell r="AA960" t="str">
            <v>SCHNEIDER STOCK</v>
          </cell>
        </row>
        <row r="961">
          <cell r="A961" t="str">
            <v>SYBTU2-PLP</v>
          </cell>
          <cell r="B961" t="str">
            <v>APC Symmetra PX9Ah Battery Unit High Performance</v>
          </cell>
          <cell r="C961">
            <v>0</v>
          </cell>
          <cell r="E961" t="str">
            <v>PCS</v>
          </cell>
          <cell r="G961" t="str">
            <v>musa</v>
          </cell>
          <cell r="AA961" t="str">
            <v>SCHNEIDER STOCK</v>
          </cell>
        </row>
        <row r="962">
          <cell r="A962" t="str">
            <v>SRT72BP</v>
          </cell>
          <cell r="B962" t="str">
            <v>APC Smart-UPS SRT 72V 2.2kVA Battery Pack</v>
          </cell>
          <cell r="C962">
            <v>10</v>
          </cell>
          <cell r="E962" t="str">
            <v>PCS</v>
          </cell>
          <cell r="F962" t="str">
            <v>209A,244C,259C,242A,251A</v>
          </cell>
          <cell r="G962" t="str">
            <v>musa</v>
          </cell>
          <cell r="AA962" t="str">
            <v>SCHNEIDER STOCK</v>
          </cell>
        </row>
        <row r="963">
          <cell r="A963" t="str">
            <v>SRV120RLBP2-9A</v>
          </cell>
          <cell r="B963" t="str">
            <v>APC Easy UPS SRV 120V RM Battery Pack for 15&amp;20kVA Rack Extended Runtime model (232C)</v>
          </cell>
          <cell r="C963">
            <v>0</v>
          </cell>
          <cell r="E963" t="str">
            <v>PCS</v>
          </cell>
          <cell r="F963" t="str">
            <v>279B,279B,261B</v>
          </cell>
          <cell r="G963" t="str">
            <v>musa</v>
          </cell>
          <cell r="AA963" t="str">
            <v>SCHNEIDER STOCK</v>
          </cell>
        </row>
        <row r="964">
          <cell r="A964" t="str">
            <v>AP9613</v>
          </cell>
          <cell r="B964" t="str">
            <v>Dry contact I/O smartslot card</v>
          </cell>
          <cell r="C964">
            <v>3</v>
          </cell>
          <cell r="E964" t="str">
            <v>PCS</v>
          </cell>
          <cell r="F964" t="str">
            <v>246B</v>
          </cell>
          <cell r="G964" t="str">
            <v>musa</v>
          </cell>
          <cell r="AA964" t="str">
            <v>SCHNEIDER STOCK</v>
          </cell>
        </row>
        <row r="965">
          <cell r="A965" t="str">
            <v>VLVAF3P03612AK</v>
          </cell>
          <cell r="B965" t="str">
            <v>VarSet Capacitor bank Auto 200kvar DR3-8 200; DR3,8 400V-60 CB Top</v>
          </cell>
          <cell r="C965">
            <v>0</v>
          </cell>
          <cell r="E965" t="str">
            <v>PCS</v>
          </cell>
          <cell r="G965" t="str">
            <v>musa</v>
          </cell>
          <cell r="AA965" t="str">
            <v>SCHNEIDER STOCK</v>
          </cell>
        </row>
        <row r="966">
          <cell r="A966" t="str">
            <v>BATTXP12V3000GNB</v>
          </cell>
          <cell r="B966" t="str">
            <v>XP12V3000 Exide 12V VRLA Battery(EASYBATOGNB#103256540=138 and EASYBATOGNB#103256542 = 138)</v>
          </cell>
          <cell r="C966">
            <v>36</v>
          </cell>
          <cell r="E966" t="str">
            <v>PCS</v>
          </cell>
          <cell r="F966" t="str">
            <v>283A</v>
          </cell>
          <cell r="G966" t="str">
            <v>musa</v>
          </cell>
          <cell r="AA966" t="str">
            <v>SCHNEIDER STOCK</v>
          </cell>
        </row>
        <row r="967">
          <cell r="A967" t="str">
            <v>GVLQ-QRRA06031-00</v>
          </cell>
          <cell r="B967" t="str">
            <v>PRODUCT GALAXY VL 350KVA MADE IN FRANCE</v>
          </cell>
          <cell r="C967">
            <v>0</v>
          </cell>
          <cell r="E967" t="str">
            <v>PCS</v>
          </cell>
          <cell r="G967" t="str">
            <v>musa</v>
          </cell>
          <cell r="AA967" t="str">
            <v>SCHNEIDER STOCK</v>
          </cell>
        </row>
        <row r="968">
          <cell r="A968" t="str">
            <v>GVLQ-QRRA93329-00</v>
          </cell>
          <cell r="B968" t="str">
            <v>PRODUCT GALAXY VL 300KVA MADE IN FRANCE</v>
          </cell>
          <cell r="C968">
            <v>0</v>
          </cell>
          <cell r="E968" t="str">
            <v>PCS</v>
          </cell>
          <cell r="G968" t="str">
            <v>musa</v>
          </cell>
          <cell r="AA968" t="str">
            <v>SCHNEIDER STOCK</v>
          </cell>
        </row>
        <row r="969">
          <cell r="A969" t="str">
            <v>GVLQ-QRRA48656-00</v>
          </cell>
          <cell r="B969" t="str">
            <v>PRODUCT GALAXY VL 400KVA MADE IN FRANCE</v>
          </cell>
          <cell r="C969">
            <v>0</v>
          </cell>
          <cell r="E969" t="str">
            <v>PCS</v>
          </cell>
          <cell r="G969" t="str">
            <v>musa</v>
          </cell>
          <cell r="AA969" t="str">
            <v>SCHNEIDER STOCK</v>
          </cell>
        </row>
        <row r="970">
          <cell r="A970" t="str">
            <v>GVLQ-QRRA51870-00</v>
          </cell>
          <cell r="B970" t="str">
            <v>PRODUCT GALAXY VL 500KVA MADE IN FRANCE</v>
          </cell>
          <cell r="C970">
            <v>0</v>
          </cell>
          <cell r="E970" t="str">
            <v>PCS</v>
          </cell>
          <cell r="G970" t="str">
            <v>musa</v>
          </cell>
          <cell r="AA970" t="str">
            <v>SCHNEIDER STOCK</v>
          </cell>
        </row>
        <row r="971">
          <cell r="A971" t="str">
            <v>GVLQ-QRRA38976-00</v>
          </cell>
          <cell r="B971" t="str">
            <v>1RODUCT GALAXY VL 300KVA MADE IN FRANCE</v>
          </cell>
          <cell r="C971">
            <v>0</v>
          </cell>
          <cell r="E971" t="str">
            <v>PCS</v>
          </cell>
          <cell r="G971" t="str">
            <v>musa</v>
          </cell>
          <cell r="AA971" t="str">
            <v>SCHNEIDER STOCK</v>
          </cell>
        </row>
        <row r="972">
          <cell r="A972" t="str">
            <v>E3LSBPQ-QSFE87536-27</v>
          </cell>
          <cell r="B972" t="str">
            <v>PRODUCT GALAXY VL 500KVA QSKU MAKE MBP F</v>
          </cell>
          <cell r="C972">
            <v>0</v>
          </cell>
          <cell r="E972" t="str">
            <v>PCS</v>
          </cell>
          <cell r="G972" t="str">
            <v>musa</v>
          </cell>
          <cell r="AA972" t="str">
            <v>SCHNEIDER STOCK</v>
          </cell>
        </row>
        <row r="973">
          <cell r="A973" t="str">
            <v>GVLQ-QRRA52934-00</v>
          </cell>
          <cell r="B973" t="str">
            <v>PRODUCT GALAXY VL 300KVA MADE IN FRANCE</v>
          </cell>
          <cell r="C973">
            <v>0</v>
          </cell>
          <cell r="E973" t="str">
            <v>PCS</v>
          </cell>
          <cell r="G973" t="str">
            <v>musa</v>
          </cell>
          <cell r="AA973" t="str">
            <v>SCHNEIDER STOCK</v>
          </cell>
        </row>
        <row r="974">
          <cell r="A974" t="str">
            <v>AP8856X868</v>
          </cell>
          <cell r="B974" t="str">
            <v>Rack PDU 2G Metered ZeroU 63A 230V (24) C13 (12) C19 3m input cord</v>
          </cell>
          <cell r="C974">
            <v>0</v>
          </cell>
          <cell r="E974" t="str">
            <v>PCS</v>
          </cell>
          <cell r="G974" t="str">
            <v>musa</v>
          </cell>
          <cell r="AA974" t="str">
            <v>SCHNEIDER STOCK</v>
          </cell>
        </row>
        <row r="975">
          <cell r="A975" t="str">
            <v>SUA500PDRI-S</v>
          </cell>
          <cell r="B975" t="str">
            <v>APC DIN Rail -Panel Mount consist of 1x SUA500PDRI  1x APCRBC135</v>
          </cell>
          <cell r="C975">
            <v>1</v>
          </cell>
          <cell r="E975" t="str">
            <v>PCS</v>
          </cell>
          <cell r="G975" t="str">
            <v>musa</v>
          </cell>
          <cell r="AA975" t="str">
            <v>SCHNEIDER STOCK</v>
          </cell>
        </row>
        <row r="976">
          <cell r="A976" t="str">
            <v>GVLQ-QRRA84208-00</v>
          </cell>
          <cell r="B976" t="str">
            <v>PRODUCT GALAXY VL 250KVA MADE IN FRANCE ADAPTATION WITH 30 MINUTES AUTONOMY AT 160KW LOAD,N/A</v>
          </cell>
          <cell r="C976">
            <v>0</v>
          </cell>
          <cell r="E976" t="str">
            <v>PCS</v>
          </cell>
          <cell r="G976" t="str">
            <v>musa</v>
          </cell>
          <cell r="AA976" t="str">
            <v>SCHNEIDER STOCK</v>
          </cell>
        </row>
        <row r="977">
          <cell r="A977" t="str">
            <v>E3MBP60K400H</v>
          </cell>
          <cell r="B977" t="str">
            <v>Maintenance Bypass Panel for Easy UPS 3M 60-200kVA/Easy UPS 3L 250-400kVA 400V</v>
          </cell>
          <cell r="C977">
            <v>2</v>
          </cell>
          <cell r="E977" t="str">
            <v>PCS</v>
          </cell>
          <cell r="F977" t="str">
            <v>408A</v>
          </cell>
          <cell r="G977" t="str">
            <v>musa</v>
          </cell>
          <cell r="AA977" t="str">
            <v>SCHNEIDER STOCK</v>
          </cell>
        </row>
        <row r="978">
          <cell r="A978" t="str">
            <v>EMDC42UP1</v>
          </cell>
          <cell r="B978" t="str">
            <v>Easy Micro Data Center</v>
          </cell>
          <cell r="C978">
            <v>0</v>
          </cell>
          <cell r="E978" t="str">
            <v>PCS</v>
          </cell>
          <cell r="G978" t="str">
            <v>musa</v>
          </cell>
          <cell r="AA978" t="str">
            <v>SCHNEIDER STOCK</v>
          </cell>
        </row>
        <row r="979">
          <cell r="A979" t="str">
            <v>ACRMD4KI-1</v>
          </cell>
          <cell r="B979" t="str">
            <v>3.5kW split system Indoor unit Gravity Drain</v>
          </cell>
          <cell r="C979">
            <v>0</v>
          </cell>
          <cell r="E979" t="str">
            <v>PCS</v>
          </cell>
          <cell r="G979" t="str">
            <v>musa</v>
          </cell>
          <cell r="AA979" t="str">
            <v>SCHNEIDER STOCK</v>
          </cell>
        </row>
        <row r="980">
          <cell r="A980" t="str">
            <v>EPDU1116M</v>
          </cell>
          <cell r="B980" t="str">
            <v>Easy PDUMeteredZeroU16A230V(18)C13 &amp; (3)C19 IEC309</v>
          </cell>
          <cell r="C980">
            <v>0</v>
          </cell>
          <cell r="E980" t="str">
            <v>PCS</v>
          </cell>
          <cell r="G980" t="str">
            <v>musa</v>
          </cell>
          <cell r="AA980" t="str">
            <v>SCHNEIDER STOCK</v>
          </cell>
        </row>
        <row r="981">
          <cell r="A981" t="str">
            <v>SRV6KRIRK</v>
          </cell>
          <cell r="B981" t="str">
            <v>APC Easy UPS SRV RM 6000VA 230V with RailKit External Battery Pack Consisting of 1x SRVPM6KRI   1x SRVRK1  1x SRV192RBP-7A  1x SRVRK2</v>
          </cell>
          <cell r="C981">
            <v>0</v>
          </cell>
          <cell r="E981" t="str">
            <v>PCS</v>
          </cell>
          <cell r="G981" t="str">
            <v>musa</v>
          </cell>
          <cell r="AA981" t="str">
            <v>SCHNEIDER STOCK</v>
          </cell>
        </row>
        <row r="982">
          <cell r="A982" t="str">
            <v>ACRMD4KI-2</v>
          </cell>
          <cell r="B982" t="str">
            <v>3.5kW SPLIT SYSTEM OUTDOOW UNIT PRE-CHARGED REFRIGERANT</v>
          </cell>
          <cell r="C982">
            <v>0</v>
          </cell>
          <cell r="E982" t="str">
            <v>PCS</v>
          </cell>
          <cell r="G982" t="str">
            <v>musa</v>
          </cell>
          <cell r="AA982" t="str">
            <v>SCHNEIDER STOCK</v>
          </cell>
        </row>
        <row r="983">
          <cell r="A983" t="str">
            <v>SURT192RMXLBP2</v>
          </cell>
          <cell r="B983" t="str">
            <v>APC Smart-UPS RT192V RM Battery Pack 2 Rows</v>
          </cell>
          <cell r="C983">
            <v>0</v>
          </cell>
          <cell r="E983" t="str">
            <v>PCS</v>
          </cell>
          <cell r="G983" t="str">
            <v>musa</v>
          </cell>
          <cell r="AA983" t="str">
            <v>SCHNEIDER STOCK</v>
          </cell>
        </row>
        <row r="984">
          <cell r="A984" t="str">
            <v>A9N15636</v>
          </cell>
          <cell r="B984" t="str">
            <v>CIRCUIT BREAKER C60H-DC 500VDC 2A 2PC</v>
          </cell>
          <cell r="C984">
            <v>0</v>
          </cell>
          <cell r="E984" t="str">
            <v>PCS</v>
          </cell>
          <cell r="G984" t="str">
            <v>musa</v>
          </cell>
          <cell r="AA984" t="str">
            <v>SCHNEIDER STOCK</v>
          </cell>
        </row>
        <row r="985">
          <cell r="A985" t="str">
            <v>LC1D09M7</v>
          </cell>
          <cell r="B985" t="str">
            <v>EASY9 MCB 1P 6A C 6000A 230V MINIATUREC</v>
          </cell>
          <cell r="C985">
            <v>185</v>
          </cell>
          <cell r="E985" t="str">
            <v>PCS</v>
          </cell>
          <cell r="F985" t="str">
            <v>218A,220B</v>
          </cell>
          <cell r="G985" t="str">
            <v>musa</v>
          </cell>
          <cell r="AA985" t="str">
            <v>SCHNEIDER STOCK</v>
          </cell>
        </row>
        <row r="986">
          <cell r="A986" t="str">
            <v>LC1D80M7</v>
          </cell>
          <cell r="B986" t="str">
            <v>EASY9 MCB 2P 25A C 6000A 230V MINIATURE</v>
          </cell>
          <cell r="C986">
            <v>33</v>
          </cell>
          <cell r="E986" t="str">
            <v>PCS</v>
          </cell>
          <cell r="F986" t="str">
            <v>222B</v>
          </cell>
          <cell r="G986" t="str">
            <v>musa</v>
          </cell>
          <cell r="AA986" t="str">
            <v>SCHNEIDER STOCK</v>
          </cell>
        </row>
        <row r="987">
          <cell r="A987" t="str">
            <v>EZ9F56340</v>
          </cell>
          <cell r="B987" t="str">
            <v>ACTI9 IID 4P 63A 30MA AC-TYPE RESIDUAL C</v>
          </cell>
          <cell r="C987">
            <v>8</v>
          </cell>
          <cell r="E987" t="str">
            <v>PCS</v>
          </cell>
          <cell r="G987" t="str">
            <v>musa</v>
          </cell>
          <cell r="AA987" t="str">
            <v>SCHNEIDER STOCK</v>
          </cell>
        </row>
        <row r="988">
          <cell r="A988" t="str">
            <v>LC1D32F7</v>
          </cell>
          <cell r="B988" t="str">
            <v>Easy9 MCB 1P 50A C 6000A 230V</v>
          </cell>
          <cell r="C988">
            <v>103</v>
          </cell>
          <cell r="E988" t="str">
            <v>PCS</v>
          </cell>
          <cell r="F988" t="str">
            <v>222B,222B,222A</v>
          </cell>
          <cell r="G988" t="str">
            <v>musa</v>
          </cell>
          <cell r="AA988" t="str">
            <v>SCHNEIDER STOCK</v>
          </cell>
        </row>
        <row r="989">
          <cell r="A989" t="str">
            <v>A9F44363</v>
          </cell>
          <cell r="B989" t="str">
            <v>NSX250N 50kA AC 3P3D 250A TMD 50 °C</v>
          </cell>
          <cell r="C989">
            <v>448</v>
          </cell>
          <cell r="E989" t="str">
            <v>PCS</v>
          </cell>
          <cell r="F989" t="str">
            <v>213A,224A</v>
          </cell>
          <cell r="G989" t="str">
            <v>musa</v>
          </cell>
          <cell r="AA989" t="str">
            <v>SCHNEIDER STOCK</v>
          </cell>
        </row>
        <row r="990">
          <cell r="A990" t="str">
            <v>RES324EZ60</v>
          </cell>
          <cell r="B990" t="str">
            <v>ACTI9 IC60N 2P 63A C MCB</v>
          </cell>
          <cell r="C990">
            <v>0</v>
          </cell>
          <cell r="E990" t="str">
            <v>PCS</v>
          </cell>
          <cell r="G990" t="str">
            <v>musa</v>
          </cell>
          <cell r="AA990" t="str">
            <v>SCHNEIDER STOCK</v>
          </cell>
        </row>
        <row r="991">
          <cell r="A991" t="str">
            <v>GV3P40</v>
          </cell>
          <cell r="B991" t="str">
            <v>ACTI9 IC60N 1P 32A C MCB</v>
          </cell>
          <cell r="C991">
            <v>40</v>
          </cell>
          <cell r="E991" t="str">
            <v>PCS</v>
          </cell>
          <cell r="F991" t="str">
            <v>223B</v>
          </cell>
          <cell r="G991" t="str">
            <v>musa</v>
          </cell>
          <cell r="AA991" t="str">
            <v>SCHNEIDER STOCK</v>
          </cell>
        </row>
        <row r="992">
          <cell r="A992" t="str">
            <v>LRD32</v>
          </cell>
          <cell r="B992" t="str">
            <v>EASY9 MCB 3P 40A C 6000A 400V MINIATURE</v>
          </cell>
          <cell r="C992">
            <v>98</v>
          </cell>
          <cell r="E992" t="str">
            <v>PCS</v>
          </cell>
          <cell r="F992" t="str">
            <v>223B</v>
          </cell>
          <cell r="G992" t="str">
            <v>musa</v>
          </cell>
          <cell r="AA992" t="str">
            <v>SCHNEIDER STOCK</v>
          </cell>
        </row>
        <row r="993">
          <cell r="A993" t="str">
            <v>GV2ME22</v>
          </cell>
          <cell r="B993" t="str">
            <v>2CTI9 IC60N 1P 20A C MCB</v>
          </cell>
          <cell r="C993">
            <v>100</v>
          </cell>
          <cell r="E993" t="str">
            <v>PCS</v>
          </cell>
          <cell r="F993" t="str">
            <v>223B</v>
          </cell>
          <cell r="G993" t="str">
            <v>musa</v>
          </cell>
          <cell r="AA993" t="str">
            <v>SCHNEIDER STOCK</v>
          </cell>
        </row>
        <row r="994">
          <cell r="A994" t="str">
            <v>GV3P80</v>
          </cell>
          <cell r="B994" t="str">
            <v>ACTI9 IC60N 1P 50A C MCB</v>
          </cell>
          <cell r="C994">
            <v>10</v>
          </cell>
          <cell r="E994" t="str">
            <v>PCS</v>
          </cell>
          <cell r="F994" t="str">
            <v>220A</v>
          </cell>
          <cell r="G994" t="str">
            <v>musa</v>
          </cell>
          <cell r="AA994" t="str">
            <v>SCHNEIDER STOCK</v>
          </cell>
        </row>
        <row r="995">
          <cell r="A995" t="str">
            <v>A9F44263</v>
          </cell>
          <cell r="B995" t="str">
            <v>NSX250F 36kA AC 3P3D 200A TMD 50 °C</v>
          </cell>
          <cell r="C995">
            <v>60</v>
          </cell>
          <cell r="E995" t="str">
            <v>PCS</v>
          </cell>
          <cell r="F995" t="str">
            <v>223A,223B</v>
          </cell>
          <cell r="G995" t="str">
            <v>musa</v>
          </cell>
          <cell r="AA995" t="str">
            <v>SCHNEIDER STOCK</v>
          </cell>
        </row>
        <row r="996">
          <cell r="A996" t="str">
            <v>LC1D115F7</v>
          </cell>
          <cell r="B996" t="str">
            <v>EASY9 MCB 2P 40A C 6000A 230V MINIATURE</v>
          </cell>
          <cell r="C996">
            <v>10</v>
          </cell>
          <cell r="E996" t="str">
            <v>PCS</v>
          </cell>
          <cell r="F996" t="str">
            <v>223B</v>
          </cell>
          <cell r="G996" t="str">
            <v>musa</v>
          </cell>
          <cell r="AA996" t="str">
            <v>SCHNEIDER STOCK</v>
          </cell>
        </row>
        <row r="997">
          <cell r="A997" t="str">
            <v>LC1D65AM7</v>
          </cell>
          <cell r="B997" t="str">
            <v>EASY9 MCB 2P 16A C 6000A 230V MINIATURE</v>
          </cell>
          <cell r="C997">
            <v>0</v>
          </cell>
          <cell r="E997" t="str">
            <v>PCS</v>
          </cell>
          <cell r="G997" t="str">
            <v>musa</v>
          </cell>
          <cell r="AA997" t="str">
            <v>SCHNEIDER STOCK</v>
          </cell>
        </row>
        <row r="998">
          <cell r="A998" t="str">
            <v>GV2ME20</v>
          </cell>
          <cell r="B998" t="str">
            <v>ACTI9 IC60N 1P 16A C MCB</v>
          </cell>
          <cell r="C998">
            <v>71</v>
          </cell>
          <cell r="E998" t="str">
            <v>PCS</v>
          </cell>
          <cell r="F998" t="str">
            <v>225B</v>
          </cell>
          <cell r="G998" t="str">
            <v>musa</v>
          </cell>
          <cell r="AA998" t="str">
            <v>SCHNEIDER STOCK</v>
          </cell>
        </row>
        <row r="999">
          <cell r="A999" t="str">
            <v>LV516623</v>
          </cell>
          <cell r="B999" t="str">
            <v>ACTI9 IC60N 3P 10A C MCB</v>
          </cell>
          <cell r="C999">
            <v>0</v>
          </cell>
          <cell r="E999" t="str">
            <v>PCS</v>
          </cell>
          <cell r="F999" t="str">
            <v>221B,225B</v>
          </cell>
          <cell r="G999" t="str">
            <v>musa</v>
          </cell>
          <cell r="AA999" t="str">
            <v>SCHNEIDER STOCK</v>
          </cell>
        </row>
        <row r="1000">
          <cell r="A1000" t="str">
            <v>C10F3TM100C</v>
          </cell>
          <cell r="B1000" t="str">
            <v>Auxiliary contact,Acti9 A9A, iOF, 1 C/O</v>
          </cell>
          <cell r="C1000">
            <v>140</v>
          </cell>
          <cell r="E1000" t="str">
            <v>PCS</v>
          </cell>
          <cell r="F1000" t="str">
            <v>225A,224B</v>
          </cell>
          <cell r="G1000" t="str">
            <v>musa</v>
          </cell>
          <cell r="AA1000" t="str">
            <v>SCHNEIDER STOCK</v>
          </cell>
        </row>
        <row r="1001">
          <cell r="A1001" t="str">
            <v>GV2ME32</v>
          </cell>
          <cell r="B1001" t="str">
            <v>ACTI9 IC60N 1P 25A C MCB</v>
          </cell>
          <cell r="C1001">
            <v>50</v>
          </cell>
          <cell r="E1001" t="str">
            <v>PCS</v>
          </cell>
          <cell r="F1001" t="str">
            <v>225B</v>
          </cell>
          <cell r="G1001" t="str">
            <v>musa</v>
          </cell>
          <cell r="AA1001" t="str">
            <v>SCHNEIDER STOCK</v>
          </cell>
        </row>
        <row r="1002">
          <cell r="A1002" t="str">
            <v>LC1D25M7</v>
          </cell>
          <cell r="B1002" t="str">
            <v>EASY9 MCB 1P 40A C 6000A 230V MINIATURE</v>
          </cell>
          <cell r="C1002">
            <v>50</v>
          </cell>
          <cell r="E1002" t="str">
            <v>PCS</v>
          </cell>
          <cell r="F1002" t="str">
            <v>220B,220B</v>
          </cell>
          <cell r="G1002" t="str">
            <v>musa</v>
          </cell>
          <cell r="AA1002" t="str">
            <v>SCHNEIDER STOCK</v>
          </cell>
        </row>
        <row r="1003">
          <cell r="A1003" t="str">
            <v>A9D11820</v>
          </cell>
          <cell r="B1003" t="str">
            <v>NSX400F 36kA AC 3P3D 400A 2.3</v>
          </cell>
          <cell r="C1003">
            <v>0</v>
          </cell>
          <cell r="E1003" t="str">
            <v>PCS</v>
          </cell>
          <cell r="G1003" t="str">
            <v>musa</v>
          </cell>
          <cell r="AA1003" t="str">
            <v>SCHNEIDER STOCK</v>
          </cell>
        </row>
        <row r="1004">
          <cell r="A1004" t="str">
            <v>LC1D80F7</v>
          </cell>
          <cell r="B1004" t="str">
            <v>EASY9 MCB 2P 32A C 6000A 230V MINIATURE</v>
          </cell>
          <cell r="C1004">
            <v>26</v>
          </cell>
          <cell r="E1004" t="str">
            <v>PCS</v>
          </cell>
          <cell r="F1004" t="str">
            <v>220B</v>
          </cell>
          <cell r="G1004" t="str">
            <v>musa</v>
          </cell>
          <cell r="AA1004" t="str">
            <v>SCHNEIDER STOCK</v>
          </cell>
        </row>
        <row r="1005">
          <cell r="A1005" t="str">
            <v>GV2ME14</v>
          </cell>
          <cell r="B1005" t="str">
            <v>CTI9 IC60N 1P 10A C MCB</v>
          </cell>
          <cell r="C1005">
            <v>68</v>
          </cell>
          <cell r="E1005" t="str">
            <v>PCS</v>
          </cell>
          <cell r="F1005" t="str">
            <v>220B</v>
          </cell>
          <cell r="G1005" t="str">
            <v>musa</v>
          </cell>
          <cell r="AA1005" t="str">
            <v>SCHNEIDER STOCK</v>
          </cell>
        </row>
        <row r="1006">
          <cell r="A1006" t="str">
            <v>GV2ME10</v>
          </cell>
          <cell r="B1006" t="str">
            <v>ACTI9 IC60N 1P 6A C MCB</v>
          </cell>
          <cell r="C1006">
            <v>84</v>
          </cell>
          <cell r="E1006" t="str">
            <v>PCS</v>
          </cell>
          <cell r="F1006" t="str">
            <v>220B</v>
          </cell>
          <cell r="G1006" t="str">
            <v>musa</v>
          </cell>
          <cell r="AA1006" t="str">
            <v>SCHNEIDER STOCK</v>
          </cell>
        </row>
        <row r="1007">
          <cell r="A1007" t="str">
            <v>GV3P50</v>
          </cell>
          <cell r="B1007" t="str">
            <v>ACTI9 IC60N 1P 40A C MCB</v>
          </cell>
          <cell r="C1007">
            <v>15</v>
          </cell>
          <cell r="E1007" t="str">
            <v>PCS</v>
          </cell>
          <cell r="F1007" t="str">
            <v>225B</v>
          </cell>
          <cell r="G1007" t="str">
            <v>musa</v>
          </cell>
          <cell r="AA1007" t="str">
            <v>SCHNEIDER STOCK</v>
          </cell>
        </row>
        <row r="1008">
          <cell r="A1008" t="str">
            <v>LC1D50AM7</v>
          </cell>
          <cell r="B1008" t="str">
            <v>EASY9 MCB 2P 6A C 6000A 230V MINIATUREC</v>
          </cell>
          <cell r="C1008">
            <v>9</v>
          </cell>
          <cell r="E1008" t="str">
            <v>PCS</v>
          </cell>
          <cell r="F1008" t="str">
            <v>220A</v>
          </cell>
          <cell r="G1008" t="str">
            <v>musa</v>
          </cell>
          <cell r="AA1008" t="str">
            <v>SCHNEIDER STOCK</v>
          </cell>
        </row>
        <row r="1009">
          <cell r="A1009" t="str">
            <v>GV2ME08</v>
          </cell>
          <cell r="B1009" t="str">
            <v>ACTI9 IC60N 1P 4A C MCB</v>
          </cell>
          <cell r="C1009">
            <v>0</v>
          </cell>
          <cell r="E1009" t="str">
            <v>PCS</v>
          </cell>
          <cell r="G1009" t="str">
            <v>musa</v>
          </cell>
          <cell r="AA1009" t="str">
            <v>SCHNEIDER STOCK</v>
          </cell>
        </row>
        <row r="1010">
          <cell r="A1010" t="str">
            <v>LV510779</v>
          </cell>
          <cell r="B1010" t="str">
            <v>ACTI9 IC60N 3P 6A C MCB</v>
          </cell>
          <cell r="C1010">
            <v>0</v>
          </cell>
          <cell r="E1010" t="str">
            <v>PCS</v>
          </cell>
          <cell r="F1010" t="str">
            <v>224B</v>
          </cell>
          <cell r="G1010" t="str">
            <v>musa</v>
          </cell>
          <cell r="AA1010" t="str">
            <v>SCHNEIDER STOCK</v>
          </cell>
        </row>
        <row r="1011">
          <cell r="A1011" t="str">
            <v>A9R71463</v>
          </cell>
          <cell r="B1011" t="str">
            <v>NSX630F 36kA AC 4P4D 630A 2.3</v>
          </cell>
          <cell r="C1011">
            <v>4</v>
          </cell>
          <cell r="E1011" t="str">
            <v>PCS</v>
          </cell>
          <cell r="F1011" t="str">
            <v>223B,225B</v>
          </cell>
          <cell r="G1011" t="str">
            <v>musa</v>
          </cell>
          <cell r="AA1011" t="str">
            <v>SCHNEIDER STOCK</v>
          </cell>
        </row>
        <row r="1012">
          <cell r="A1012" t="str">
            <v>LADN22</v>
          </cell>
          <cell r="B1012" t="str">
            <v>ACTI9 IC60N 2P 4A C MCB</v>
          </cell>
          <cell r="C1012">
            <v>40</v>
          </cell>
          <cell r="E1012" t="str">
            <v>PCS</v>
          </cell>
          <cell r="F1012" t="str">
            <v>225B</v>
          </cell>
          <cell r="G1012" t="str">
            <v>musa</v>
          </cell>
          <cell r="AA1012" t="str">
            <v>SCHNEIDER STOCK</v>
          </cell>
        </row>
        <row r="1013">
          <cell r="A1013" t="str">
            <v>LRD365</v>
          </cell>
          <cell r="B1013" t="str">
            <v>Easy9 MCB 3P 63A C 6000A 400V</v>
          </cell>
          <cell r="C1013">
            <v>3</v>
          </cell>
          <cell r="E1013" t="str">
            <v>PCS</v>
          </cell>
          <cell r="F1013" t="str">
            <v>225B</v>
          </cell>
          <cell r="G1013" t="str">
            <v>musa</v>
          </cell>
          <cell r="AA1013" t="str">
            <v>SCHNEIDER STOCK</v>
          </cell>
        </row>
        <row r="1014">
          <cell r="A1014" t="str">
            <v>A9F44340</v>
          </cell>
          <cell r="B1014" t="str">
            <v>NSX160N 50kA AC 3P3D 160A TMD 50 °C</v>
          </cell>
          <cell r="C1014">
            <v>0</v>
          </cell>
          <cell r="E1014" t="str">
            <v>PCS</v>
          </cell>
          <cell r="F1014" t="str">
            <v>222B</v>
          </cell>
          <cell r="G1014" t="str">
            <v>musa</v>
          </cell>
          <cell r="AA1014" t="str">
            <v>SCHNEIDER STOCK</v>
          </cell>
        </row>
        <row r="1015">
          <cell r="A1015" t="str">
            <v>METSEPM2110</v>
          </cell>
          <cell r="B1015" t="str">
            <v>METSEPM2110</v>
          </cell>
          <cell r="C1015">
            <v>0</v>
          </cell>
          <cell r="E1015" t="str">
            <v>PCS</v>
          </cell>
          <cell r="G1015" t="str">
            <v>musa</v>
          </cell>
          <cell r="AA1015" t="str">
            <v>SCHNEIDER STOCK</v>
          </cell>
        </row>
        <row r="1016">
          <cell r="A1016" t="str">
            <v>METSEPM5110</v>
          </cell>
          <cell r="B1016" t="str">
            <v>POWERENERGYMETER CL 0.5</v>
          </cell>
          <cell r="C1016">
            <v>0</v>
          </cell>
          <cell r="E1016" t="str">
            <v>PCS</v>
          </cell>
          <cell r="G1016" t="str">
            <v>musa</v>
          </cell>
          <cell r="AA1016" t="str">
            <v>SCHNEIDER STOCK</v>
          </cell>
        </row>
        <row r="1017">
          <cell r="A1017" t="str">
            <v>C63F32D630</v>
          </cell>
          <cell r="B1017" t="str">
            <v>CIRCUIT BREAKER
C60H-DC 500VDC 20A 2PC</v>
          </cell>
          <cell r="C1017">
            <v>135</v>
          </cell>
          <cell r="E1017" t="str">
            <v>PCS</v>
          </cell>
          <cell r="G1017" t="str">
            <v>musa</v>
          </cell>
          <cell r="AA1017" t="str">
            <v>SCHNEIDER STOCK</v>
          </cell>
        </row>
        <row r="1018">
          <cell r="A1018" t="str">
            <v>A9D11816</v>
          </cell>
          <cell r="B1018" t="str">
            <v>NSX250F 36kA AC 4P3D 200A TMD 50 °C</v>
          </cell>
          <cell r="C1018">
            <v>73</v>
          </cell>
          <cell r="E1018" t="str">
            <v>PCS</v>
          </cell>
          <cell r="F1018" t="str">
            <v>225A</v>
          </cell>
          <cell r="G1018" t="str">
            <v>musa</v>
          </cell>
          <cell r="AA1018" t="str">
            <v>SCHNEIDER STOCK</v>
          </cell>
        </row>
        <row r="1019">
          <cell r="A1019" t="str">
            <v>A9N18367</v>
          </cell>
          <cell r="B1019" t="str">
            <v>NSX630N 50kA AC 3P3D 630A 2.3</v>
          </cell>
          <cell r="C1019">
            <v>0</v>
          </cell>
          <cell r="E1019" t="str">
            <v>PCS</v>
          </cell>
          <cell r="G1019" t="str">
            <v>musa</v>
          </cell>
          <cell r="AA1019" t="str">
            <v>SCHNEIDER STOCK</v>
          </cell>
        </row>
        <row r="1020">
          <cell r="A1020" t="str">
            <v>METSEPM2120</v>
          </cell>
          <cell r="B1020" t="str">
            <v>EasyLogic VAF P &amp; E meter THD POP CL 1</v>
          </cell>
          <cell r="C1020">
            <v>0</v>
          </cell>
          <cell r="E1020" t="str">
            <v>PCS</v>
          </cell>
          <cell r="G1020" t="str">
            <v>musa</v>
          </cell>
          <cell r="AA1020" t="str">
            <v>SCHNEIDER STOCK</v>
          </cell>
        </row>
        <row r="1021">
          <cell r="A1021" t="str">
            <v>A9F44332</v>
          </cell>
          <cell r="B1021" t="str">
            <v>NSX160N 50kA AC 3P3D 125A TMD 50 °C</v>
          </cell>
          <cell r="C1021">
            <v>128</v>
          </cell>
          <cell r="E1021" t="str">
            <v>PCS</v>
          </cell>
          <cell r="F1021" t="str">
            <v>222A,225A</v>
          </cell>
          <cell r="G1021" t="str">
            <v>musa</v>
          </cell>
          <cell r="AA1021" t="str">
            <v>SCHNEIDER STOCK</v>
          </cell>
        </row>
        <row r="1022">
          <cell r="A1022" t="str">
            <v>A9R71440</v>
          </cell>
          <cell r="B1022" t="str">
            <v>NSX630F 36kA AC 3P3D 630A 2.3</v>
          </cell>
          <cell r="C1022">
            <v>0</v>
          </cell>
          <cell r="E1022" t="str">
            <v>PCS</v>
          </cell>
          <cell r="F1022" t="str">
            <v>225A</v>
          </cell>
          <cell r="G1022" t="str">
            <v>musa</v>
          </cell>
          <cell r="AA1022" t="str">
            <v>SCHNEIDER STOCK</v>
          </cell>
        </row>
        <row r="1023">
          <cell r="A1023" t="str">
            <v>A9D11810</v>
          </cell>
          <cell r="B1023" t="str">
            <v>NSX250F 36kA AC 3P3D 250A TMD 50 °C</v>
          </cell>
          <cell r="C1023">
            <v>0</v>
          </cell>
          <cell r="E1023" t="str">
            <v>PCS</v>
          </cell>
          <cell r="F1023" t="str">
            <v>220A,225A</v>
          </cell>
          <cell r="G1023" t="str">
            <v>musa</v>
          </cell>
          <cell r="AA1023" t="str">
            <v>SCHNEIDER STOCK</v>
          </cell>
        </row>
        <row r="1024">
          <cell r="A1024" t="str">
            <v>LV540405</v>
          </cell>
          <cell r="B1024" t="str">
            <v>CVS400F TM320D 3P3D; EasyPact CVS circui</v>
          </cell>
          <cell r="C1024">
            <v>0</v>
          </cell>
          <cell r="E1024" t="str">
            <v>PCS</v>
          </cell>
          <cell r="G1024" t="str">
            <v>musa</v>
          </cell>
          <cell r="AA1024" t="str">
            <v>SCHNEIDER STOCK</v>
          </cell>
        </row>
        <row r="1025">
          <cell r="A1025" t="str">
            <v>A9F44163</v>
          </cell>
          <cell r="B1025" t="str">
            <v>NSX100F 36kA AC 3P3D 32A TMD 50 °C</v>
          </cell>
          <cell r="C1025">
            <v>550</v>
          </cell>
          <cell r="E1025" t="str">
            <v>PCS</v>
          </cell>
          <cell r="F1025" t="str">
            <v>222B,223A,224A,225B</v>
          </cell>
          <cell r="G1025" t="str">
            <v>musa</v>
          </cell>
          <cell r="AA1025" t="str">
            <v>SCHNEIDER STOCK</v>
          </cell>
        </row>
        <row r="1026">
          <cell r="A1026" t="str">
            <v>EZ9F56110</v>
          </cell>
          <cell r="B1026" t="str">
            <v>ACTI9 IC60N 4P 40A C MCB</v>
          </cell>
          <cell r="C1026">
            <v>0</v>
          </cell>
          <cell r="E1026" t="str">
            <v>PCS</v>
          </cell>
          <cell r="G1026" t="str">
            <v>musa</v>
          </cell>
          <cell r="AA1026" t="str">
            <v>SCHNEIDER STOCK</v>
          </cell>
        </row>
        <row r="1027">
          <cell r="A1027" t="str">
            <v>EZ9F56132</v>
          </cell>
          <cell r="B1027" t="str">
            <v>Acti9 C120N MCB 3P C 80A 10000A 415V</v>
          </cell>
          <cell r="C1027">
            <v>0</v>
          </cell>
          <cell r="E1027" t="str">
            <v>PCS</v>
          </cell>
          <cell r="G1027" t="str">
            <v>musa</v>
          </cell>
          <cell r="AA1027" t="str">
            <v>SCHNEIDER STOCK</v>
          </cell>
        </row>
        <row r="1028">
          <cell r="A1028" t="str">
            <v>A9F44210</v>
          </cell>
          <cell r="B1028" t="str">
            <v>NSX100F 36kA AC 3P3D 50A TMD 50 °C</v>
          </cell>
          <cell r="C1028">
            <v>0</v>
          </cell>
          <cell r="E1028" t="str">
            <v>PCS</v>
          </cell>
          <cell r="G1028" t="str">
            <v>musa</v>
          </cell>
          <cell r="AA1028" t="str">
            <v>SCHNEIDER STOCK</v>
          </cell>
        </row>
        <row r="1029">
          <cell r="A1029" t="str">
            <v>EZ9F56216</v>
          </cell>
          <cell r="B1029" t="str">
            <v>IC60H RCBO 1PPNS 16A C 30MA A 230V</v>
          </cell>
          <cell r="C1029">
            <v>110</v>
          </cell>
          <cell r="E1029" t="str">
            <v>PCS</v>
          </cell>
          <cell r="G1029" t="str">
            <v>musa</v>
          </cell>
          <cell r="AA1029" t="str">
            <v>SCHNEIDER STOCK</v>
          </cell>
        </row>
        <row r="1030">
          <cell r="A1030" t="str">
            <v>EZ9F56363</v>
          </cell>
          <cell r="B1030" t="str">
            <v>ACTI9 IID 2P 25A 300MA AC-TYPE RESIDUAL</v>
          </cell>
          <cell r="C1030">
            <v>204</v>
          </cell>
          <cell r="E1030" t="str">
            <v>PCS</v>
          </cell>
          <cell r="F1030" t="str">
            <v>218A,224A</v>
          </cell>
          <cell r="G1030" t="str">
            <v>musa</v>
          </cell>
          <cell r="AA1030" t="str">
            <v>SCHNEIDER STOCK</v>
          </cell>
        </row>
        <row r="1031">
          <cell r="A1031" t="str">
            <v>EZ9F56125</v>
          </cell>
          <cell r="B1031" t="str">
            <v>Acti9 C120N MCB 3P C 125A 10000A 415V</v>
          </cell>
          <cell r="C1031">
            <v>0</v>
          </cell>
          <cell r="E1031" t="str">
            <v>PCS</v>
          </cell>
          <cell r="F1031" t="str">
            <v>222B</v>
          </cell>
          <cell r="G1031" t="str">
            <v>musa</v>
          </cell>
          <cell r="AA1031" t="str">
            <v>SCHNEIDER STOCK</v>
          </cell>
        </row>
        <row r="1032">
          <cell r="A1032" t="str">
            <v>A9F44232</v>
          </cell>
          <cell r="B1032" t="str">
            <v>NSX100F 36kA AC 3P3D 100A TMD 50 °C</v>
          </cell>
          <cell r="C1032">
            <v>120</v>
          </cell>
          <cell r="E1032" t="str">
            <v>PCS</v>
          </cell>
          <cell r="F1032" t="str">
            <v>224A</v>
          </cell>
          <cell r="G1032" t="str">
            <v>musa</v>
          </cell>
          <cell r="AA1032" t="str">
            <v>SCHNEIDER STOCK</v>
          </cell>
        </row>
        <row r="1033">
          <cell r="A1033" t="str">
            <v>A9F44225</v>
          </cell>
          <cell r="B1033" t="str">
            <v>NSX100F 36kA AC 3P3D 80A TMD 50 °C</v>
          </cell>
          <cell r="C1033">
            <v>248</v>
          </cell>
          <cell r="E1033" t="str">
            <v>PCS</v>
          </cell>
          <cell r="F1033" t="str">
            <v>222B,222A,224B</v>
          </cell>
          <cell r="G1033" t="str">
            <v>musa</v>
          </cell>
          <cell r="AA1033" t="str">
            <v>SCHNEIDER STOCK</v>
          </cell>
        </row>
        <row r="1034">
          <cell r="A1034" t="str">
            <v>EZ9F56316</v>
          </cell>
          <cell r="B1034" t="str">
            <v>ACTI9 IID 2P 25A 30MA AC-TYPE RESIDUAL C</v>
          </cell>
          <cell r="C1034">
            <v>133</v>
          </cell>
          <cell r="E1034" t="str">
            <v>PCS</v>
          </cell>
          <cell r="F1034" t="str">
            <v>221B</v>
          </cell>
          <cell r="G1034" t="str">
            <v>musa</v>
          </cell>
          <cell r="AA1034" t="str">
            <v>SCHNEIDER STOCK</v>
          </cell>
        </row>
        <row r="1035">
          <cell r="A1035" t="str">
            <v>EZ9F56225</v>
          </cell>
          <cell r="B1035" t="str">
            <v>IC60H RCBO 1PPNS 20A C 30MA A 230V</v>
          </cell>
          <cell r="C1035">
            <v>504</v>
          </cell>
          <cell r="E1035" t="str">
            <v>PCS</v>
          </cell>
          <cell r="F1035" t="str">
            <v>221A,222A,222A</v>
          </cell>
          <cell r="G1035" t="str">
            <v>musa</v>
          </cell>
          <cell r="AA1035" t="str">
            <v>SCHNEIDER STOCK</v>
          </cell>
        </row>
        <row r="1036">
          <cell r="A1036" t="str">
            <v>EZ9F56116</v>
          </cell>
          <cell r="B1036" t="str">
            <v>ACTI9 IC60N 4P 63A C MCB</v>
          </cell>
          <cell r="C1036">
            <v>936</v>
          </cell>
          <cell r="E1036" t="str">
            <v>PCS</v>
          </cell>
          <cell r="F1036" t="str">
            <v>221A</v>
          </cell>
          <cell r="G1036" t="str">
            <v>musa</v>
          </cell>
          <cell r="AA1036" t="str">
            <v>SCHNEIDER STOCK</v>
          </cell>
        </row>
        <row r="1037">
          <cell r="A1037" t="str">
            <v>A9F44220</v>
          </cell>
          <cell r="B1037" t="str">
            <v>NSX100F 36kA AC 3P3D 63A TMD 50 °C</v>
          </cell>
          <cell r="C1037">
            <v>0</v>
          </cell>
          <cell r="E1037" t="str">
            <v>PCS</v>
          </cell>
          <cell r="G1037" t="str">
            <v>musa</v>
          </cell>
          <cell r="AA1037" t="str">
            <v>SCHNEIDER STOCK</v>
          </cell>
        </row>
        <row r="1038">
          <cell r="A1038" t="str">
            <v>EZ9F56332</v>
          </cell>
          <cell r="B1038" t="str">
            <v>ACTI9 IID 4P 40A 30MA AC-TYPE RESIDUAL C</v>
          </cell>
          <cell r="C1038">
            <v>144</v>
          </cell>
          <cell r="E1038" t="str">
            <v>PCS</v>
          </cell>
          <cell r="F1038" t="str">
            <v>221A,224A,225A</v>
          </cell>
          <cell r="G1038" t="str">
            <v>musa</v>
          </cell>
          <cell r="AA1038" t="str">
            <v>SCHNEIDER STOCK</v>
          </cell>
        </row>
        <row r="1039">
          <cell r="A1039" t="str">
            <v>A9F44320</v>
          </cell>
          <cell r="B1039" t="str">
            <v>NSX630F 36kA AC 4P4D 630A 2.3</v>
          </cell>
          <cell r="C1039">
            <v>0</v>
          </cell>
          <cell r="E1039" t="str">
            <v>PCS</v>
          </cell>
          <cell r="G1039" t="str">
            <v>musa</v>
          </cell>
          <cell r="AA1039" t="str">
            <v>SCHNEIDER STOCK</v>
          </cell>
        </row>
        <row r="1040">
          <cell r="A1040" t="str">
            <v>A9F44150</v>
          </cell>
          <cell r="B1040" t="str">
            <v>NSX100F 36kA AC 3P3D 25A TMD 50 °C</v>
          </cell>
          <cell r="C1040">
            <v>348</v>
          </cell>
          <cell r="E1040" t="str">
            <v>PCS</v>
          </cell>
          <cell r="F1040" t="str">
            <v>222B</v>
          </cell>
          <cell r="G1040" t="str">
            <v>musa</v>
          </cell>
          <cell r="AA1040" t="str">
            <v>SCHNEIDER STOCK</v>
          </cell>
        </row>
        <row r="1041">
          <cell r="A1041" t="str">
            <v>EZ9F56206</v>
          </cell>
          <cell r="B1041" t="str">
            <v>IC60H RCBO 1PPNS 10A C 30MA A 230V</v>
          </cell>
          <cell r="C1041">
            <v>462</v>
          </cell>
          <cell r="E1041" t="str">
            <v>PCS</v>
          </cell>
          <cell r="F1041" t="str">
            <v>223A,223A,223B</v>
          </cell>
          <cell r="G1041" t="str">
            <v>musa</v>
          </cell>
          <cell r="AA1041" t="str">
            <v>SCHNEIDER STOCK</v>
          </cell>
        </row>
        <row r="1042">
          <cell r="A1042" t="str">
            <v>EZ9F56120</v>
          </cell>
          <cell r="B1042" t="str">
            <v>C120N 3P 100A C 10000A 415V MINIATURE CI</v>
          </cell>
          <cell r="C1042">
            <v>0</v>
          </cell>
          <cell r="E1042" t="str">
            <v>PCS</v>
          </cell>
          <cell r="F1042" t="str">
            <v>220A</v>
          </cell>
          <cell r="G1042" t="str">
            <v>musa</v>
          </cell>
          <cell r="AA1042" t="str">
            <v>SCHNEIDER STOCK</v>
          </cell>
        </row>
        <row r="1043">
          <cell r="A1043" t="str">
            <v>A9F44240</v>
          </cell>
          <cell r="B1043" t="str">
            <v>NSX160F 36kA AC 3P3D 125A TMD 50 °C</v>
          </cell>
          <cell r="C1043">
            <v>0</v>
          </cell>
          <cell r="E1043" t="str">
            <v>PCS</v>
          </cell>
          <cell r="F1043" t="str">
            <v>222B,223A</v>
          </cell>
          <cell r="G1043" t="str">
            <v>musa</v>
          </cell>
          <cell r="AA1043" t="str">
            <v>SCHNEIDER STOCK</v>
          </cell>
        </row>
        <row r="1044">
          <cell r="A1044" t="str">
            <v>EZ9F56325</v>
          </cell>
          <cell r="B1044" t="str">
            <v>ACTI9 IID 2P 63A 30MA AC-TYPE RESIDUAL C</v>
          </cell>
          <cell r="C1044">
            <v>349</v>
          </cell>
          <cell r="E1044" t="str">
            <v>PCS</v>
          </cell>
          <cell r="F1044" t="str">
            <v>221B</v>
          </cell>
          <cell r="G1044" t="str">
            <v>musa</v>
          </cell>
          <cell r="AA1044" t="str">
            <v>SCHNEIDER STOCK</v>
          </cell>
        </row>
        <row r="1045">
          <cell r="A1045" t="str">
            <v>EZ9F56310</v>
          </cell>
          <cell r="B1045" t="str">
            <v>IC60H RCBO 1PPNS 40A C 30MA A 230V</v>
          </cell>
          <cell r="C1045">
            <v>168</v>
          </cell>
          <cell r="E1045" t="str">
            <v>PCS</v>
          </cell>
          <cell r="F1045" t="str">
            <v>221B</v>
          </cell>
          <cell r="G1045" t="str">
            <v>musa</v>
          </cell>
          <cell r="AA1045" t="str">
            <v>SCHNEIDER STOCK</v>
          </cell>
        </row>
        <row r="1046">
          <cell r="A1046" t="str">
            <v>A9F44132</v>
          </cell>
          <cell r="B1046" t="str">
            <v>ACTI9 IID 4P 40A 300MA AC-TYPE RESIDUAL</v>
          </cell>
          <cell r="C1046">
            <v>0</v>
          </cell>
          <cell r="E1046" t="str">
            <v>PCS</v>
          </cell>
          <cell r="G1046" t="str">
            <v>musa</v>
          </cell>
          <cell r="AA1046" t="str">
            <v>SCHNEIDER STOCK</v>
          </cell>
        </row>
        <row r="1047">
          <cell r="A1047" t="str">
            <v>A9F44202</v>
          </cell>
          <cell r="B1047" t="str">
            <v>NSX100F 36kA AC 3P3D 40A TMD 50 °C</v>
          </cell>
          <cell r="C1047">
            <v>60</v>
          </cell>
          <cell r="E1047" t="str">
            <v>PCS</v>
          </cell>
          <cell r="F1047" t="str">
            <v>220A</v>
          </cell>
          <cell r="G1047" t="str">
            <v>musa</v>
          </cell>
          <cell r="AA1047" t="str">
            <v>SCHNEIDER STOCK</v>
          </cell>
        </row>
        <row r="1048">
          <cell r="A1048" t="str">
            <v>EZ9F56320</v>
          </cell>
          <cell r="B1048" t="str">
            <v>ACTI9 IID 2P 40A 30MA AC-TYPE RESIDUAL C</v>
          </cell>
          <cell r="C1048">
            <v>73</v>
          </cell>
          <cell r="E1048" t="str">
            <v>PCS</v>
          </cell>
          <cell r="F1048" t="str">
            <v>222B,224A</v>
          </cell>
          <cell r="G1048" t="str">
            <v>musa</v>
          </cell>
          <cell r="AA1048" t="str">
            <v>SCHNEIDER STOCK</v>
          </cell>
        </row>
        <row r="1049">
          <cell r="A1049" t="str">
            <v>A9F44140</v>
          </cell>
          <cell r="B1049" t="str">
            <v>ACTI9 IID 4P 63A 300MA AC-TYPE RESIDUAL</v>
          </cell>
          <cell r="C1049">
            <v>0</v>
          </cell>
          <cell r="E1049" t="str">
            <v>PCS</v>
          </cell>
          <cell r="F1049" t="str">
            <v>224A</v>
          </cell>
          <cell r="G1049" t="str">
            <v>musa</v>
          </cell>
          <cell r="AA1049" t="str">
            <v>SCHNEIDER STOCK</v>
          </cell>
        </row>
        <row r="1050">
          <cell r="A1050" t="str">
            <v>A9F44325</v>
          </cell>
          <cell r="B1050" t="str">
            <v>NSX100N 50kA AC 3P3D 100A TMD 50 °C</v>
          </cell>
          <cell r="C1050">
            <v>0</v>
          </cell>
          <cell r="E1050" t="str">
            <v>PCS</v>
          </cell>
          <cell r="F1050" t="str">
            <v>222A,223A</v>
          </cell>
          <cell r="G1050" t="str">
            <v>musa</v>
          </cell>
          <cell r="AA1050" t="str">
            <v>SCHNEIDER STOCK</v>
          </cell>
        </row>
        <row r="1051">
          <cell r="A1051" t="str">
            <v>A9F44110</v>
          </cell>
          <cell r="B1051" t="str">
            <v>ACTI9 IID 4P 25A 300MA AC-TYPE RESIDUAL</v>
          </cell>
          <cell r="C1051">
            <v>0</v>
          </cell>
          <cell r="E1051" t="str">
            <v>PCS</v>
          </cell>
          <cell r="G1051" t="str">
            <v>musa</v>
          </cell>
          <cell r="AA1051" t="str">
            <v>SCHNEIDER STOCK</v>
          </cell>
        </row>
        <row r="1052">
          <cell r="A1052" t="str">
            <v>EZ9F56106</v>
          </cell>
          <cell r="B1052" t="str">
            <v>ACTI9 IC60N 4P 32A C MCB</v>
          </cell>
          <cell r="C1052">
            <v>0</v>
          </cell>
          <cell r="E1052" t="str">
            <v>PCS</v>
          </cell>
          <cell r="G1052" t="str">
            <v>musa</v>
          </cell>
          <cell r="AA1052" t="str">
            <v>SCHNEIDER STOCK</v>
          </cell>
        </row>
        <row r="1053">
          <cell r="A1053" t="str">
            <v>A9C30815</v>
          </cell>
          <cell r="B1053" t="str">
            <v>MOD CONT 2NO 25A 250V AC7a 220VAC COIL</v>
          </cell>
          <cell r="C1053">
            <v>0</v>
          </cell>
          <cell r="E1053" t="str">
            <v>PCS</v>
          </cell>
          <cell r="G1053" t="str">
            <v>musa</v>
          </cell>
          <cell r="AA1053" t="str">
            <v>SCHNEIDER STOCK</v>
          </cell>
        </row>
        <row r="1054">
          <cell r="A1054" t="str">
            <v>A9N18374</v>
          </cell>
          <cell r="B1054" t="str">
            <v>NSX160F 36kA AC 4P3D 160A TMD 50 °C</v>
          </cell>
          <cell r="C1054">
            <v>4</v>
          </cell>
          <cell r="E1054" t="str">
            <v>PCS</v>
          </cell>
          <cell r="F1054" t="str">
            <v>223A</v>
          </cell>
          <cell r="G1054" t="str">
            <v>musa</v>
          </cell>
          <cell r="AA1054" t="str">
            <v>SCHNEIDER STOCK</v>
          </cell>
        </row>
        <row r="1055">
          <cell r="A1055" t="str">
            <v>A9F44306</v>
          </cell>
          <cell r="B1055" t="str">
            <v>NSX100F 36kA AC 4P3D 63A TMD 50 °C</v>
          </cell>
          <cell r="C1055">
            <v>0</v>
          </cell>
          <cell r="E1055" t="str">
            <v>PCS</v>
          </cell>
          <cell r="G1055" t="str">
            <v>musa</v>
          </cell>
          <cell r="AA1055" t="str">
            <v>SCHNEIDER STOCK</v>
          </cell>
        </row>
        <row r="1056">
          <cell r="A1056" t="str">
            <v>A9F44310</v>
          </cell>
          <cell r="B1056" t="str">
            <v>NSX160F 36kA AC 4P3D 125A TMD 50 °C</v>
          </cell>
          <cell r="C1056">
            <v>0</v>
          </cell>
          <cell r="E1056" t="str">
            <v>PCS</v>
          </cell>
          <cell r="G1056" t="str">
            <v>musa</v>
          </cell>
          <cell r="AA1056" t="str">
            <v>SCHNEIDER STOCK</v>
          </cell>
        </row>
        <row r="1057">
          <cell r="A1057" t="str">
            <v>A9R74463</v>
          </cell>
          <cell r="B1057" t="str">
            <v>MT100/160, 220-277VAC, 60HZ</v>
          </cell>
          <cell r="C1057">
            <v>41</v>
          </cell>
          <cell r="E1057" t="str">
            <v>PCS</v>
          </cell>
          <cell r="F1057" t="str">
            <v>220A</v>
          </cell>
          <cell r="G1057" t="str">
            <v>musa</v>
          </cell>
          <cell r="AA1057" t="str">
            <v>SCHNEIDER STOCK</v>
          </cell>
        </row>
        <row r="1058">
          <cell r="A1058" t="str">
            <v>A9F44316</v>
          </cell>
          <cell r="B1058" t="str">
            <v>NSX250F 36kA AC 4P3D 250A TMD 50 °C</v>
          </cell>
          <cell r="C1058">
            <v>0</v>
          </cell>
          <cell r="E1058" t="str">
            <v>PCS</v>
          </cell>
          <cell r="G1058" t="str">
            <v>musa</v>
          </cell>
          <cell r="AA1058" t="str">
            <v>SCHNEIDER STOCK</v>
          </cell>
        </row>
        <row r="1059">
          <cell r="A1059" t="str">
            <v>A9F44440</v>
          </cell>
          <cell r="B1059" t="str">
            <v>NSX400N 50kA AC 3P3D 400A 2.3</v>
          </cell>
          <cell r="C1059">
            <v>0</v>
          </cell>
          <cell r="E1059" t="str">
            <v>PCS</v>
          </cell>
          <cell r="F1059" t="str">
            <v>223A</v>
          </cell>
          <cell r="G1059" t="str">
            <v>musa</v>
          </cell>
          <cell r="AA1059" t="str">
            <v>SCHNEIDER STOCK</v>
          </cell>
        </row>
        <row r="1060">
          <cell r="A1060" t="str">
            <v>A9F44350</v>
          </cell>
          <cell r="B1060" t="str">
            <v>NSX250N 50kA AC 3P3D 200A TMD 50 °C</v>
          </cell>
          <cell r="C1060">
            <v>0</v>
          </cell>
          <cell r="E1060" t="str">
            <v>PCS</v>
          </cell>
          <cell r="G1060" t="str">
            <v>musa</v>
          </cell>
          <cell r="AA1060" t="str">
            <v>SCHNEIDER STOCK</v>
          </cell>
        </row>
        <row r="1061">
          <cell r="A1061" t="str">
            <v>A9F44250</v>
          </cell>
          <cell r="B1061" t="str">
            <v>NSX160F 36kA AC 3P3D 160A TMD 50 °C</v>
          </cell>
          <cell r="C1061">
            <v>0</v>
          </cell>
          <cell r="E1061" t="str">
            <v>PCS</v>
          </cell>
          <cell r="G1061" t="str">
            <v>musa</v>
          </cell>
          <cell r="AA1061" t="str">
            <v>SCHNEIDER STOCK</v>
          </cell>
        </row>
        <row r="1062">
          <cell r="A1062" t="str">
            <v>A9R74263</v>
          </cell>
          <cell r="B1062" t="str">
            <v>MT400-630, 220-277VAC, 60HZ</v>
          </cell>
          <cell r="C1062">
            <v>0</v>
          </cell>
          <cell r="E1062" t="str">
            <v>PCS</v>
          </cell>
          <cell r="G1062" t="str">
            <v>musa</v>
          </cell>
          <cell r="AA1062" t="str">
            <v>SCHNEIDER STOCK</v>
          </cell>
        </row>
        <row r="1063">
          <cell r="A1063" t="str">
            <v>EZ9F56163</v>
          </cell>
          <cell r="B1063" t="str">
            <v>C120N 4P 125A C 10000A 415V MINIATURE CI</v>
          </cell>
          <cell r="C1063">
            <v>420</v>
          </cell>
          <cell r="E1063" t="str">
            <v>PCS</v>
          </cell>
          <cell r="F1063" t="str">
            <v>220B</v>
          </cell>
          <cell r="G1063" t="str">
            <v>musa</v>
          </cell>
          <cell r="AA1063" t="str">
            <v>SCHNEIDER STOCK</v>
          </cell>
        </row>
        <row r="1064">
          <cell r="A1064" t="str">
            <v>A9F44103</v>
          </cell>
          <cell r="B1064" t="str">
            <v>ACTI9 IID 2P 63A 300MA AC-TYPE RESIDUAL</v>
          </cell>
          <cell r="C1064">
            <v>42</v>
          </cell>
          <cell r="E1064" t="str">
            <v>PCS</v>
          </cell>
          <cell r="F1064" t="str">
            <v>222B,222B</v>
          </cell>
          <cell r="G1064" t="str">
            <v>musa</v>
          </cell>
          <cell r="AA1064" t="str">
            <v>SCHNEIDER STOCK</v>
          </cell>
        </row>
        <row r="1065">
          <cell r="A1065" t="str">
            <v>A9F44102</v>
          </cell>
          <cell r="B1065" t="str">
            <v>ACTI9 IID 2P 40A 300MA AC-TYPE RESIDUAL</v>
          </cell>
          <cell r="C1065">
            <v>0</v>
          </cell>
          <cell r="E1065" t="str">
            <v>PCS</v>
          </cell>
          <cell r="G1065" t="str">
            <v>musa</v>
          </cell>
          <cell r="AA1065" t="str">
            <v>SCHNEIDER STOCK</v>
          </cell>
        </row>
        <row r="1066">
          <cell r="A1066" t="str">
            <v>EZ9F56263</v>
          </cell>
          <cell r="B1066" t="str">
            <v>IC60H RCBO 1PPNS 32A C 30MA A 230V</v>
          </cell>
          <cell r="C1066">
            <v>36</v>
          </cell>
          <cell r="E1066" t="str">
            <v>PCS</v>
          </cell>
          <cell r="F1066" t="str">
            <v>223B</v>
          </cell>
          <cell r="G1066" t="str">
            <v>musa</v>
          </cell>
          <cell r="AA1066" t="str">
            <v>SCHNEIDER STOCK</v>
          </cell>
        </row>
        <row r="1067">
          <cell r="A1067" t="str">
            <v>EZ9F56140</v>
          </cell>
          <cell r="B1067" t="str">
            <v>C120N 4P 100A C 10000A 415V MINIATURE CI</v>
          </cell>
          <cell r="C1067">
            <v>432</v>
          </cell>
          <cell r="E1067" t="str">
            <v>PCS</v>
          </cell>
          <cell r="F1067" t="str">
            <v>218A</v>
          </cell>
          <cell r="G1067" t="str">
            <v>musa</v>
          </cell>
          <cell r="AA1067" t="str">
            <v>SCHNEIDER STOCK</v>
          </cell>
        </row>
        <row r="1068">
          <cell r="A1068" t="str">
            <v>LV510808</v>
          </cell>
          <cell r="B1068" t="str">
            <v>ACTI9 IC60N 3P 25A C MCB</v>
          </cell>
          <cell r="C1068">
            <v>0</v>
          </cell>
          <cell r="E1068" t="str">
            <v>PCS</v>
          </cell>
          <cell r="G1068" t="str">
            <v>musa</v>
          </cell>
          <cell r="AA1068" t="str">
            <v>SCHNEIDER STOCK</v>
          </cell>
        </row>
        <row r="1069">
          <cell r="A1069" t="str">
            <v>C16F3TM160C</v>
          </cell>
          <cell r="B1069" t="str">
            <v>Auxiliary contact, Acti9 A9A, iOF/SD+OF,</v>
          </cell>
          <cell r="C1069">
            <v>0</v>
          </cell>
          <cell r="E1069" t="str">
            <v>PCS</v>
          </cell>
          <cell r="G1069" t="str">
            <v>musa</v>
          </cell>
          <cell r="AA1069" t="str">
            <v>SCHNEIDER STOCK</v>
          </cell>
        </row>
        <row r="1070">
          <cell r="A1070" t="str">
            <v>LV510805</v>
          </cell>
          <cell r="B1070" t="str">
            <v>CTI9 IC60N 3P 16A C MCB</v>
          </cell>
          <cell r="C1070">
            <v>0</v>
          </cell>
          <cell r="E1070" t="str">
            <v>PCS</v>
          </cell>
          <cell r="G1070" t="str">
            <v>musa</v>
          </cell>
          <cell r="AA1070" t="str">
            <v>SCHNEIDER STOCK</v>
          </cell>
        </row>
        <row r="1071">
          <cell r="A1071" t="str">
            <v>EZC400N3320N</v>
          </cell>
          <cell r="B1071" t="str">
            <v>C60H-DC 2P 4A C
500Vdc</v>
          </cell>
          <cell r="C1071">
            <v>0</v>
          </cell>
          <cell r="E1071" t="str">
            <v>PCS</v>
          </cell>
          <cell r="G1071" t="str">
            <v>musa</v>
          </cell>
          <cell r="AA1071" t="str">
            <v>SCHNEIDER STOCK</v>
          </cell>
        </row>
        <row r="1072">
          <cell r="A1072" t="str">
            <v>LRD21</v>
          </cell>
          <cell r="B1072" t="str">
            <v>EASY9 MCB 3P 25A C 6000A 400V MINIATURE</v>
          </cell>
          <cell r="C1072">
            <v>0</v>
          </cell>
          <cell r="E1072" t="str">
            <v>PCS</v>
          </cell>
          <cell r="G1072" t="str">
            <v>musa</v>
          </cell>
          <cell r="AA1072" t="str">
            <v>SCHNEIDER STOCK</v>
          </cell>
        </row>
        <row r="1073">
          <cell r="A1073" t="str">
            <v>A9D11832</v>
          </cell>
          <cell r="B1073" t="str">
            <v>NSX400F 36kA AC 4P4D 400A 2.3</v>
          </cell>
          <cell r="C1073">
            <v>0</v>
          </cell>
          <cell r="E1073" t="str">
            <v>PCS</v>
          </cell>
          <cell r="G1073" t="str">
            <v>musa</v>
          </cell>
          <cell r="AA1073" t="str">
            <v>SCHNEIDER STOCK</v>
          </cell>
        </row>
        <row r="1074">
          <cell r="A1074" t="str">
            <v>GVAN11</v>
          </cell>
          <cell r="B1074" t="str">
            <v>ACTI9 IC60N 1P 63A C MCB</v>
          </cell>
          <cell r="C1074">
            <v>80</v>
          </cell>
          <cell r="E1074" t="str">
            <v>PCS</v>
          </cell>
          <cell r="G1074" t="str">
            <v>musa</v>
          </cell>
          <cell r="AA1074" t="str">
            <v>SCHNEIDER STOCK</v>
          </cell>
        </row>
        <row r="1075">
          <cell r="A1075" t="str">
            <v>LRD07</v>
          </cell>
          <cell r="B1075" t="str">
            <v>Easy9 MCB 2P 50A C 6000A 230V</v>
          </cell>
          <cell r="C1075">
            <v>35</v>
          </cell>
          <cell r="E1075" t="str">
            <v>PCS</v>
          </cell>
          <cell r="F1075" t="str">
            <v>222B</v>
          </cell>
          <cell r="G1075" t="str">
            <v>musa</v>
          </cell>
          <cell r="AA1075" t="str">
            <v>SCHNEIDER STOCK</v>
          </cell>
        </row>
        <row r="1076">
          <cell r="A1076" t="str">
            <v>EZC630N3600N</v>
          </cell>
          <cell r="B1076" t="str">
            <v>C60H-DC 2P 6A C
500Vdc</v>
          </cell>
          <cell r="C1076">
            <v>21</v>
          </cell>
          <cell r="E1076" t="str">
            <v>PCS</v>
          </cell>
          <cell r="F1076" t="str">
            <v>219A</v>
          </cell>
          <cell r="G1076" t="str">
            <v>musa</v>
          </cell>
          <cell r="AA1076" t="str">
            <v>SCHNEIDER STOCK</v>
          </cell>
        </row>
        <row r="1077">
          <cell r="A1077" t="str">
            <v>LAD8N11</v>
          </cell>
          <cell r="B1077" t="str">
            <v>ACTI9 IC60N 2P 6A 10KA MCB</v>
          </cell>
          <cell r="C1077">
            <v>0</v>
          </cell>
          <cell r="E1077" t="str">
            <v>PCS</v>
          </cell>
          <cell r="G1077" t="str">
            <v>musa</v>
          </cell>
          <cell r="AA1077" t="str">
            <v>SCHNEIDER STOCK</v>
          </cell>
        </row>
        <row r="1078">
          <cell r="A1078" t="str">
            <v>CAD32JD</v>
          </cell>
          <cell r="B1078" t="str">
            <v>ACTI9 IC60N 2P 16A C MCB</v>
          </cell>
          <cell r="C1078">
            <v>0</v>
          </cell>
          <cell r="E1078" t="str">
            <v>PCS</v>
          </cell>
          <cell r="G1078" t="str">
            <v>musa</v>
          </cell>
          <cell r="AA1078" t="str">
            <v>SCHNEIDER STOCK</v>
          </cell>
        </row>
        <row r="1079">
          <cell r="A1079" t="str">
            <v>LC1D258F7</v>
          </cell>
          <cell r="B1079" t="str">
            <v>ACTI9 IC60N 3P 63A C MCB</v>
          </cell>
          <cell r="C1079">
            <v>33</v>
          </cell>
          <cell r="E1079" t="str">
            <v>PCS</v>
          </cell>
          <cell r="F1079" t="str">
            <v>225B</v>
          </cell>
          <cell r="G1079" t="str">
            <v>musa</v>
          </cell>
          <cell r="AA1079" t="str">
            <v>SCHNEIDER STOCK</v>
          </cell>
        </row>
        <row r="1080">
          <cell r="A1080" t="str">
            <v>LC1K1210M7</v>
          </cell>
          <cell r="B1080" t="str">
            <v>ACTI9 IC60N 2P 40A C MCB</v>
          </cell>
          <cell r="C1080">
            <v>35</v>
          </cell>
          <cell r="E1080" t="str">
            <v>PCS</v>
          </cell>
          <cell r="F1080" t="str">
            <v>223B</v>
          </cell>
          <cell r="G1080" t="str">
            <v>musa</v>
          </cell>
          <cell r="AA1080" t="str">
            <v>SCHNEIDER STOCK</v>
          </cell>
        </row>
        <row r="1081">
          <cell r="A1081" t="str">
            <v>LC1D09Q7</v>
          </cell>
          <cell r="B1081" t="str">
            <v>EASY9 MCB 1P 20A C 6000A 230V MINIATURE</v>
          </cell>
          <cell r="C1081">
            <v>6</v>
          </cell>
          <cell r="E1081" t="str">
            <v>PCS</v>
          </cell>
          <cell r="F1081" t="str">
            <v>223B</v>
          </cell>
          <cell r="G1081" t="str">
            <v>musa</v>
          </cell>
          <cell r="AA1081" t="str">
            <v>SCHNEIDER STOCK</v>
          </cell>
        </row>
        <row r="1082">
          <cell r="A1082" t="str">
            <v>LRD08</v>
          </cell>
          <cell r="B1082" t="str">
            <v>Easy9 MCB 2P 63A C 6000A 230V</v>
          </cell>
          <cell r="C1082">
            <v>20</v>
          </cell>
          <cell r="E1082" t="str">
            <v>PCS</v>
          </cell>
          <cell r="F1082" t="str">
            <v>223B,225B</v>
          </cell>
          <cell r="G1082" t="str">
            <v>musa</v>
          </cell>
          <cell r="AA1082" t="str">
            <v>SCHNEIDER STOCK</v>
          </cell>
        </row>
        <row r="1083">
          <cell r="A1083" t="str">
            <v>LC1K0610B7</v>
          </cell>
          <cell r="B1083" t="str">
            <v>ACTI9 IC60N 2P 20A C MCB</v>
          </cell>
          <cell r="C1083">
            <v>18</v>
          </cell>
          <cell r="E1083" t="str">
            <v>PCS</v>
          </cell>
          <cell r="F1083" t="str">
            <v>223B</v>
          </cell>
          <cell r="G1083" t="str">
            <v>musa</v>
          </cell>
          <cell r="AA1083" t="str">
            <v>SCHNEIDER STOCK</v>
          </cell>
        </row>
        <row r="1084">
          <cell r="A1084" t="str">
            <v>LRD350</v>
          </cell>
          <cell r="B1084" t="str">
            <v>Easy9 MCB 3P 50A C 6000A 400V</v>
          </cell>
          <cell r="C1084">
            <v>15</v>
          </cell>
          <cell r="E1084" t="str">
            <v>PCS</v>
          </cell>
          <cell r="F1084" t="str">
            <v>224B</v>
          </cell>
          <cell r="G1084" t="str">
            <v>musa</v>
          </cell>
          <cell r="AA1084" t="str">
            <v>SCHNEIDER STOCK</v>
          </cell>
        </row>
        <row r="1085">
          <cell r="A1085" t="str">
            <v>LC1D09B7</v>
          </cell>
          <cell r="B1085" t="str">
            <v>EASY9 MCB 1P 16A C 6000A 230V MINIATURE</v>
          </cell>
          <cell r="C1085">
            <v>0</v>
          </cell>
          <cell r="E1085" t="str">
            <v>PCS</v>
          </cell>
          <cell r="G1085" t="str">
            <v>musa</v>
          </cell>
          <cell r="AA1085" t="str">
            <v>SCHNEIDER STOCK</v>
          </cell>
        </row>
        <row r="1086">
          <cell r="A1086" t="str">
            <v>LRD14</v>
          </cell>
          <cell r="B1086" t="str">
            <v>EASY9 MCB 3P 16A C 6000A 400V MINIATURE</v>
          </cell>
          <cell r="C1086">
            <v>10</v>
          </cell>
          <cell r="E1086" t="str">
            <v>PCS</v>
          </cell>
          <cell r="F1086" t="str">
            <v>224B</v>
          </cell>
          <cell r="G1086" t="str">
            <v>musa</v>
          </cell>
          <cell r="AA1086" t="str">
            <v>SCHNEIDER STOCK</v>
          </cell>
        </row>
        <row r="1087">
          <cell r="A1087" t="str">
            <v>LRD22</v>
          </cell>
          <cell r="B1087" t="str">
            <v>EASY9 MCB 3P 32A C 6000A 400V MINIATURE</v>
          </cell>
          <cell r="C1087">
            <v>30</v>
          </cell>
          <cell r="E1087" t="str">
            <v>PCS</v>
          </cell>
          <cell r="F1087" t="str">
            <v>223B</v>
          </cell>
          <cell r="G1087" t="str">
            <v>musa</v>
          </cell>
          <cell r="AA1087" t="str">
            <v>SCHNEIDER STOCK</v>
          </cell>
        </row>
        <row r="1088">
          <cell r="A1088" t="str">
            <v>CAD32M7</v>
          </cell>
          <cell r="B1088" t="str">
            <v>ACTI9 IC60N 2P 10A C MCB</v>
          </cell>
          <cell r="C1088">
            <v>25</v>
          </cell>
          <cell r="E1088" t="str">
            <v>PCS</v>
          </cell>
          <cell r="F1088" t="str">
            <v>224A,225B</v>
          </cell>
          <cell r="G1088" t="str">
            <v>musa</v>
          </cell>
          <cell r="AA1088" t="str">
            <v>SCHNEIDER STOCK</v>
          </cell>
        </row>
        <row r="1089">
          <cell r="A1089" t="str">
            <v>LC1D12B7</v>
          </cell>
          <cell r="B1089" t="str">
            <v>EASY9 MCB 1P 25A C 6000A 230V MINIATURE</v>
          </cell>
          <cell r="C1089">
            <v>55</v>
          </cell>
          <cell r="E1089" t="str">
            <v>PCS</v>
          </cell>
          <cell r="F1089" t="str">
            <v>224A</v>
          </cell>
          <cell r="G1089" t="str">
            <v>musa</v>
          </cell>
          <cell r="AA1089" t="str">
            <v>SCHNEIDER STOCK</v>
          </cell>
        </row>
        <row r="1090">
          <cell r="A1090" t="str">
            <v>LRD12</v>
          </cell>
          <cell r="B1090" t="str">
            <v>EASY9 MCB 3P 10A C 6000A 400V MINIATURE</v>
          </cell>
          <cell r="C1090">
            <v>30</v>
          </cell>
          <cell r="E1090" t="str">
            <v>PCS</v>
          </cell>
          <cell r="F1090" t="str">
            <v>225B</v>
          </cell>
          <cell r="G1090" t="str">
            <v>musa</v>
          </cell>
          <cell r="AA1090" t="str">
            <v>SCHNEIDER STOCK</v>
          </cell>
        </row>
        <row r="1091">
          <cell r="A1091" t="str">
            <v>LRD10</v>
          </cell>
          <cell r="B1091" t="str">
            <v>EASY9 MCB 3P 6A C 6000A 400V MINIATUREC</v>
          </cell>
          <cell r="C1091">
            <v>20</v>
          </cell>
          <cell r="E1091" t="str">
            <v>PCS</v>
          </cell>
          <cell r="F1091" t="str">
            <v>224B</v>
          </cell>
          <cell r="G1091" t="str">
            <v>musa</v>
          </cell>
          <cell r="AA1091" t="str">
            <v>SCHNEIDER STOCK</v>
          </cell>
        </row>
        <row r="1092">
          <cell r="A1092" t="str">
            <v>LRD16</v>
          </cell>
          <cell r="B1092" t="str">
            <v>EASY9 MCB 3P 20A C 6000A 400V MINIATURE</v>
          </cell>
          <cell r="C1092">
            <v>50</v>
          </cell>
          <cell r="E1092" t="str">
            <v>PCS</v>
          </cell>
          <cell r="F1092" t="str">
            <v>225A</v>
          </cell>
          <cell r="G1092" t="str">
            <v>musa</v>
          </cell>
          <cell r="AA1092" t="str">
            <v>SCHNEIDER STOCK</v>
          </cell>
        </row>
        <row r="1093">
          <cell r="A1093" t="str">
            <v>GVAE11</v>
          </cell>
          <cell r="B1093" t="str">
            <v>ACTI9 IC60N 2P 2A C MCB</v>
          </cell>
          <cell r="C1093">
            <v>0</v>
          </cell>
          <cell r="E1093" t="str">
            <v>PCS</v>
          </cell>
          <cell r="G1093" t="str">
            <v>musa</v>
          </cell>
          <cell r="AA1093" t="str">
            <v>SCHNEIDER STOCK</v>
          </cell>
        </row>
        <row r="1094">
          <cell r="A1094" t="str">
            <v>LC1D09F7</v>
          </cell>
          <cell r="B1094" t="str">
            <v>EASY9 MCB 1P 10A C 6000A 230V MINIATURE</v>
          </cell>
          <cell r="C1094">
            <v>75</v>
          </cell>
          <cell r="E1094" t="str">
            <v>PCS</v>
          </cell>
          <cell r="F1094" t="str">
            <v>225A</v>
          </cell>
          <cell r="G1094" t="str">
            <v>musa</v>
          </cell>
          <cell r="AA1094" t="str">
            <v>SCHNEIDER STOCK</v>
          </cell>
        </row>
        <row r="1095">
          <cell r="A1095" t="str">
            <v>GV2ME07</v>
          </cell>
          <cell r="B1095" t="str">
            <v>ACTI9 IC60N 1P 3A C MCB</v>
          </cell>
          <cell r="C1095">
            <v>0</v>
          </cell>
          <cell r="E1095" t="str">
            <v>PCS</v>
          </cell>
          <cell r="G1095" t="str">
            <v>musa</v>
          </cell>
          <cell r="AA1095" t="str">
            <v>SCHNEIDER STOCK</v>
          </cell>
        </row>
        <row r="1096">
          <cell r="A1096" t="str">
            <v>C10F3TM063C</v>
          </cell>
          <cell r="B1096" t="str">
            <v>NSX100F 36kA AC 3P3D 63A TMD 50 °C</v>
          </cell>
          <cell r="C1096">
            <v>0</v>
          </cell>
          <cell r="E1096" t="str">
            <v>PCS</v>
          </cell>
          <cell r="F1096" t="str">
            <v>220B</v>
          </cell>
          <cell r="G1096" t="str">
            <v>musa</v>
          </cell>
          <cell r="AA1096" t="str">
            <v>SCHNEIDER STOCK</v>
          </cell>
        </row>
        <row r="1097">
          <cell r="A1097" t="str">
            <v>C40F32D400</v>
          </cell>
          <cell r="B1097" t="str">
            <v>NSX400F 36kA AC 3P3D 400A 2.3</v>
          </cell>
          <cell r="C1097">
            <v>0</v>
          </cell>
          <cell r="E1097" t="str">
            <v>PCS</v>
          </cell>
          <cell r="G1097" t="str">
            <v>musa</v>
          </cell>
          <cell r="AA1097" t="str">
            <v>SCHNEIDER STOCK</v>
          </cell>
        </row>
        <row r="1098">
          <cell r="A1098" t="str">
            <v>LV510807</v>
          </cell>
          <cell r="B1098" t="str">
            <v>CVS100F TM63D 3P3D; EasyPact CVS circuit</v>
          </cell>
          <cell r="C1098">
            <v>0</v>
          </cell>
          <cell r="E1098" t="str">
            <v>PCS</v>
          </cell>
          <cell r="F1098" t="str">
            <v>221B</v>
          </cell>
          <cell r="G1098" t="str">
            <v>musa</v>
          </cell>
          <cell r="AA1098" t="str">
            <v>SCHNEIDER STOCK</v>
          </cell>
        </row>
        <row r="1099">
          <cell r="A1099" t="str">
            <v>A9H330MEZ200FD</v>
          </cell>
          <cell r="B1099" t="str">
            <v>DISBO 3P 30W EASYPACT250 200A FLAT FLUSH</v>
          </cell>
          <cell r="C1099">
            <v>10</v>
          </cell>
          <cell r="E1099" t="str">
            <v>PCS</v>
          </cell>
          <cell r="F1099" t="str">
            <v>238B,201C,421B,452C</v>
          </cell>
          <cell r="G1099" t="str">
            <v>musa</v>
          </cell>
          <cell r="AA1099" t="str">
            <v>SCHNEIDER STOCK</v>
          </cell>
        </row>
        <row r="1100">
          <cell r="A1100" t="str">
            <v>RES318EZ60</v>
          </cell>
          <cell r="B1100" t="str">
            <v>EASY9 RESBO DB 18 WAYS EASYPACT 60A</v>
          </cell>
          <cell r="C1100">
            <v>33</v>
          </cell>
          <cell r="E1100" t="str">
            <v>PCS</v>
          </cell>
          <cell r="F1100" t="str">
            <v>211A,235B,209B,250C,238A,417B</v>
          </cell>
          <cell r="G1100" t="str">
            <v>musa</v>
          </cell>
          <cell r="AA1100" t="str">
            <v>SCHNEIDER STOCK</v>
          </cell>
        </row>
        <row r="1101">
          <cell r="A1101" t="str">
            <v>VLVAF6P03620AK</v>
          </cell>
          <cell r="B1101" t="str">
            <v>VarSet Auto 500K DR3,8 400V-60 CB Top</v>
          </cell>
          <cell r="C1101">
            <v>0</v>
          </cell>
          <cell r="E1101" t="str">
            <v>PCS</v>
          </cell>
          <cell r="G1101" t="str">
            <v>musa</v>
          </cell>
          <cell r="AA1101" t="str">
            <v>SCHNEIDER STOCK</v>
          </cell>
        </row>
        <row r="1102">
          <cell r="A1102" t="str">
            <v>GVSBBK100K200H</v>
          </cell>
          <cell r="B1102" t="str">
            <v>Galaxy VS Battery Breaker Kit 100-200kW 400V</v>
          </cell>
          <cell r="C1102">
            <v>1</v>
          </cell>
          <cell r="E1102" t="str">
            <v>PCS</v>
          </cell>
          <cell r="F1102" t="str">
            <v>247B</v>
          </cell>
          <cell r="G1102" t="str">
            <v>musa</v>
          </cell>
          <cell r="AA1102" t="str">
            <v>SCHNEIDER STOCK</v>
          </cell>
        </row>
        <row r="1103">
          <cell r="A1103" t="str">
            <v>QBATT-QDOT12479-00</v>
          </cell>
          <cell r="B1103" t="str">
            <v>PRODUCT 3RD PARTY HARDWARE OTHER POWERSHIELD BMS FOR 2 X 40 X XP12V2500 EXIDE BATTERIES,N/A</v>
          </cell>
          <cell r="C1103">
            <v>0</v>
          </cell>
          <cell r="E1103" t="str">
            <v>PCS</v>
          </cell>
          <cell r="G1103" t="str">
            <v>musa</v>
          </cell>
          <cell r="AA1103" t="str">
            <v>SCHNEIDER STOCK</v>
          </cell>
        </row>
        <row r="1104">
          <cell r="A1104" t="str">
            <v>GVSCBC10B2</v>
          </cell>
          <cell r="B1104" t="str">
            <v xml:space="preserve">GALAXY VS CLASSIC BATTERY CABINET WITH BATTIRES IEC 1000MM WIDE CONFIG B2 </v>
          </cell>
          <cell r="C1104">
            <v>0</v>
          </cell>
          <cell r="E1104" t="str">
            <v>PCS</v>
          </cell>
          <cell r="G1104" t="str">
            <v>musa</v>
          </cell>
          <cell r="AA1104" t="str">
            <v>SCHNEIDER STOCK</v>
          </cell>
        </row>
        <row r="1105">
          <cell r="A1105" t="str">
            <v>AR8122BLK</v>
          </cell>
          <cell r="B1105" t="str">
            <v>FIXED SHELF 250LBS/114 KG BLACK</v>
          </cell>
          <cell r="C1105">
            <v>0</v>
          </cell>
          <cell r="E1105" t="str">
            <v>PCS</v>
          </cell>
          <cell r="G1105" t="str">
            <v>musa</v>
          </cell>
          <cell r="AA1105" t="str">
            <v>SCHNEIDER STOCK</v>
          </cell>
        </row>
        <row r="1106">
          <cell r="A1106" t="str">
            <v>ER8802</v>
          </cell>
          <cell r="B1106" t="str">
            <v>Easy Rack 800mm/48U/1000mm with Roof Side panelcastorsfeet and 4 Brackets No Bottom black</v>
          </cell>
          <cell r="C1106">
            <v>0</v>
          </cell>
          <cell r="E1106" t="str">
            <v>PCS</v>
          </cell>
          <cell r="G1106" t="str">
            <v>musa</v>
          </cell>
          <cell r="AA1106" t="str">
            <v>SCHNEIDER STOCK</v>
          </cell>
        </row>
        <row r="1107">
          <cell r="A1107" t="str">
            <v>E3SOPT016</v>
          </cell>
          <cell r="B1107" t="str">
            <v>EASY UPS 3S 15M PARELLEL KIT</v>
          </cell>
          <cell r="C1107">
            <v>2</v>
          </cell>
          <cell r="E1107" t="str">
            <v>PCS</v>
          </cell>
          <cell r="F1107" t="str">
            <v>246B</v>
          </cell>
          <cell r="G1107" t="str">
            <v>musa</v>
          </cell>
          <cell r="AA1107" t="str">
            <v>SCHNEIDER STOCK</v>
          </cell>
        </row>
        <row r="1108">
          <cell r="A1108" t="str">
            <v>ACAC10044</v>
          </cell>
          <cell r="B1108" t="str">
            <v>Bottom installation pipe kit(Short Z type)</v>
          </cell>
          <cell r="C1108">
            <v>0</v>
          </cell>
          <cell r="E1108" t="str">
            <v>PCS</v>
          </cell>
          <cell r="G1108" t="str">
            <v>musa</v>
          </cell>
          <cell r="AA1108" t="str">
            <v>SCHNEIDER STOCK</v>
          </cell>
        </row>
        <row r="1109">
          <cell r="A1109" t="str">
            <v>QCONTAINMENT-QRRA43930-00</v>
          </cell>
          <cell r="B1109" t="str">
            <v>PRODUCT 3RD PARTY HARDWARE OTHER 2 X SD42U1244D1200ECO WITH E OPTION SLIDING DOORS,N/A</v>
          </cell>
          <cell r="C1109">
            <v>0</v>
          </cell>
          <cell r="E1109" t="str">
            <v>PCS</v>
          </cell>
          <cell r="G1109" t="str">
            <v>musa</v>
          </cell>
          <cell r="AA1109" t="str">
            <v>SCHNEIDER STOCK</v>
          </cell>
        </row>
        <row r="1110">
          <cell r="A1110" t="str">
            <v>A9F44116</v>
          </cell>
          <cell r="B1110" t="str">
            <v>ACTI9 IC60N 1P 16A C MCB</v>
          </cell>
          <cell r="C1110">
            <v>0</v>
          </cell>
          <cell r="E1110" t="str">
            <v>PCS</v>
          </cell>
          <cell r="G1110" t="str">
            <v>musa</v>
          </cell>
          <cell r="AA1110" t="str">
            <v>SCHNEIDER STOCK</v>
          </cell>
        </row>
        <row r="1111">
          <cell r="A1111" t="str">
            <v>EZ9F56150</v>
          </cell>
          <cell r="B1111" t="str">
            <v>Easy9 MCB 1P 50A C 6000A 230V</v>
          </cell>
          <cell r="C1111">
            <v>368</v>
          </cell>
          <cell r="E1111" t="str">
            <v>PCS</v>
          </cell>
          <cell r="F1111" t="str">
            <v>220A,223B</v>
          </cell>
          <cell r="G1111" t="str">
            <v>musa</v>
          </cell>
          <cell r="AA1111" t="str">
            <v>SCHNEIDER STOCK</v>
          </cell>
        </row>
        <row r="1112">
          <cell r="A1112" t="str">
            <v>EZ9F56210</v>
          </cell>
          <cell r="B1112" t="str">
            <v>EASY9 MCB 2P 10A C 6000A 230V MINIATURE</v>
          </cell>
          <cell r="C1112">
            <v>66</v>
          </cell>
          <cell r="E1112" t="str">
            <v>PCS</v>
          </cell>
          <cell r="F1112" t="str">
            <v>220A</v>
          </cell>
          <cell r="G1112" t="str">
            <v>musa</v>
          </cell>
          <cell r="AA1112" t="str">
            <v>SCHNEIDER STOCK</v>
          </cell>
        </row>
        <row r="1113">
          <cell r="A1113" t="str">
            <v>EZ9F56220</v>
          </cell>
          <cell r="B1113" t="str">
            <v>EASY9 MCB 2P 20A C 6000A 230V MINIATURE</v>
          </cell>
          <cell r="C1113">
            <v>0</v>
          </cell>
          <cell r="E1113" t="str">
            <v>PCS</v>
          </cell>
          <cell r="G1113" t="str">
            <v>musa</v>
          </cell>
          <cell r="AA1113" t="str">
            <v>SCHNEIDER STOCK</v>
          </cell>
        </row>
        <row r="1114">
          <cell r="A1114" t="str">
            <v>EZ9F56240</v>
          </cell>
          <cell r="B1114" t="str">
            <v>EASY9 MCB 2P 40A C 6000A 230V MINIATURE</v>
          </cell>
          <cell r="C1114">
            <v>0</v>
          </cell>
          <cell r="E1114" t="str">
            <v>PCS</v>
          </cell>
          <cell r="G1114" t="str">
            <v>musa</v>
          </cell>
          <cell r="AA1114" t="str">
            <v>SCHNEIDER STOCK</v>
          </cell>
        </row>
        <row r="1115">
          <cell r="A1115" t="str">
            <v>EZ9F56250</v>
          </cell>
          <cell r="B1115" t="str">
            <v>Easy9 MCB 2P 50A C 6000A 230V</v>
          </cell>
          <cell r="C1115">
            <v>96</v>
          </cell>
          <cell r="E1115" t="str">
            <v>PCS</v>
          </cell>
          <cell r="F1115" t="str">
            <v>221A,224B</v>
          </cell>
          <cell r="G1115" t="str">
            <v>musa</v>
          </cell>
          <cell r="AA1115" t="str">
            <v>SCHNEIDER STOCK</v>
          </cell>
        </row>
        <row r="1116">
          <cell r="A1116" t="str">
            <v>EZ9F56306</v>
          </cell>
          <cell r="B1116" t="str">
            <v>EASY9 MCB 3P 6A C 6000A 400V MINIATURE C</v>
          </cell>
          <cell r="C1116">
            <v>160</v>
          </cell>
          <cell r="E1116" t="str">
            <v>PCS</v>
          </cell>
          <cell r="F1116" t="str">
            <v>217B,220A,221A</v>
          </cell>
          <cell r="G1116" t="str">
            <v>musa</v>
          </cell>
          <cell r="AA1116" t="str">
            <v>SCHNEIDER STOCK</v>
          </cell>
        </row>
        <row r="1117">
          <cell r="A1117" t="str">
            <v>A9F44104</v>
          </cell>
          <cell r="B1117" t="str">
            <v>ACTI9 IC60N 1P 4A C MCB</v>
          </cell>
          <cell r="C1117">
            <v>72</v>
          </cell>
          <cell r="E1117" t="str">
            <v>PCS</v>
          </cell>
          <cell r="F1117" t="str">
            <v>220B,221B</v>
          </cell>
          <cell r="G1117" t="str">
            <v>musa</v>
          </cell>
          <cell r="AA1117" t="str">
            <v>SCHNEIDER STOCK</v>
          </cell>
        </row>
        <row r="1118">
          <cell r="A1118" t="str">
            <v>A9F44106</v>
          </cell>
          <cell r="B1118" t="str">
            <v>ACTI9 IC60N 1P 6A C MCB</v>
          </cell>
          <cell r="C1118">
            <v>0</v>
          </cell>
          <cell r="E1118" t="str">
            <v>PCS</v>
          </cell>
          <cell r="G1118" t="str">
            <v>musa</v>
          </cell>
          <cell r="AA1118" t="str">
            <v>SCHNEIDER STOCK</v>
          </cell>
        </row>
        <row r="1119">
          <cell r="A1119" t="str">
            <v>A9F44120</v>
          </cell>
          <cell r="B1119" t="str">
            <v>2CTI9 IC60N 1P 20A C MCB</v>
          </cell>
          <cell r="C1119">
            <v>0</v>
          </cell>
          <cell r="E1119" t="str">
            <v>PCS</v>
          </cell>
          <cell r="G1119" t="str">
            <v>musa</v>
          </cell>
          <cell r="AA1119" t="str">
            <v>SCHNEIDER STOCK</v>
          </cell>
        </row>
        <row r="1120">
          <cell r="A1120" t="str">
            <v>A9F44125</v>
          </cell>
          <cell r="B1120" t="str">
            <v>ACTI9 IC60N 1P 25A C MCB</v>
          </cell>
          <cell r="C1120">
            <v>0</v>
          </cell>
          <cell r="E1120" t="str">
            <v>PCS</v>
          </cell>
          <cell r="G1120" t="str">
            <v>musa</v>
          </cell>
          <cell r="AA1120" t="str">
            <v>SCHNEIDER STOCK</v>
          </cell>
        </row>
        <row r="1121">
          <cell r="A1121" t="str">
            <v>A9F44201</v>
          </cell>
          <cell r="B1121" t="str">
            <v>ACTI9 IC60N 2P 1A C MCB</v>
          </cell>
          <cell r="C1121">
            <v>18</v>
          </cell>
          <cell r="E1121" t="str">
            <v>PCS</v>
          </cell>
          <cell r="F1121" t="str">
            <v>217B,221A</v>
          </cell>
          <cell r="G1121" t="str">
            <v>musa</v>
          </cell>
          <cell r="AA1121" t="str">
            <v>SCHNEIDER STOCK</v>
          </cell>
        </row>
        <row r="1122">
          <cell r="A1122" t="str">
            <v>A9F44203</v>
          </cell>
          <cell r="B1122" t="str">
            <v>ACTI9 IC60N 2P 3A C MCB</v>
          </cell>
          <cell r="C1122">
            <v>42</v>
          </cell>
          <cell r="E1122" t="str">
            <v>PCS</v>
          </cell>
          <cell r="F1122" t="str">
            <v>217B</v>
          </cell>
          <cell r="G1122" t="str">
            <v>musa</v>
          </cell>
          <cell r="AA1122" t="str">
            <v>SCHNEIDER STOCK</v>
          </cell>
        </row>
        <row r="1123">
          <cell r="A1123" t="str">
            <v>A9F44204</v>
          </cell>
          <cell r="B1123" t="str">
            <v>ACTI9 IC60N 2P 4A C MCB</v>
          </cell>
          <cell r="C1123">
            <v>84</v>
          </cell>
          <cell r="E1123" t="str">
            <v>PCS</v>
          </cell>
          <cell r="F1123" t="str">
            <v>221A,221A,223B</v>
          </cell>
          <cell r="G1123" t="str">
            <v>musa</v>
          </cell>
          <cell r="AA1123" t="str">
            <v>SCHNEIDER STOCK</v>
          </cell>
        </row>
        <row r="1124">
          <cell r="A1124" t="str">
            <v>A9F44216</v>
          </cell>
          <cell r="B1124" t="str">
            <v>ACTI9 IC60N 2P 16A C MCB</v>
          </cell>
          <cell r="C1124">
            <v>163</v>
          </cell>
          <cell r="E1124" t="str">
            <v>PCS</v>
          </cell>
          <cell r="F1124" t="str">
            <v>219A,222A,224B</v>
          </cell>
          <cell r="G1124" t="str">
            <v>musa</v>
          </cell>
          <cell r="AA1124" t="str">
            <v>SCHNEIDER STOCK</v>
          </cell>
        </row>
        <row r="1125">
          <cell r="A1125" t="str">
            <v>A9F44432</v>
          </cell>
          <cell r="B1125" t="str">
            <v>ACTI9 IC60N 4P 32A C MCB</v>
          </cell>
          <cell r="C1125">
            <v>0</v>
          </cell>
          <cell r="E1125" t="str">
            <v>PCS</v>
          </cell>
          <cell r="G1125" t="str">
            <v>musa</v>
          </cell>
          <cell r="AA1125" t="str">
            <v>SCHNEIDER STOCK</v>
          </cell>
        </row>
        <row r="1126">
          <cell r="A1126" t="str">
            <v>A9F44463</v>
          </cell>
          <cell r="B1126" t="str">
            <v>ACTI9 IC60N 4P 63A C MCB</v>
          </cell>
          <cell r="C1126">
            <v>0</v>
          </cell>
          <cell r="E1126" t="str">
            <v>PCS</v>
          </cell>
          <cell r="G1126" t="str">
            <v>musa</v>
          </cell>
          <cell r="AA1126" t="str">
            <v>SCHNEIDER STOCK</v>
          </cell>
        </row>
        <row r="1127">
          <cell r="A1127" t="str">
            <v>A9N18369</v>
          </cell>
          <cell r="B1127" t="str">
            <v>A9N18369 1cti9 C120N MCB 3P C 125A 10000A 415V</v>
          </cell>
          <cell r="C1127">
            <v>16</v>
          </cell>
          <cell r="E1127" t="str">
            <v>PCS</v>
          </cell>
          <cell r="F1127" t="str">
            <v>220A,222A</v>
          </cell>
          <cell r="G1127" t="str">
            <v>musa</v>
          </cell>
          <cell r="AA1127" t="str">
            <v>SCHNEIDER STOCK</v>
          </cell>
        </row>
        <row r="1128">
          <cell r="A1128" t="str">
            <v>A9N18365</v>
          </cell>
          <cell r="B1128" t="str">
            <v>Acti9 C120N MCB 3P C 80A 10000A 415V</v>
          </cell>
          <cell r="C1128">
            <v>18</v>
          </cell>
          <cell r="E1128" t="str">
            <v>PCS</v>
          </cell>
          <cell r="F1128" t="str">
            <v>222A</v>
          </cell>
          <cell r="G1128" t="str">
            <v>musa</v>
          </cell>
          <cell r="AA1128" t="str">
            <v>SCHNEIDER STOCK</v>
          </cell>
        </row>
        <row r="1129">
          <cell r="A1129" t="str">
            <v>A9N18376</v>
          </cell>
          <cell r="B1129" t="str">
            <v>C120N 4P 125A C 10000A 415V MINIATURE CI</v>
          </cell>
          <cell r="C1129">
            <v>0</v>
          </cell>
          <cell r="E1129" t="str">
            <v>PCS</v>
          </cell>
          <cell r="F1129" t="str">
            <v>221B</v>
          </cell>
          <cell r="G1129" t="str">
            <v>musa</v>
          </cell>
          <cell r="AA1129" t="str">
            <v>SCHNEIDER STOCK</v>
          </cell>
        </row>
        <row r="1130">
          <cell r="A1130" t="str">
            <v>A9D11840</v>
          </cell>
          <cell r="B1130" t="str">
            <v>IC60H RCBO 1PPNS 40A C 30MA A 230V</v>
          </cell>
          <cell r="C1130">
            <v>0</v>
          </cell>
          <cell r="E1130" t="str">
            <v>PCS</v>
          </cell>
          <cell r="F1130" t="str">
            <v>223A</v>
          </cell>
          <cell r="G1130" t="str">
            <v>musa</v>
          </cell>
          <cell r="AA1130" t="str">
            <v>SCHNEIDER STOCK</v>
          </cell>
        </row>
        <row r="1131">
          <cell r="A1131" t="str">
            <v>A9R71225</v>
          </cell>
          <cell r="B1131" t="str">
            <v>CTI9 IID 2P 25A 30MA AC-TYPE RESIDUAL C</v>
          </cell>
          <cell r="C1131">
            <v>0</v>
          </cell>
          <cell r="E1131" t="str">
            <v>PCS</v>
          </cell>
          <cell r="G1131" t="str">
            <v>musa</v>
          </cell>
          <cell r="AA1131" t="str">
            <v>SCHNEIDER STOCK</v>
          </cell>
        </row>
        <row r="1132">
          <cell r="A1132" t="str">
            <v>A9R71263</v>
          </cell>
          <cell r="B1132" t="str">
            <v>ACTI9 IID 2P 63A 30MA AC-TYPE RESIDUAL C</v>
          </cell>
          <cell r="C1132">
            <v>7</v>
          </cell>
          <cell r="E1132" t="str">
            <v>PCS</v>
          </cell>
          <cell r="F1132" t="str">
            <v>222B</v>
          </cell>
          <cell r="G1132" t="str">
            <v>musa</v>
          </cell>
          <cell r="AA1132" t="str">
            <v>SCHNEIDER STOCK</v>
          </cell>
        </row>
        <row r="1133">
          <cell r="A1133" t="str">
            <v>A9R74225</v>
          </cell>
          <cell r="B1133" t="str">
            <v>ACTI9 IID 2P 25A 300MA AC-TYPE RESIDUAL</v>
          </cell>
          <cell r="C1133">
            <v>0</v>
          </cell>
          <cell r="E1133" t="str">
            <v>PCS</v>
          </cell>
          <cell r="G1133" t="str">
            <v>musa</v>
          </cell>
          <cell r="AA1133" t="str">
            <v>SCHNEIDER STOCK</v>
          </cell>
        </row>
        <row r="1134">
          <cell r="A1134" t="str">
            <v>A9R74240</v>
          </cell>
          <cell r="B1134" t="str">
            <v>ACTI9 IID 2P 40A 300MA AC-TYPE RESIDUAL</v>
          </cell>
          <cell r="C1134">
            <v>0</v>
          </cell>
          <cell r="E1134" t="str">
            <v>PCS</v>
          </cell>
          <cell r="G1134" t="str">
            <v>musa</v>
          </cell>
          <cell r="AA1134" t="str">
            <v>SCHNEIDER STOCK</v>
          </cell>
        </row>
        <row r="1135">
          <cell r="A1135" t="str">
            <v>A9R74425</v>
          </cell>
          <cell r="B1135" t="str">
            <v>ACTI9 IID 4P 25A 300MA AC-TYPE RESIDUAL</v>
          </cell>
          <cell r="C1135">
            <v>0</v>
          </cell>
          <cell r="E1135" t="str">
            <v>PCS</v>
          </cell>
          <cell r="G1135" t="str">
            <v>musa</v>
          </cell>
          <cell r="AA1135" t="str">
            <v>SCHNEIDER STOCK</v>
          </cell>
        </row>
        <row r="1136">
          <cell r="A1136" t="str">
            <v>A9R74440</v>
          </cell>
          <cell r="B1136" t="str">
            <v>ACTI9 IID 4P 40A 300MA AC-TYPE RESIDUAL</v>
          </cell>
          <cell r="C1136">
            <v>0</v>
          </cell>
          <cell r="E1136" t="str">
            <v>PCS</v>
          </cell>
          <cell r="G1136" t="str">
            <v>musa</v>
          </cell>
          <cell r="AA1136" t="str">
            <v>SCHNEIDER STOCK</v>
          </cell>
        </row>
        <row r="1137">
          <cell r="A1137" t="str">
            <v>A9A26904</v>
          </cell>
          <cell r="B1137" t="str">
            <v>Auxiliary contact,Acti9 A9A, iOF, 1 C/O</v>
          </cell>
          <cell r="C1137">
            <v>196</v>
          </cell>
          <cell r="E1137" t="str">
            <v>PCS</v>
          </cell>
          <cell r="F1137" t="str">
            <v>218B,224B</v>
          </cell>
          <cell r="G1137" t="str">
            <v>musa</v>
          </cell>
          <cell r="AA1137" t="str">
            <v>SCHNEIDER STOCK</v>
          </cell>
        </row>
        <row r="1138">
          <cell r="A1138" t="str">
            <v>A9A26909</v>
          </cell>
          <cell r="B1138" t="str">
            <v>Auxiliary contact, Acti9 A9A, iOF/SD+OF,</v>
          </cell>
          <cell r="C1138">
            <v>96</v>
          </cell>
          <cell r="E1138" t="str">
            <v>PCS</v>
          </cell>
          <cell r="F1138" t="str">
            <v>221B,218B</v>
          </cell>
          <cell r="G1138" t="str">
            <v>musa</v>
          </cell>
          <cell r="AA1138" t="str">
            <v>SCHNEIDER STOCK</v>
          </cell>
        </row>
        <row r="1139">
          <cell r="A1139" t="str">
            <v>A9A26907</v>
          </cell>
          <cell r="B1139" t="str">
            <v>Acti9 A9A iSD bottom wiring 0.1-6A aux</v>
          </cell>
          <cell r="C1139">
            <v>0</v>
          </cell>
          <cell r="E1139" t="str">
            <v>PCS</v>
          </cell>
          <cell r="G1139" t="str">
            <v>musa</v>
          </cell>
          <cell r="AA1139" t="str">
            <v>SCHNEIDER STOCK</v>
          </cell>
        </row>
        <row r="1140">
          <cell r="A1140" t="str">
            <v>A9N61522</v>
          </cell>
          <cell r="B1140" t="str">
            <v>CIRCUIT BREAKER C60H-DC 500VDC 2A 2P C</v>
          </cell>
          <cell r="C1140">
            <v>12</v>
          </cell>
          <cell r="E1140" t="str">
            <v>PCS</v>
          </cell>
          <cell r="F1140" t="str">
            <v>221B,218B</v>
          </cell>
          <cell r="G1140" t="str">
            <v>musa</v>
          </cell>
          <cell r="AA1140" t="str">
            <v>SCHNEIDER STOCK</v>
          </cell>
        </row>
        <row r="1141">
          <cell r="A1141" t="str">
            <v>A9N61524</v>
          </cell>
          <cell r="B1141" t="str">
            <v>C60H-DC 2P 4A C 500Vdc</v>
          </cell>
          <cell r="C1141">
            <v>0</v>
          </cell>
          <cell r="E1141" t="str">
            <v>PCS</v>
          </cell>
          <cell r="G1141" t="str">
            <v>musa</v>
          </cell>
          <cell r="AA1141" t="str">
            <v>SCHNEIDER STOCK</v>
          </cell>
        </row>
        <row r="1142">
          <cell r="A1142" t="str">
            <v>A9N61526</v>
          </cell>
          <cell r="B1142" t="str">
            <v>C60H-DC 2P 6A C 500Vdc</v>
          </cell>
          <cell r="C1142">
            <v>0</v>
          </cell>
          <cell r="E1142" t="str">
            <v>PCS</v>
          </cell>
          <cell r="G1142" t="str">
            <v>musa</v>
          </cell>
          <cell r="AA1142" t="str">
            <v>SCHNEIDER STOCK</v>
          </cell>
        </row>
        <row r="1143">
          <cell r="A1143" t="str">
            <v>A9N61528</v>
          </cell>
          <cell r="B1143" t="str">
            <v>C60H-DC 2P 10A C 500Vdc</v>
          </cell>
          <cell r="C1143">
            <v>4</v>
          </cell>
          <cell r="E1143" t="str">
            <v>PCS</v>
          </cell>
          <cell r="F1143" t="str">
            <v>221B</v>
          </cell>
          <cell r="G1143" t="str">
            <v>musa</v>
          </cell>
          <cell r="AA1143" t="str">
            <v>SCHNEIDER STOCK</v>
          </cell>
        </row>
        <row r="1144">
          <cell r="A1144" t="str">
            <v>A9C30811</v>
          </cell>
          <cell r="B1144" t="str">
            <v>CVS630F TM600D 3P3D; EasyPact CVS
circui</v>
          </cell>
          <cell r="C1144">
            <v>0</v>
          </cell>
          <cell r="E1144" t="str">
            <v>PCS</v>
          </cell>
          <cell r="G1144" t="str">
            <v>musa</v>
          </cell>
          <cell r="AA1144" t="str">
            <v>SCHNEIDER STOCK</v>
          </cell>
        </row>
        <row r="1145">
          <cell r="A1145" t="str">
            <v>DSP1ROW8</v>
          </cell>
          <cell r="B1145" t="str">
            <v>DISBO 3P 48W NS 100A FLAT FLUSH</v>
          </cell>
          <cell r="C1145">
            <v>377</v>
          </cell>
          <cell r="E1145" t="str">
            <v>PCS</v>
          </cell>
          <cell r="G1145" t="str">
            <v>musa</v>
          </cell>
          <cell r="AA1145" t="str">
            <v>SCHNEIDER STOCK</v>
          </cell>
        </row>
        <row r="1146">
          <cell r="A1146" t="str">
            <v>LVAF6P03620AK</v>
          </cell>
          <cell r="B1146" t="str">
            <v>VarSet capacitor bank Auto 500kvar DR3,8</v>
          </cell>
          <cell r="C1146">
            <v>0</v>
          </cell>
          <cell r="E1146" t="str">
            <v>PCS</v>
          </cell>
          <cell r="G1146" t="str">
            <v>musa</v>
          </cell>
          <cell r="AA1146" t="str">
            <v>SCHNEIDER STOCK</v>
          </cell>
        </row>
        <row r="1147">
          <cell r="A1147" t="str">
            <v>AP8760</v>
          </cell>
          <cell r="B1147" t="str">
            <v>Power Cord, Locking C19 to C20, 3.0m</v>
          </cell>
          <cell r="C1147">
            <v>15</v>
          </cell>
          <cell r="E1147" t="str">
            <v>PCS</v>
          </cell>
          <cell r="F1147" t="str">
            <v>243B</v>
          </cell>
          <cell r="G1147" t="str">
            <v>musa</v>
          </cell>
          <cell r="AA1147" t="str">
            <v>SCHNEIDER STOCK</v>
          </cell>
        </row>
        <row r="1148">
          <cell r="A1148" t="str">
            <v>AR7580A</v>
          </cell>
          <cell r="B1148" t="str">
            <v>Vertical Cable Manager for NetShelter SX</v>
          </cell>
          <cell r="C1148">
            <v>68</v>
          </cell>
          <cell r="E1148" t="str">
            <v>PCS</v>
          </cell>
          <cell r="F1148" t="str">
            <v>207C</v>
          </cell>
          <cell r="G1148" t="str">
            <v>musa</v>
          </cell>
          <cell r="AA1148" t="str">
            <v>SCHNEIDER STOCK</v>
          </cell>
        </row>
        <row r="1149">
          <cell r="A1149" t="str">
            <v>E3MUPS60KHBS</v>
          </cell>
          <cell r="B1149" t="str">
            <v>Easy UPS 3M 60kVA 400V 3:3 UPS for inter</v>
          </cell>
          <cell r="C1149">
            <v>7</v>
          </cell>
          <cell r="E1149" t="str">
            <v>PCS</v>
          </cell>
          <cell r="G1149" t="str">
            <v>musa</v>
          </cell>
          <cell r="AA1149" t="str">
            <v>SCHNEIDER STOCK</v>
          </cell>
        </row>
        <row r="1150">
          <cell r="A1150" t="str">
            <v>ES 42-12</v>
          </cell>
          <cell r="B1150" t="str">
            <v>EnerRocket SMF VRLA Rechargeable Battery</v>
          </cell>
          <cell r="C1150">
            <v>0</v>
          </cell>
          <cell r="E1150" t="str">
            <v>PCS</v>
          </cell>
          <cell r="G1150" t="str">
            <v>musa</v>
          </cell>
          <cell r="AA1150" t="str">
            <v>SCHNEIDER STOCK</v>
          </cell>
        </row>
        <row r="1151">
          <cell r="A1151" t="str">
            <v>BATTERY BREAKER</v>
          </cell>
          <cell r="B1151" t="str">
            <v>ABB Breaker 80 or 100 A rating. 3 poles</v>
          </cell>
          <cell r="C1151">
            <v>0</v>
          </cell>
          <cell r="E1151" t="str">
            <v>PCS</v>
          </cell>
          <cell r="G1151" t="str">
            <v>musa</v>
          </cell>
          <cell r="AA1151" t="str">
            <v>SCHNEIDER STOCK</v>
          </cell>
        </row>
        <row r="1152">
          <cell r="A1152" t="str">
            <v>GVSOPT006</v>
          </cell>
          <cell r="B1152" t="str">
            <v>Galaxy VS Parallel Communications Kit</v>
          </cell>
          <cell r="C1152">
            <v>0</v>
          </cell>
          <cell r="E1152" t="str">
            <v>PCS</v>
          </cell>
          <cell r="G1152" t="str">
            <v>musa</v>
          </cell>
          <cell r="AA1152" t="str">
            <v>SCHNEIDER STOCK</v>
          </cell>
        </row>
        <row r="1153">
          <cell r="A1153" t="str">
            <v>APDU9959EU3</v>
          </cell>
          <cell r="B1153" t="str">
            <v>APC Rack POU 9000 Switched, ZeroU, 16A,</v>
          </cell>
          <cell r="C1153">
            <v>0</v>
          </cell>
          <cell r="E1153" t="str">
            <v>PCS</v>
          </cell>
          <cell r="G1153" t="str">
            <v>musa</v>
          </cell>
          <cell r="AA1153" t="str">
            <v>SCHNEIDER STOCK</v>
          </cell>
        </row>
        <row r="1154">
          <cell r="A1154" t="str">
            <v>AR8105BLK</v>
          </cell>
          <cell r="B1154" t="str">
            <v>Fixed Shelf - 50lbs/23kg, Black</v>
          </cell>
          <cell r="C1154">
            <v>1</v>
          </cell>
          <cell r="E1154" t="str">
            <v>PCS</v>
          </cell>
          <cell r="F1154" t="str">
            <v>warehouse 3 Zone B</v>
          </cell>
          <cell r="G1154" t="str">
            <v>musa</v>
          </cell>
          <cell r="AA1154" t="str">
            <v>SCHNEIDER STOCK</v>
          </cell>
        </row>
        <row r="1155">
          <cell r="A1155" t="str">
            <v>QXFMR-QPVI22396-99</v>
          </cell>
          <cell r="B1155" t="str">
            <v>PRODUCT 3RD PARTY HARDWARE OTHER TFO BCV</v>
          </cell>
          <cell r="C1155">
            <v>0</v>
          </cell>
          <cell r="E1155" t="str">
            <v>PCS</v>
          </cell>
          <cell r="G1155" t="str">
            <v>musa</v>
          </cell>
          <cell r="AA1155" t="str">
            <v>SCHNEIDER STOCK</v>
          </cell>
        </row>
        <row r="1156">
          <cell r="A1156" t="str">
            <v>GVSBATOGNB</v>
          </cell>
          <cell r="B1156" t="str">
            <v>Galaxy VS Specific EXIDE backup time</v>
          </cell>
          <cell r="C1156">
            <v>0</v>
          </cell>
          <cell r="E1156" t="str">
            <v>PCS</v>
          </cell>
          <cell r="G1156" t="str">
            <v>musa</v>
          </cell>
          <cell r="AA1156" t="str">
            <v>SCHNEIDER STOCK</v>
          </cell>
        </row>
        <row r="1157">
          <cell r="A1157" t="str">
            <v>QBATT-QRRA08634-00</v>
          </cell>
          <cell r="B1157" t="str">
            <v>PRODUCT PREFAB GENERIC NON ISO 45 BD4 L3 80 KW 8 RACKS</v>
          </cell>
          <cell r="C1157">
            <v>0</v>
          </cell>
          <cell r="E1157" t="str">
            <v>PCS 235B</v>
          </cell>
          <cell r="G1157" t="str">
            <v>musa</v>
          </cell>
          <cell r="AA1157" t="str">
            <v>SCHNEIDER STOCK</v>
          </cell>
        </row>
        <row r="1158">
          <cell r="A1158" t="str">
            <v>A9H318MEZ200FD</v>
          </cell>
          <cell r="B1158" t="str">
            <v>DISBO 3P 18W EASYPACT250 200A FLAT FLUSH</v>
          </cell>
          <cell r="C1158">
            <v>45</v>
          </cell>
          <cell r="E1158" t="str">
            <v>PCS</v>
          </cell>
          <cell r="F1158" t="str">
            <v>236C,415B,416B</v>
          </cell>
          <cell r="G1158" t="str">
            <v>musa</v>
          </cell>
          <cell r="AA1158" t="str">
            <v>SCHNEIDER STOCK</v>
          </cell>
        </row>
        <row r="1159">
          <cell r="A1159" t="str">
            <v>RES312EZ60</v>
          </cell>
          <cell r="B1159" t="str">
            <v>EASY9 RESBO DB 12 WAYS EASYPACT 60A</v>
          </cell>
          <cell r="C1159">
            <v>0</v>
          </cell>
          <cell r="E1159" t="str">
            <v>PCS</v>
          </cell>
          <cell r="G1159" t="str">
            <v>musa</v>
          </cell>
          <cell r="AA1159" t="str">
            <v>SCHNEIDER STOCK</v>
          </cell>
        </row>
        <row r="1160">
          <cell r="A1160" t="str">
            <v>A9H336MEZ200FD</v>
          </cell>
          <cell r="B1160" t="str">
            <v>DISBO 3P 36W EASYPACT250 200A FLAT FLUSH</v>
          </cell>
          <cell r="C1160">
            <v>40</v>
          </cell>
          <cell r="E1160" t="str">
            <v>PCS</v>
          </cell>
          <cell r="F1160" t="str">
            <v>209A,212A,208B,212B,213B</v>
          </cell>
          <cell r="G1160" t="str">
            <v>musa</v>
          </cell>
          <cell r="AA1160" t="str">
            <v>SCHNEIDER STOCK</v>
          </cell>
        </row>
        <row r="1161">
          <cell r="A1161" t="str">
            <v>RES336EZ150</v>
          </cell>
          <cell r="B1161" t="str">
            <v>RESBO, 3 PHASE, 36 WAY 150A, FLUSH</v>
          </cell>
          <cell r="C1161">
            <v>0</v>
          </cell>
          <cell r="E1161" t="str">
            <v>PCS</v>
          </cell>
          <cell r="F1161" t="str">
            <v>208A,217C,412B,452C</v>
          </cell>
          <cell r="G1161" t="str">
            <v>musa</v>
          </cell>
          <cell r="AA1161" t="str">
            <v>SCHNEIDER STOCK</v>
          </cell>
        </row>
        <row r="1162">
          <cell r="A1162" t="str">
            <v>RES330EZ150</v>
          </cell>
          <cell r="B1162" t="str">
            <v>RESBO, 3 PHASE, 30 WAY 150A, FLUSH</v>
          </cell>
          <cell r="C1162">
            <v>21</v>
          </cell>
          <cell r="E1162" t="str">
            <v>PCS</v>
          </cell>
          <cell r="F1162" t="str">
            <v>209B,236C,416B</v>
          </cell>
          <cell r="G1162" t="str">
            <v>musa</v>
          </cell>
          <cell r="AA1162" t="str">
            <v>SCHNEIDER STOCK</v>
          </cell>
        </row>
        <row r="1163">
          <cell r="A1163" t="str">
            <v>RES324EZ150</v>
          </cell>
          <cell r="B1163" t="str">
            <v>RESBO, 3 PHASE, 24 WAY 150A, FLUSH</v>
          </cell>
          <cell r="C1163">
            <v>10</v>
          </cell>
          <cell r="E1163" t="str">
            <v>PCS</v>
          </cell>
          <cell r="F1163" t="str">
            <v>216C,416B</v>
          </cell>
          <cell r="G1163" t="str">
            <v>musa</v>
          </cell>
          <cell r="AA1163" t="str">
            <v>SCHNEIDER STOCK</v>
          </cell>
        </row>
        <row r="1164">
          <cell r="A1164" t="str">
            <v>RES318EZ150</v>
          </cell>
          <cell r="B1164" t="str">
            <v>RESBO, 3 PHASE, 18 WAY 150A, FLUSH</v>
          </cell>
          <cell r="C1164">
            <v>59</v>
          </cell>
          <cell r="E1164" t="str">
            <v>PCS</v>
          </cell>
          <cell r="F1164" t="str">
            <v>217B,218B,220C,415B,420B</v>
          </cell>
          <cell r="G1164" t="str">
            <v>musa</v>
          </cell>
          <cell r="AA1164" t="str">
            <v>SCHNEIDER STOCK</v>
          </cell>
        </row>
        <row r="1165">
          <cell r="A1165" t="str">
            <v>LV510809</v>
          </cell>
          <cell r="B1165" t="str">
            <v>CVS100F TM100D 3P3D; EasyPact CVS circui</v>
          </cell>
          <cell r="C1165">
            <v>0</v>
          </cell>
          <cell r="E1165" t="str">
            <v>PCS</v>
          </cell>
          <cell r="G1165" t="str">
            <v>musa</v>
          </cell>
          <cell r="AA1165" t="str">
            <v>SCHNEIDER STOCK</v>
          </cell>
        </row>
        <row r="1166">
          <cell r="A1166" t="str">
            <v>LV516622</v>
          </cell>
          <cell r="B1166" t="str">
            <v>CVS160B TM125D 3P3D; EasyPact CVS circui</v>
          </cell>
          <cell r="C1166">
            <v>0</v>
          </cell>
          <cell r="E1166" t="str">
            <v>PCS</v>
          </cell>
          <cell r="G1166" t="str">
            <v>musa</v>
          </cell>
          <cell r="AA1166" t="str">
            <v>SCHNEIDER STOCK</v>
          </cell>
        </row>
        <row r="1167">
          <cell r="A1167" t="str">
            <v>LV516638</v>
          </cell>
          <cell r="B1167" t="str">
            <v>CVS160F TM160D 3P3D; EasyPact CVS circui</v>
          </cell>
          <cell r="C1167">
            <v>0</v>
          </cell>
          <cell r="E1167" t="str">
            <v>PCS</v>
          </cell>
          <cell r="G1167" t="str">
            <v>musa</v>
          </cell>
          <cell r="AA1167" t="str">
            <v>SCHNEIDER STOCK</v>
          </cell>
        </row>
        <row r="1168">
          <cell r="A1168" t="str">
            <v>LV510775</v>
          </cell>
          <cell r="B1168" t="str">
            <v>CVS100B TM63D 3P3D; EasyPact CVS circuit</v>
          </cell>
          <cell r="C1168">
            <v>0</v>
          </cell>
          <cell r="E1168" t="str">
            <v>PCS</v>
          </cell>
          <cell r="G1168" t="str">
            <v>musa</v>
          </cell>
          <cell r="AA1168" t="str">
            <v>SCHNEIDER STOCK</v>
          </cell>
        </row>
        <row r="1169">
          <cell r="A1169" t="str">
            <v>LV510772</v>
          </cell>
          <cell r="B1169" t="str">
            <v>CVS100B TM32D 3P3D; EasyPact CVS circuit</v>
          </cell>
          <cell r="C1169">
            <v>0</v>
          </cell>
          <cell r="E1169" t="str">
            <v>PCS</v>
          </cell>
          <cell r="F1169" t="str">
            <v>211B,223A</v>
          </cell>
          <cell r="G1169" t="str">
            <v>musa</v>
          </cell>
          <cell r="AA1169" t="str">
            <v>SCHNEIDER STOCK</v>
          </cell>
        </row>
        <row r="1170">
          <cell r="A1170" t="str">
            <v>LV510774</v>
          </cell>
          <cell r="B1170" t="str">
            <v>CVS100B TM50D 3P3D; EasyPact CVS circuit</v>
          </cell>
          <cell r="C1170">
            <v>15</v>
          </cell>
          <cell r="E1170" t="str">
            <v>PCS</v>
          </cell>
          <cell r="F1170" t="str">
            <v>219A,211B</v>
          </cell>
          <cell r="G1170" t="str">
            <v>musa</v>
          </cell>
          <cell r="AA1170" t="str">
            <v>SCHNEIDER STOCK</v>
          </cell>
        </row>
        <row r="1171">
          <cell r="A1171" t="str">
            <v>LV510773</v>
          </cell>
          <cell r="B1171" t="str">
            <v>CVS100B TM40D 3P3D; EasyPact CVS circuit</v>
          </cell>
          <cell r="C1171">
            <v>0</v>
          </cell>
          <cell r="E1171" t="str">
            <v>PCS</v>
          </cell>
          <cell r="F1171" t="str">
            <v>211B,223B</v>
          </cell>
          <cell r="G1171" t="str">
            <v>musa</v>
          </cell>
          <cell r="AA1171" t="str">
            <v>SCHNEIDER STOCK</v>
          </cell>
        </row>
        <row r="1172">
          <cell r="A1172" t="str">
            <v>LV510804</v>
          </cell>
          <cell r="B1172" t="str">
            <v>CVS100F TM32D 3P3D; EasyPact CVS circuit</v>
          </cell>
          <cell r="C1172">
            <v>30</v>
          </cell>
          <cell r="E1172" t="str">
            <v>PCS</v>
          </cell>
          <cell r="F1172" t="str">
            <v>219A,211B,211B,211B,211B</v>
          </cell>
          <cell r="G1172" t="str">
            <v>musa</v>
          </cell>
          <cell r="AA1172" t="str">
            <v>SCHNEIDER STOCK</v>
          </cell>
        </row>
        <row r="1173">
          <cell r="A1173" t="str">
            <v>LV540505</v>
          </cell>
          <cell r="B1173" t="str">
            <v>CVS250F TM250D 4P4D; EasyPact CVS circui</v>
          </cell>
          <cell r="C1173">
            <v>0</v>
          </cell>
          <cell r="E1173" t="str">
            <v>PCS</v>
          </cell>
          <cell r="G1173" t="str">
            <v>musa</v>
          </cell>
          <cell r="AA1173" t="str">
            <v>SCHNEIDER STOCK</v>
          </cell>
        </row>
        <row r="1174">
          <cell r="A1174" t="str">
            <v>LV563505</v>
          </cell>
          <cell r="B1174" t="str">
            <v>CVS400F TM400D 3P3D; EasyPact CVS circui</v>
          </cell>
          <cell r="C1174">
            <v>19</v>
          </cell>
          <cell r="E1174" t="str">
            <v>PCS</v>
          </cell>
          <cell r="F1174" t="str">
            <v>217A</v>
          </cell>
          <cell r="G1174" t="str">
            <v>musa</v>
          </cell>
          <cell r="AA1174" t="str">
            <v>SCHNEIDER STOCK</v>
          </cell>
        </row>
        <row r="1175">
          <cell r="A1175" t="str">
            <v>LV525622</v>
          </cell>
          <cell r="B1175" t="str">
            <v>CVS250F TM200D 3P3D; EasyPact CVS circui</v>
          </cell>
          <cell r="C1175">
            <v>62</v>
          </cell>
          <cell r="E1175" t="str">
            <v>PCS</v>
          </cell>
          <cell r="F1175" t="str">
            <v>219A</v>
          </cell>
          <cell r="G1175" t="str">
            <v>musa</v>
          </cell>
          <cell r="AA1175" t="str">
            <v>SCHNEIDER STOCK</v>
          </cell>
        </row>
        <row r="1176">
          <cell r="A1176" t="str">
            <v>LV510778</v>
          </cell>
          <cell r="B1176" t="str">
            <v>CVS100B TM80D 3P3D; EasyPact CVS circuit</v>
          </cell>
          <cell r="C1176">
            <v>9</v>
          </cell>
          <cell r="E1176" t="str">
            <v>PCS</v>
          </cell>
          <cell r="F1176" t="str">
            <v>219A</v>
          </cell>
          <cell r="G1176" t="str">
            <v>musa</v>
          </cell>
          <cell r="AA1176" t="str">
            <v>SCHNEIDER STOCK</v>
          </cell>
        </row>
        <row r="1177">
          <cell r="A1177" t="str">
            <v>LV516637</v>
          </cell>
          <cell r="B1177" t="str">
            <v>CVS160F TM125D 3P3D; EasyPact CVS circui</v>
          </cell>
          <cell r="C1177">
            <v>14</v>
          </cell>
          <cell r="E1177" t="str">
            <v>PCS</v>
          </cell>
          <cell r="F1177" t="str">
            <v>219A</v>
          </cell>
          <cell r="G1177" t="str">
            <v>musa</v>
          </cell>
          <cell r="AA1177" t="str">
            <v>SCHNEIDER STOCK</v>
          </cell>
        </row>
        <row r="1178">
          <cell r="A1178" t="str">
            <v>LV525633</v>
          </cell>
          <cell r="B1178" t="str">
            <v>CVS250F TM200D 3P3D; EasyPact CVS circui</v>
          </cell>
          <cell r="C1178">
            <v>5</v>
          </cell>
          <cell r="E1178" t="str">
            <v>PCS</v>
          </cell>
          <cell r="F1178" t="str">
            <v>218B</v>
          </cell>
          <cell r="G1178" t="str">
            <v>musa</v>
          </cell>
          <cell r="AA1178" t="str">
            <v>SCHNEIDER STOCK</v>
          </cell>
        </row>
        <row r="1179">
          <cell r="A1179" t="str">
            <v>EZC100N3050</v>
          </cell>
          <cell r="B1179" t="str">
            <v>C60H-DC 2P 10A C</v>
          </cell>
          <cell r="C1179">
            <v>25</v>
          </cell>
          <cell r="E1179" t="str">
            <v>PCS</v>
          </cell>
          <cell r="G1179" t="str">
            <v>musa</v>
          </cell>
          <cell r="AA1179" t="str">
            <v>SCHNEIDER STOCK</v>
          </cell>
        </row>
        <row r="1180">
          <cell r="A1180" t="str">
            <v>MVS25N3NF2L</v>
          </cell>
          <cell r="B1180" t="str">
            <v>"EP MVS CB 1250A 50kA 3P MF ET2 fixed ma</v>
          </cell>
          <cell r="C1180">
            <v>0</v>
          </cell>
          <cell r="E1180" t="str">
            <v>PCS</v>
          </cell>
          <cell r="F1180" t="str">
            <v>260C</v>
          </cell>
          <cell r="G1180" t="str">
            <v>musa</v>
          </cell>
          <cell r="AA1180" t="str">
            <v>SCHNEIDER STOCK</v>
          </cell>
        </row>
        <row r="1181">
          <cell r="A1181" t="str">
            <v>MVS20N3NF2L</v>
          </cell>
          <cell r="B1181" t="str">
            <v>EP MVS CB 1250A 50kA 3P EF 240VAC ET2 fi</v>
          </cell>
          <cell r="C1181">
            <v>0</v>
          </cell>
          <cell r="E1181" t="str">
            <v>PCS</v>
          </cell>
          <cell r="G1181" t="str">
            <v>musa</v>
          </cell>
          <cell r="AA1181" t="str">
            <v>SCHNEIDER STOCK</v>
          </cell>
        </row>
        <row r="1182">
          <cell r="A1182" t="str">
            <v>MVS16N3NF2L</v>
          </cell>
          <cell r="B1182" t="str">
            <v>EP MVS CB 800A 50kA 3P EF 240VAC ET2 fix</v>
          </cell>
          <cell r="C1182">
            <v>5</v>
          </cell>
          <cell r="E1182" t="str">
            <v>PCS</v>
          </cell>
          <cell r="F1182" t="str">
            <v>207A</v>
          </cell>
          <cell r="G1182" t="str">
            <v>musa</v>
          </cell>
          <cell r="AA1182" t="str">
            <v>SCHNEIDER STOCK</v>
          </cell>
        </row>
        <row r="1183">
          <cell r="A1183" t="str">
            <v>MVS12N3NF2L</v>
          </cell>
          <cell r="B1183" t="str">
            <v>EP MVS CB 1000A 50kA 3P EF 240VAC ET2 fi</v>
          </cell>
          <cell r="C1183">
            <v>3</v>
          </cell>
          <cell r="E1183" t="str">
            <v>PCS</v>
          </cell>
          <cell r="F1183" t="str">
            <v>207A</v>
          </cell>
          <cell r="G1183" t="str">
            <v>musa</v>
          </cell>
          <cell r="AA1183" t="str">
            <v>SCHNEIDER STOCK</v>
          </cell>
        </row>
        <row r="1184">
          <cell r="A1184" t="str">
            <v>MVS10N3NF2L</v>
          </cell>
          <cell r="B1184" t="str">
            <v>CVS400F TM400D 4P4D; EasyPact CVS circui</v>
          </cell>
          <cell r="C1184">
            <v>1</v>
          </cell>
          <cell r="E1184" t="str">
            <v>PCS</v>
          </cell>
          <cell r="F1184" t="str">
            <v>260C</v>
          </cell>
          <cell r="G1184" t="str">
            <v>musa</v>
          </cell>
          <cell r="AA1184" t="str">
            <v>SCHNEIDER STOCK</v>
          </cell>
        </row>
        <row r="1185">
          <cell r="A1185" t="str">
            <v>MVS32N3NF2L</v>
          </cell>
          <cell r="B1185" t="str">
            <v>EP MVS CB 2000A 50kA 3P EF 240VAC ET2 fi</v>
          </cell>
          <cell r="C1185">
            <v>2</v>
          </cell>
          <cell r="E1185" t="str">
            <v>PCS</v>
          </cell>
          <cell r="F1185" t="str">
            <v>265B</v>
          </cell>
          <cell r="G1185" t="str">
            <v>musa</v>
          </cell>
          <cell r="AA1185" t="str">
            <v>SCHNEIDER STOCK</v>
          </cell>
        </row>
        <row r="1186">
          <cell r="A1186" t="str">
            <v>MVS08N3NF2L</v>
          </cell>
          <cell r="B1186" t="str">
            <v>cvs630f ets 2.3 630a 3p3d</v>
          </cell>
          <cell r="C1186">
            <v>1</v>
          </cell>
          <cell r="E1186" t="str">
            <v>PCS</v>
          </cell>
          <cell r="F1186" t="str">
            <v>279B,279B</v>
          </cell>
          <cell r="G1186" t="str">
            <v>musa</v>
          </cell>
          <cell r="AA1186" t="str">
            <v>SCHNEIDER STOCK</v>
          </cell>
        </row>
        <row r="1187">
          <cell r="A1187" t="str">
            <v>LV510771</v>
          </cell>
          <cell r="B1187" t="str">
            <v>CVS100B TM25D 3P3D; EasyPact CVS circuit</v>
          </cell>
          <cell r="C1187">
            <v>0</v>
          </cell>
          <cell r="E1187" t="str">
            <v>PCS</v>
          </cell>
          <cell r="G1187" t="str">
            <v>musa</v>
          </cell>
          <cell r="AA1187" t="str">
            <v>SCHNEIDER STOCK</v>
          </cell>
        </row>
        <row r="1188">
          <cell r="A1188" t="str">
            <v>LV510806</v>
          </cell>
          <cell r="B1188" t="str">
            <v>CVS100F TM50D 3P3D; EasyPact CVS circuit</v>
          </cell>
          <cell r="C1188">
            <v>0</v>
          </cell>
          <cell r="E1188" t="str">
            <v>PCS</v>
          </cell>
          <cell r="G1188" t="str">
            <v>musa</v>
          </cell>
          <cell r="AA1188" t="str">
            <v>SCHNEIDER STOCK</v>
          </cell>
        </row>
        <row r="1189">
          <cell r="A1189" t="str">
            <v>EZC100N3060</v>
          </cell>
          <cell r="B1189" t="str">
            <v>MG EZC100 N 15kA 3P/3T 60A</v>
          </cell>
          <cell r="C1189">
            <v>0</v>
          </cell>
          <cell r="E1189" t="str">
            <v>PCS</v>
          </cell>
          <cell r="F1189" t="str">
            <v>223A</v>
          </cell>
          <cell r="G1189" t="str">
            <v>musa</v>
          </cell>
          <cell r="AA1189" t="str">
            <v>SCHNEIDER STOCK</v>
          </cell>
        </row>
        <row r="1190">
          <cell r="A1190" t="str">
            <v>EZC250N3200</v>
          </cell>
          <cell r="B1190" t="str">
            <v>MG EZC250 25KA 415V 3P 200A</v>
          </cell>
          <cell r="C1190">
            <v>0</v>
          </cell>
          <cell r="E1190" t="str">
            <v>PCS</v>
          </cell>
          <cell r="F1190" t="str">
            <v>224B</v>
          </cell>
          <cell r="G1190" t="str">
            <v>musa</v>
          </cell>
          <cell r="AA1190" t="str">
            <v>SCHNEIDER STOCK</v>
          </cell>
        </row>
        <row r="1191">
          <cell r="A1191" t="str">
            <v>EZC100N3100</v>
          </cell>
          <cell r="B1191" t="str">
            <v>MG EZC100 N 15kA 3P/3T 100A</v>
          </cell>
          <cell r="C1191">
            <v>0</v>
          </cell>
          <cell r="E1191" t="str">
            <v>PCS</v>
          </cell>
          <cell r="G1191" t="str">
            <v>musa</v>
          </cell>
          <cell r="AA1191" t="str">
            <v>SCHNEIDER STOCK</v>
          </cell>
        </row>
        <row r="1192">
          <cell r="A1192" t="str">
            <v>EZC250N3160</v>
          </cell>
          <cell r="B1192" t="str">
            <v>EZC250N3160 3P 25 kA</v>
          </cell>
          <cell r="C1192">
            <v>31</v>
          </cell>
          <cell r="E1192" t="str">
            <v>PCS</v>
          </cell>
          <cell r="F1192" t="str">
            <v>218A</v>
          </cell>
          <cell r="G1192" t="str">
            <v>musa</v>
          </cell>
          <cell r="AA1192" t="str">
            <v>SCHNEIDER STOCK</v>
          </cell>
        </row>
        <row r="1193">
          <cell r="A1193" t="str">
            <v>EZC100N3040</v>
          </cell>
          <cell r="B1193" t="str">
            <v>MG EZC100 N 15kA 3P/3T 40A</v>
          </cell>
          <cell r="C1193">
            <v>48</v>
          </cell>
          <cell r="E1193" t="str">
            <v>PCS</v>
          </cell>
          <cell r="F1193" t="str">
            <v>218A,225B,225B</v>
          </cell>
          <cell r="G1193" t="str">
            <v>musa</v>
          </cell>
          <cell r="AA1193" t="str">
            <v>SCHNEIDER STOCK</v>
          </cell>
        </row>
        <row r="1194">
          <cell r="A1194" t="str">
            <v>EZC250N3250</v>
          </cell>
          <cell r="B1194" t="str">
            <v>MG EZC250 25KA 415V 3P 250A</v>
          </cell>
          <cell r="C1194">
            <v>10</v>
          </cell>
          <cell r="E1194" t="str">
            <v>PCS</v>
          </cell>
          <cell r="F1194" t="str">
            <v>218A,225B</v>
          </cell>
          <cell r="G1194" t="str">
            <v>musa</v>
          </cell>
          <cell r="AA1194" t="str">
            <v>SCHNEIDER STOCK</v>
          </cell>
        </row>
        <row r="1195">
          <cell r="A1195" t="str">
            <v>EZC250N3125</v>
          </cell>
          <cell r="B1195" t="str">
            <v>EZC250N3125 3P 25 kA</v>
          </cell>
          <cell r="C1195">
            <v>36</v>
          </cell>
          <cell r="E1195" t="str">
            <v>PCS</v>
          </cell>
          <cell r="F1195" t="str">
            <v>220A,225B</v>
          </cell>
          <cell r="G1195" t="str">
            <v>musa</v>
          </cell>
          <cell r="AA1195" t="str">
            <v>SCHNEIDER STOCK</v>
          </cell>
        </row>
        <row r="1196">
          <cell r="A1196" t="str">
            <v>EZC100F3100</v>
          </cell>
          <cell r="B1196" t="str">
            <v>MG EZC100 F 10kA 3P/3T 100A</v>
          </cell>
          <cell r="C1196">
            <v>150</v>
          </cell>
          <cell r="E1196" t="str">
            <v>PCS</v>
          </cell>
          <cell r="F1196" t="str">
            <v>214A,224A</v>
          </cell>
          <cell r="G1196" t="str">
            <v>musa</v>
          </cell>
          <cell r="AA1196" t="str">
            <v>SCHNEIDER STOCK</v>
          </cell>
        </row>
        <row r="1197">
          <cell r="A1197" t="str">
            <v>EZC250N3150</v>
          </cell>
          <cell r="B1197" t="str">
            <v>MG EZC250 25KA 415V 3P 150A</v>
          </cell>
          <cell r="C1197">
            <v>0</v>
          </cell>
          <cell r="E1197" t="str">
            <v>PCS</v>
          </cell>
          <cell r="G1197" t="str">
            <v>musa</v>
          </cell>
          <cell r="AA1197" t="str">
            <v>SCHNEIDER STOCK</v>
          </cell>
        </row>
        <row r="1198">
          <cell r="A1198" t="str">
            <v>EZC100N3080</v>
          </cell>
          <cell r="B1198" t="str">
            <v>MG EZC100 N 15kA 3P/3T 80A</v>
          </cell>
          <cell r="C1198">
            <v>0</v>
          </cell>
          <cell r="E1198" t="str">
            <v>PCS</v>
          </cell>
          <cell r="F1198" t="str">
            <v>220B</v>
          </cell>
          <cell r="G1198" t="str">
            <v>musa</v>
          </cell>
          <cell r="AA1198" t="str">
            <v>SCHNEIDER STOCK</v>
          </cell>
        </row>
        <row r="1199">
          <cell r="A1199" t="str">
            <v>EZC100N3030</v>
          </cell>
          <cell r="B1199" t="str">
            <v>MG EZC100 N 15kA 3P/3T 30A</v>
          </cell>
          <cell r="C1199">
            <v>31</v>
          </cell>
          <cell r="E1199" t="str">
            <v>PCS</v>
          </cell>
          <cell r="F1199" t="str">
            <v>221B,222A</v>
          </cell>
          <cell r="G1199" t="str">
            <v>musa</v>
          </cell>
          <cell r="AA1199" t="str">
            <v>SCHNEIDER STOCK</v>
          </cell>
        </row>
        <row r="1200">
          <cell r="A1200" t="str">
            <v>EZC100F3060</v>
          </cell>
          <cell r="B1200" t="str">
            <v>MG EZC100 F 10kA 3P/3T 60A</v>
          </cell>
          <cell r="C1200">
            <v>75</v>
          </cell>
          <cell r="E1200" t="str">
            <v>PCS</v>
          </cell>
          <cell r="F1200" t="str">
            <v>219A</v>
          </cell>
          <cell r="G1200" t="str">
            <v>musa</v>
          </cell>
          <cell r="AA1200" t="str">
            <v>SCHNEIDER STOCK</v>
          </cell>
        </row>
        <row r="1201">
          <cell r="A1201" t="str">
            <v>PDM3516IEC-440</v>
          </cell>
          <cell r="B1201" t="str">
            <v>APC IT Power Distribution Module 3 pole 5 wire</v>
          </cell>
          <cell r="C1201">
            <v>0</v>
          </cell>
          <cell r="E1201" t="str">
            <v>PCS</v>
          </cell>
          <cell r="G1201" t="str">
            <v>musa</v>
          </cell>
          <cell r="AA1201" t="str">
            <v>SCHNEIDER STOCK</v>
          </cell>
        </row>
        <row r="1202">
          <cell r="A1202" t="str">
            <v>PDM3516IEC-620</v>
          </cell>
          <cell r="B1202" t="str">
            <v>APC IT Power Distribution Module 3 Pole 5 Wire 16A IEC309 620cm</v>
          </cell>
          <cell r="C1202">
            <v>0</v>
          </cell>
          <cell r="E1202" t="str">
            <v>PCS</v>
          </cell>
          <cell r="G1202" t="str">
            <v>musa</v>
          </cell>
          <cell r="AA1202" t="str">
            <v>SCHNEIDER STOCK</v>
          </cell>
        </row>
        <row r="1203">
          <cell r="A1203" t="str">
            <v>PDM3516IEC-260</v>
          </cell>
          <cell r="B1203" t="str">
            <v>APC IT Power Distribution Module 3 Pole 5 Wire 16A IEC309 260cm</v>
          </cell>
          <cell r="C1203">
            <v>0</v>
          </cell>
          <cell r="E1203" t="str">
            <v>PCS</v>
          </cell>
          <cell r="G1203" t="str">
            <v>musa</v>
          </cell>
          <cell r="AA1203" t="str">
            <v>SCHNEIDER STOCK</v>
          </cell>
        </row>
        <row r="1204">
          <cell r="A1204" t="str">
            <v>E3LOPT001</v>
          </cell>
          <cell r="B1204" t="str">
            <v>Easy UPS 3L Parallel Kit with 20m cable</v>
          </cell>
          <cell r="C1204">
            <v>3</v>
          </cell>
          <cell r="E1204" t="str">
            <v>PCS</v>
          </cell>
          <cell r="G1204" t="str">
            <v>musa</v>
          </cell>
          <cell r="AA1204" t="str">
            <v>SCHNEIDER STOCK</v>
          </cell>
        </row>
        <row r="1205">
          <cell r="A1205" t="str">
            <v>E3MBBB100K200H</v>
          </cell>
          <cell r="B1205" t="str">
            <v>Battery Breaker Box 630A with One Circuit Breaker for Easy UPS 3M &amp; 3L</v>
          </cell>
          <cell r="C1205">
            <v>14</v>
          </cell>
          <cell r="E1205" t="str">
            <v>PCS</v>
          </cell>
          <cell r="F1205" t="str">
            <v>247B</v>
          </cell>
          <cell r="G1205" t="str">
            <v>musa</v>
          </cell>
          <cell r="AA1205" t="str">
            <v>SCHNEIDER STOCK</v>
          </cell>
        </row>
        <row r="1206">
          <cell r="A1206" t="str">
            <v>PDM3516IEC-320</v>
          </cell>
          <cell r="B1206" t="str">
            <v>APC IT Power Distribution Module 3 Pole 5 Wire 16A IEC309 320cm</v>
          </cell>
          <cell r="C1206">
            <v>0</v>
          </cell>
          <cell r="E1206" t="str">
            <v>PCS</v>
          </cell>
          <cell r="G1206" t="str">
            <v>musa</v>
          </cell>
          <cell r="AA1206" t="str">
            <v>SCHNEIDER STOCK</v>
          </cell>
        </row>
        <row r="1207">
          <cell r="A1207" t="str">
            <v>PDM3516IEC-560</v>
          </cell>
          <cell r="B1207" t="str">
            <v>APC IT Power Distribution Module 3 Pole 5 Wire 16A IEC309 560cm</v>
          </cell>
          <cell r="C1207">
            <v>0</v>
          </cell>
          <cell r="E1207" t="str">
            <v>PCS</v>
          </cell>
          <cell r="G1207" t="str">
            <v>musa</v>
          </cell>
          <cell r="AA1207" t="str">
            <v>SCHNEIDER STOCK</v>
          </cell>
        </row>
        <row r="1208">
          <cell r="A1208" t="str">
            <v>ACAC10036</v>
          </cell>
          <cell r="B1208" t="str">
            <v>Humidity Sensor</v>
          </cell>
          <cell r="C1208">
            <v>1</v>
          </cell>
          <cell r="E1208" t="str">
            <v>PCS</v>
          </cell>
          <cell r="F1208" t="str">
            <v>205B</v>
          </cell>
          <cell r="G1208" t="str">
            <v>musa</v>
          </cell>
          <cell r="AA1208" t="str">
            <v>SCHNEIDER STOCK</v>
          </cell>
        </row>
        <row r="1209">
          <cell r="A1209" t="str">
            <v>PDM3516IEC-500</v>
          </cell>
          <cell r="B1209" t="str">
            <v>APC IT Power Distribution Module 3 Pole 5 Wire 16A IEC309 500cm</v>
          </cell>
          <cell r="C1209">
            <v>0</v>
          </cell>
          <cell r="E1209" t="str">
            <v>PCS</v>
          </cell>
          <cell r="G1209" t="str">
            <v>musa</v>
          </cell>
          <cell r="AA1209" t="str">
            <v>SCHNEIDER STOCK</v>
          </cell>
        </row>
        <row r="1210">
          <cell r="A1210" t="str">
            <v>PDM3516IEC-680</v>
          </cell>
          <cell r="B1210" t="str">
            <v>APC IT Power Distribution Module 3 Pole 5 Wire 16A IEC309 680cm</v>
          </cell>
          <cell r="C1210">
            <v>0</v>
          </cell>
          <cell r="E1210" t="str">
            <v>PCS</v>
          </cell>
          <cell r="G1210" t="str">
            <v>musa</v>
          </cell>
          <cell r="AA1210" t="str">
            <v>SCHNEIDER STOCK</v>
          </cell>
        </row>
        <row r="1211">
          <cell r="A1211" t="str">
            <v>PDM3516IEC-740</v>
          </cell>
          <cell r="B1211" t="str">
            <v>APC IT Power Distribution Module 3 Pole 5 Wire 16A IEC309 740cm</v>
          </cell>
          <cell r="C1211">
            <v>0</v>
          </cell>
          <cell r="E1211" t="str">
            <v>PCS</v>
          </cell>
          <cell r="G1211" t="str">
            <v>musa</v>
          </cell>
          <cell r="AA1211" t="str">
            <v>SCHNEIDER STOCK</v>
          </cell>
        </row>
        <row r="1212">
          <cell r="A1212" t="str">
            <v>PDM3516IEC-860</v>
          </cell>
          <cell r="B1212" t="str">
            <v>APC IT Power Distribution Module 3 Pole 5 Wire 16A IEC309 860cm</v>
          </cell>
          <cell r="C1212">
            <v>0</v>
          </cell>
          <cell r="E1212" t="str">
            <v>PCS</v>
          </cell>
          <cell r="G1212" t="str">
            <v>musa</v>
          </cell>
          <cell r="AA1212" t="str">
            <v>SCHNEIDER STOCK</v>
          </cell>
        </row>
        <row r="1213">
          <cell r="A1213" t="str">
            <v>PDM3516IEC-380</v>
          </cell>
          <cell r="B1213" t="str">
            <v>APC IT Power Distribution Module 3 Pole 5 Wire 16A IEC309 380cm</v>
          </cell>
          <cell r="C1213">
            <v>0</v>
          </cell>
          <cell r="E1213" t="str">
            <v>PCS</v>
          </cell>
          <cell r="G1213" t="str">
            <v>musa</v>
          </cell>
          <cell r="AA1213" t="str">
            <v>SCHNEIDER STOCK</v>
          </cell>
        </row>
        <row r="1214">
          <cell r="A1214" t="str">
            <v>E3LUPS300KHS</v>
          </cell>
          <cell r="B1214" t="str">
            <v>Easy UPS 3L 300kVA 400V 3:3 UPS Startup 5x8 Consisting of  .5 x E3LUPS300KH  .5 x E3LUPS300KH</v>
          </cell>
          <cell r="C1214">
            <v>6</v>
          </cell>
          <cell r="E1214" t="str">
            <v>PCS</v>
          </cell>
          <cell r="G1214" t="str">
            <v>musa</v>
          </cell>
          <cell r="AA1214" t="str">
            <v>SCHNEIDER STOCK</v>
          </cell>
        </row>
        <row r="1215">
          <cell r="A1215" t="str">
            <v>E3SOPT007</v>
          </cell>
          <cell r="B1215" t="str">
            <v>Easy UPS 3S Battery Breaker Box</v>
          </cell>
          <cell r="C1215">
            <v>3</v>
          </cell>
          <cell r="E1215" t="str">
            <v>PCS</v>
          </cell>
          <cell r="F1215" t="str">
            <v>418B,408A,407A</v>
          </cell>
          <cell r="G1215" t="str">
            <v>musa</v>
          </cell>
          <cell r="AA1215" t="str">
            <v>SCHNEIDER STOCK</v>
          </cell>
        </row>
        <row r="1216">
          <cell r="A1216" t="str">
            <v>AR7701</v>
          </cell>
          <cell r="B1216" t="str">
            <v>NETSHELTER SX BOLT-DOWN KIT</v>
          </cell>
          <cell r="C1216">
            <v>0</v>
          </cell>
          <cell r="E1216" t="str">
            <v>PCS</v>
          </cell>
          <cell r="G1216" t="str">
            <v>musa</v>
          </cell>
          <cell r="AA1216" t="str">
            <v>SCHNEIDER STOCK</v>
          </cell>
        </row>
        <row r="1217">
          <cell r="A1217" t="str">
            <v>AR7714</v>
          </cell>
          <cell r="B1217" t="str">
            <v xml:space="preserve">NetShelter SX Roof Brush Strip </v>
          </cell>
          <cell r="C1217">
            <v>150</v>
          </cell>
          <cell r="E1217" t="str">
            <v>PCS</v>
          </cell>
          <cell r="F1217" t="str">
            <v>248A</v>
          </cell>
          <cell r="G1217" t="str">
            <v>musa</v>
          </cell>
          <cell r="AA1217" t="str">
            <v>SCHNEIDER STOCK</v>
          </cell>
        </row>
        <row r="1218">
          <cell r="A1218" t="str">
            <v>AR8395</v>
          </cell>
          <cell r="B1218" t="str">
            <v>20U Copper Busbar Kit for Netshelter AV Enclosures</v>
          </cell>
          <cell r="C1218">
            <v>59</v>
          </cell>
          <cell r="E1218" t="str">
            <v>PCS</v>
          </cell>
          <cell r="F1218" t="str">
            <v>282B,282B</v>
          </cell>
          <cell r="G1218" t="str">
            <v>musa</v>
          </cell>
          <cell r="AA1218" t="str">
            <v>SCHNEIDER STOCK</v>
          </cell>
        </row>
        <row r="1219">
          <cell r="A1219" t="str">
            <v>PDPM138H-R</v>
          </cell>
          <cell r="B1219" t="str">
            <v xml:space="preserve">lnfraStruXure Modular IT Power Distribution Unit 138KW 200A 400V 18 Pole </v>
          </cell>
          <cell r="C1219">
            <v>0</v>
          </cell>
          <cell r="E1219" t="str">
            <v>PCS</v>
          </cell>
          <cell r="G1219" t="str">
            <v>musa</v>
          </cell>
          <cell r="AA1219" t="str">
            <v>SCHNEIDER STOCK</v>
          </cell>
        </row>
        <row r="1220">
          <cell r="A1220" t="str">
            <v>PDPM138H-5U</v>
          </cell>
          <cell r="B1220" t="str">
            <v xml:space="preserve">APC Modular Rack Distribu1ion Panel 138kVA 200A 400V 18 Pole SU </v>
          </cell>
          <cell r="C1220">
            <v>0</v>
          </cell>
          <cell r="E1220" t="str">
            <v>PCS</v>
          </cell>
          <cell r="G1220" t="str">
            <v>musa</v>
          </cell>
          <cell r="AA1220" t="str">
            <v>SCHNEIDER STOCK</v>
          </cell>
        </row>
        <row r="1221">
          <cell r="A1221" t="str">
            <v>ACDC2200</v>
          </cell>
          <cell r="B1221" t="str">
            <v>Adjustable Mounting Support 152- 241mm (6 - 9.5in)</v>
          </cell>
          <cell r="C1221">
            <v>0</v>
          </cell>
          <cell r="E1221" t="str">
            <v>PCS</v>
          </cell>
          <cell r="G1221" t="str">
            <v>musa</v>
          </cell>
          <cell r="AA1221" t="str">
            <v>SCHNEIDER STOCK</v>
          </cell>
        </row>
        <row r="1222">
          <cell r="A1222" t="str">
            <v>ACDC2300</v>
          </cell>
          <cell r="B1222" t="str">
            <v xml:space="preserve">Duct Mounting Rail </v>
          </cell>
          <cell r="C1222">
            <v>0</v>
          </cell>
          <cell r="E1222" t="str">
            <v>PCS</v>
          </cell>
          <cell r="G1222" t="str">
            <v>musa</v>
          </cell>
          <cell r="AA1222" t="str">
            <v>SCHNEIDER STOCK</v>
          </cell>
        </row>
        <row r="1223">
          <cell r="A1223" t="str">
            <v>ACDC2303</v>
          </cell>
          <cell r="B1223" t="str">
            <v>Duct Panel - 1012mm (40in) Wl&lt; up to 787mm (31in) H</v>
          </cell>
          <cell r="C1223">
            <v>0</v>
          </cell>
          <cell r="E1223" t="str">
            <v>PCS</v>
          </cell>
          <cell r="G1223" t="str">
            <v>musa</v>
          </cell>
          <cell r="AA1223" t="str">
            <v>SCHNEIDER STOCK</v>
          </cell>
        </row>
        <row r="1224">
          <cell r="A1224" t="str">
            <v>ACDC2305</v>
          </cell>
          <cell r="B1224" t="str">
            <v>Duct Panel - 10121)1m (40in) W x up to 1041mm (41in) H</v>
          </cell>
          <cell r="C1224">
            <v>0</v>
          </cell>
          <cell r="E1224" t="str">
            <v>PCS</v>
          </cell>
          <cell r="G1224" t="str">
            <v>musa</v>
          </cell>
          <cell r="AA1224" t="str">
            <v>SCHNEIDER STOCK</v>
          </cell>
        </row>
        <row r="1225">
          <cell r="A1225" t="str">
            <v>GVSBTH4</v>
          </cell>
          <cell r="B1225" t="str">
            <v xml:space="preserve">Galaxy VS 9Ah Smart Modular High Capacity Battery String Consisting of 4 x GVSBTHU  </v>
          </cell>
          <cell r="C1225">
            <v>0</v>
          </cell>
          <cell r="E1225" t="str">
            <v xml:space="preserve">4 x GVSBTHU  </v>
          </cell>
          <cell r="G1225" t="str">
            <v>musa</v>
          </cell>
          <cell r="AA1225" t="str">
            <v>SCHNEIDER STOCK</v>
          </cell>
        </row>
        <row r="1226">
          <cell r="A1226" t="str">
            <v>AP9644</v>
          </cell>
          <cell r="B1226" t="str">
            <v>Network Management Card LCES2 with Modbus Ethernet and Aux Sensors</v>
          </cell>
          <cell r="C1226">
            <v>0</v>
          </cell>
          <cell r="E1226" t="str">
            <v>PCS</v>
          </cell>
          <cell r="G1226" t="str">
            <v>musa</v>
          </cell>
          <cell r="AA1226" t="str">
            <v>SCHNEIDER STOCK</v>
          </cell>
        </row>
        <row r="1227">
          <cell r="A1227" t="str">
            <v>ACDC2575</v>
          </cell>
          <cell r="B1227" t="str">
            <v>Blanking Panel 42-48U SX / 42U VX 300mm</v>
          </cell>
          <cell r="C1227">
            <v>0</v>
          </cell>
          <cell r="E1227" t="str">
            <v>PCS</v>
          </cell>
          <cell r="G1227" t="str">
            <v>musa</v>
          </cell>
          <cell r="AA1227" t="str">
            <v>SCHNEIDER STOCK</v>
          </cell>
        </row>
        <row r="1228">
          <cell r="A1228" t="str">
            <v>RBC59</v>
          </cell>
          <cell r="B1228" t="str">
            <v>APC-Replacement Battery Cartridge #59</v>
          </cell>
          <cell r="C1228">
            <v>2</v>
          </cell>
          <cell r="E1228" t="str">
            <v>PCS</v>
          </cell>
          <cell r="G1228" t="str">
            <v>musa</v>
          </cell>
          <cell r="AA1228" t="str">
            <v>SCHNEIDER STOCK</v>
          </cell>
        </row>
        <row r="1229">
          <cell r="A1229" t="str">
            <v>GVSUPS40K0B4HS</v>
          </cell>
          <cell r="B1229" t="str">
            <v>Galaxy VS UPS 40kW 400V for up to 4 internal 9Ah smart modular battery strings Start-up 5x8 Consisting of  1 x GVPM50KD  1 x GVSUPS40K0B4H</v>
          </cell>
          <cell r="C1229">
            <v>0</v>
          </cell>
          <cell r="E1229" t="str">
            <v>1 x GVPM50KD  1 x GVSUPS40K0B4H</v>
          </cell>
          <cell r="G1229" t="str">
            <v>musa</v>
          </cell>
          <cell r="AA1229" t="str">
            <v>SCHNEIDER STOCK</v>
          </cell>
        </row>
        <row r="1230">
          <cell r="A1230" t="str">
            <v>APCRBC157</v>
          </cell>
          <cell r="B1230" t="str">
            <v>APC Replacement Battery Cartridge #157</v>
          </cell>
          <cell r="C1230">
            <v>6</v>
          </cell>
          <cell r="E1230" t="str">
            <v>PCS</v>
          </cell>
          <cell r="F1230" t="str">
            <v>401C,250B</v>
          </cell>
          <cell r="G1230" t="str">
            <v>musa</v>
          </cell>
          <cell r="AA1230" t="str">
            <v>SCHNEIDER STOCK</v>
          </cell>
        </row>
        <row r="1231">
          <cell r="A1231" t="str">
            <v>KB31/1</v>
          </cell>
          <cell r="B1231" t="str">
            <v>16AX 250V 1GANG 1WAY SWITCH</v>
          </cell>
          <cell r="C1231">
            <v>0</v>
          </cell>
          <cell r="G1231" t="str">
            <v>musa</v>
          </cell>
          <cell r="AA1231" t="str">
            <v>SCHNEIDER STOCK</v>
          </cell>
        </row>
        <row r="1232">
          <cell r="A1232" t="str">
            <v>KB32/1</v>
          </cell>
          <cell r="B1232" t="str">
            <v>16AX 250V 2GANG 1WAY SWITCH</v>
          </cell>
          <cell r="C1232">
            <v>0</v>
          </cell>
          <cell r="G1232" t="str">
            <v>musa</v>
          </cell>
          <cell r="AA1232" t="str">
            <v>SCHNEIDER STOCK</v>
          </cell>
        </row>
        <row r="1233">
          <cell r="A1233" t="str">
            <v>KB31</v>
          </cell>
          <cell r="B1233" t="str">
            <v>16AX 250V 1GANG 2WAY SWITCH</v>
          </cell>
          <cell r="C1233">
            <v>0</v>
          </cell>
          <cell r="G1233" t="str">
            <v>musa</v>
          </cell>
          <cell r="AA1233" t="str">
            <v>SCHNEIDER STOCK</v>
          </cell>
        </row>
        <row r="1234">
          <cell r="A1234" t="str">
            <v>KB32</v>
          </cell>
          <cell r="B1234" t="str">
            <v>16AX 250V 2GANG 2WAY SWITCH</v>
          </cell>
          <cell r="C1234">
            <v>0</v>
          </cell>
          <cell r="G1234" t="str">
            <v>musa</v>
          </cell>
          <cell r="AA1234" t="str">
            <v>SCHNEIDER STOCK</v>
          </cell>
        </row>
        <row r="1235">
          <cell r="A1235" t="str">
            <v>KB31D20NE</v>
          </cell>
          <cell r="B1235" t="str">
            <v>20A 1G DP SW W/NEON</v>
          </cell>
          <cell r="C1235">
            <v>0</v>
          </cell>
          <cell r="G1235" t="str">
            <v>musa</v>
          </cell>
          <cell r="AA1235" t="str">
            <v>SCHNEIDER STOCK</v>
          </cell>
        </row>
        <row r="1236">
          <cell r="A1236" t="str">
            <v>KB15D_WE</v>
          </cell>
          <cell r="B1236" t="str">
            <v>1G 13A DP Switched Socket Small Dolly WE</v>
          </cell>
          <cell r="C1236">
            <v>0</v>
          </cell>
          <cell r="G1236" t="str">
            <v>musa</v>
          </cell>
          <cell r="AA1236" t="str">
            <v>SCHNEIDER STOCK</v>
          </cell>
        </row>
        <row r="1237">
          <cell r="A1237" t="str">
            <v>E223R_TR</v>
          </cell>
          <cell r="B1237" t="str">
            <v>F-T WP Single Gang Skt Cover (Tran) IP55</v>
          </cell>
          <cell r="C1237">
            <v>0</v>
          </cell>
          <cell r="G1237" t="str">
            <v>musa</v>
          </cell>
          <cell r="AA1237" t="str">
            <v>SCHNEIDER STOCK</v>
          </cell>
        </row>
        <row r="1238">
          <cell r="A1238" t="str">
            <v>KB25D_WE</v>
          </cell>
          <cell r="B1238" t="str">
            <v>2G 13A DP Switched Socket Small Dolly WE</v>
          </cell>
          <cell r="C1238">
            <v>0</v>
          </cell>
          <cell r="G1238" t="str">
            <v>musa</v>
          </cell>
          <cell r="AA1238" t="str">
            <v>SCHNEIDER STOCK</v>
          </cell>
        </row>
        <row r="1239">
          <cell r="A1239" t="str">
            <v>ET223R_TR</v>
          </cell>
          <cell r="B1239" t="str">
            <v>F-T WP TWIN G SOCKET COVER (TRAN) IP55</v>
          </cell>
          <cell r="C1239">
            <v>0</v>
          </cell>
          <cell r="G1239" t="str">
            <v>musa</v>
          </cell>
          <cell r="AA1239" t="str">
            <v>SCHNEIDER STOCK</v>
          </cell>
        </row>
        <row r="1240">
          <cell r="A1240" t="str">
            <v>KB31RJ6</v>
          </cell>
          <cell r="B1240" t="str">
            <v>1G CAT 6 DATA OUTLET WITH SHUTTER</v>
          </cell>
          <cell r="C1240">
            <v>0</v>
          </cell>
          <cell r="G1240" t="str">
            <v>musa</v>
          </cell>
          <cell r="AA1240" t="str">
            <v>SCHNEIDER STOCK</v>
          </cell>
        </row>
        <row r="1241">
          <cell r="A1241" t="str">
            <v>E8315D_DG</v>
          </cell>
          <cell r="B1241" t="str">
            <v>13A 250V 1G DP SW Skt, DG</v>
          </cell>
          <cell r="C1241">
            <v>0</v>
          </cell>
          <cell r="G1241" t="str">
            <v>musa</v>
          </cell>
          <cell r="AA1241" t="str">
            <v>SCHNEIDER STOCK</v>
          </cell>
        </row>
        <row r="1242">
          <cell r="A1242" t="str">
            <v>E83T25DACUS_DG</v>
          </cell>
          <cell r="B1242" t="str">
            <v>13A 2G DP Sw Socket w 2USB, A+C, 21W, DG</v>
          </cell>
          <cell r="C1242">
            <v>46</v>
          </cell>
          <cell r="G1242" t="str">
            <v>musa</v>
          </cell>
          <cell r="AA1242" t="str">
            <v>SCHNEIDER STOCK</v>
          </cell>
        </row>
        <row r="1243">
          <cell r="A1243" t="str">
            <v>E8315DACUSR1_DG</v>
          </cell>
          <cell r="B1243" t="str">
            <v>13A 1G DP Sw Socket w 2USB, A+C, 21W, DG</v>
          </cell>
          <cell r="C1243">
            <v>44</v>
          </cell>
          <cell r="G1243" t="str">
            <v>musa</v>
          </cell>
          <cell r="AA1243" t="str">
            <v>SCHNEIDER STOCK</v>
          </cell>
        </row>
        <row r="1244">
          <cell r="A1244" t="str">
            <v>KB33/1</v>
          </cell>
          <cell r="B1244" t="str">
            <v>16AX 250V 3GANG 1WAY SWITCH</v>
          </cell>
          <cell r="C1244">
            <v>0</v>
          </cell>
          <cell r="G1244" t="str">
            <v>musa</v>
          </cell>
          <cell r="AA1244" t="str">
            <v>SCHNEIDER STOCK</v>
          </cell>
        </row>
        <row r="1245">
          <cell r="A1245" t="str">
            <v>KB31TVF</v>
          </cell>
          <cell r="B1245" t="str">
            <v>1GANG CABLE TV "F" CONNECTOR</v>
          </cell>
          <cell r="C1245">
            <v>0</v>
          </cell>
          <cell r="G1245" t="str">
            <v>musa</v>
          </cell>
          <cell r="AA1245" t="str">
            <v>SCHNEIDER STOCK</v>
          </cell>
        </row>
        <row r="1246">
          <cell r="A1246" t="str">
            <v>J07ATBC30600J5XP</v>
          </cell>
          <cell r="B1246" t="str">
            <v>J07ATBC30600J5XP,72EE2,97S,135L,142</v>
          </cell>
          <cell r="C1246">
            <v>0</v>
          </cell>
          <cell r="E1246" t="str">
            <v>PCS</v>
          </cell>
          <cell r="G1246" t="str">
            <v>musa</v>
          </cell>
          <cell r="AA1246" t="str">
            <v>SCHNEIDER STOCK</v>
          </cell>
        </row>
        <row r="1247">
          <cell r="A1247" t="str">
            <v>A9H330MNS160FD</v>
          </cell>
          <cell r="B1247" t="str">
            <v>DISBO 3P 30W NS 160A FLAT FLUSH</v>
          </cell>
          <cell r="C1247">
            <v>0</v>
          </cell>
          <cell r="E1247" t="str">
            <v>PCS</v>
          </cell>
          <cell r="G1247" t="str">
            <v>musa</v>
          </cell>
          <cell r="AA1247" t="str">
            <v>SCHNEIDER STOCK</v>
          </cell>
        </row>
        <row r="1248">
          <cell r="A1248" t="str">
            <v>DSP1ROW14</v>
          </cell>
          <cell r="B1248" t="str">
            <v>DISBO 3P 54W NS 250A FLAT FLUSH</v>
          </cell>
          <cell r="C1248">
            <v>300</v>
          </cell>
          <cell r="E1248" t="str">
            <v>PCS</v>
          </cell>
          <cell r="G1248" t="str">
            <v>musa</v>
          </cell>
          <cell r="AA1248" t="str">
            <v>SCHNEIDER STOCK</v>
          </cell>
        </row>
        <row r="1249">
          <cell r="A1249" t="str">
            <v>EZ9F56232</v>
          </cell>
          <cell r="B1249" t="str">
            <v>EASY9 MCB 2P 32A C 6000A 230V MINIATURE</v>
          </cell>
          <cell r="C1249">
            <v>74</v>
          </cell>
          <cell r="E1249" t="str">
            <v>PCS</v>
          </cell>
          <cell r="F1249" t="str">
            <v>220A</v>
          </cell>
          <cell r="G1249" t="str">
            <v>musa</v>
          </cell>
          <cell r="AA1249" t="str">
            <v>SCHNEIDER STOCK</v>
          </cell>
        </row>
        <row r="1250">
          <cell r="A1250" t="str">
            <v>A9F44206</v>
          </cell>
          <cell r="B1250" t="str">
            <v>ACTI9 IC60N 2P 6A 10KA MCB</v>
          </cell>
          <cell r="C1250">
            <v>0</v>
          </cell>
          <cell r="E1250" t="str">
            <v>PCS</v>
          </cell>
          <cell r="G1250" t="str">
            <v>musa</v>
          </cell>
          <cell r="AA1250" t="str">
            <v>SCHNEIDER STOCK</v>
          </cell>
        </row>
        <row r="1251">
          <cell r="A1251" t="str">
            <v>A9R71240</v>
          </cell>
          <cell r="B1251" t="str">
            <v>ACTI9 IID 2P 40A 30MA AC-TYPE RESIDUAL C</v>
          </cell>
          <cell r="C1251">
            <v>7</v>
          </cell>
          <cell r="E1251" t="str">
            <v>PCS</v>
          </cell>
          <cell r="F1251" t="str">
            <v>223B</v>
          </cell>
          <cell r="G1251" t="str">
            <v>musa</v>
          </cell>
          <cell r="AA1251" t="str">
            <v>SCHNEIDER STOCK</v>
          </cell>
        </row>
        <row r="1252">
          <cell r="A1252" t="str">
            <v>A9C30812</v>
          </cell>
          <cell r="B1252" t="str">
            <v>MN 220-240V50/60HZ 208-277V60HZ UVR</v>
          </cell>
          <cell r="C1252">
            <v>31</v>
          </cell>
          <cell r="E1252" t="str">
            <v>PCS</v>
          </cell>
          <cell r="F1252" t="str">
            <v>221B,220A</v>
          </cell>
          <cell r="G1252" t="str">
            <v>musa</v>
          </cell>
          <cell r="AA1252" t="str">
            <v>SCHNEIDER STOCK</v>
          </cell>
        </row>
        <row r="1253">
          <cell r="A1253" t="str">
            <v>A9N61532</v>
          </cell>
          <cell r="B1253" t="str">
            <v>CIRCUIT BREAKER C60H-DC 500VDC 20A 2P C</v>
          </cell>
          <cell r="C1253">
            <v>12</v>
          </cell>
          <cell r="E1253" t="str">
            <v>PCS</v>
          </cell>
          <cell r="F1253" t="str">
            <v>221B</v>
          </cell>
          <cell r="G1253" t="str">
            <v>musa</v>
          </cell>
          <cell r="AA1253" t="str">
            <v>SCHNEIDER STOCK</v>
          </cell>
        </row>
        <row r="1254">
          <cell r="A1254" t="str">
            <v>DSP1ROW16</v>
          </cell>
          <cell r="B1254" t="str">
            <v>Disbo Extra 1Phase ROW8 *18mm</v>
          </cell>
          <cell r="C1254">
            <v>307</v>
          </cell>
          <cell r="E1254" t="str">
            <v>PCS</v>
          </cell>
          <cell r="G1254" t="str">
            <v>musa</v>
          </cell>
          <cell r="AA1254" t="str">
            <v>SCHNEIDER STOCK</v>
          </cell>
        </row>
        <row r="1255">
          <cell r="A1255" t="str">
            <v>EZ9F56350</v>
          </cell>
          <cell r="B1255" t="str">
            <v>Easy9 MCB 3P 50A C 6000A 400V</v>
          </cell>
          <cell r="C1255">
            <v>0</v>
          </cell>
          <cell r="E1255" t="str">
            <v>PCS</v>
          </cell>
          <cell r="G1255" t="str">
            <v>musa</v>
          </cell>
          <cell r="AA1255" t="str">
            <v>SCHNEIDER STOCK</v>
          </cell>
        </row>
        <row r="1256">
          <cell r="A1256" t="str">
            <v>E3MBBB60K80H</v>
          </cell>
          <cell r="B1256" t="str">
            <v>EASY UPS 3M BATTERY BREAKER BOX 60-80K VA 400V</v>
          </cell>
          <cell r="C1256">
            <v>4</v>
          </cell>
          <cell r="E1256" t="str">
            <v>PCS</v>
          </cell>
          <cell r="F1256" t="str">
            <v>408A,407A,427B,409A</v>
          </cell>
          <cell r="G1256" t="str">
            <v>musa</v>
          </cell>
          <cell r="AA1256" t="str">
            <v>SCHNEIDER STOCK</v>
          </cell>
        </row>
        <row r="1257">
          <cell r="A1257" t="str">
            <v>E3MUPS60KHB2S</v>
          </cell>
          <cell r="B1257" t="str">
            <v>Easy UPS 3M 60kVA 400V 3:3 UPS with internal batteries - 13.5 minutes runtime Start-up 5x8 Consisting of 16 x E3SBTHU 1 x E3MUPS60KHB</v>
          </cell>
          <cell r="C1257">
            <v>0</v>
          </cell>
          <cell r="E1257" t="str">
            <v>PCS</v>
          </cell>
          <cell r="G1257" t="str">
            <v>musa</v>
          </cell>
          <cell r="AA1257" t="str">
            <v>SCHNEIDER STOCK</v>
          </cell>
        </row>
        <row r="1258">
          <cell r="A1258" t="str">
            <v>AR3006</v>
          </cell>
          <cell r="B1258" t="str">
            <v>APC NetShelter SX 18U Server Rack Enclosure 600mm x 900mm w/ Sides Black</v>
          </cell>
          <cell r="C1258">
            <v>2</v>
          </cell>
          <cell r="E1258" t="str">
            <v>PCS</v>
          </cell>
          <cell r="G1258" t="str">
            <v>musa</v>
          </cell>
          <cell r="AA1258" t="str">
            <v>SCHNEIDER STOCK</v>
          </cell>
        </row>
        <row r="1259">
          <cell r="A1259" t="str">
            <v>AR3387</v>
          </cell>
          <cell r="B1259" t="str">
            <v>NET SHELTER SX 48U 800MM WIDE X 120MM DEEP</v>
          </cell>
          <cell r="C1259">
            <v>0</v>
          </cell>
          <cell r="E1259" t="str">
            <v>PCS</v>
          </cell>
          <cell r="G1259" t="str">
            <v>musa</v>
          </cell>
          <cell r="AA1259" t="str">
            <v>SCHNEIDER STOCK</v>
          </cell>
        </row>
        <row r="1260">
          <cell r="A1260" t="str">
            <v>NSAC2001</v>
          </cell>
          <cell r="B1260" t="str">
            <v>MAIN FRAME EXTRUSION BLACK</v>
          </cell>
          <cell r="C1260">
            <v>0</v>
          </cell>
          <cell r="E1260" t="str">
            <v>PCS</v>
          </cell>
          <cell r="G1260" t="str">
            <v>musa</v>
          </cell>
          <cell r="AA1260" t="str">
            <v>SCHNEIDER STOCK</v>
          </cell>
        </row>
        <row r="1261">
          <cell r="A1261" t="str">
            <v>NSAC2002</v>
          </cell>
          <cell r="B1261" t="str">
            <v>FRAME PANEL ,MOUNTING RAIL BLACK</v>
          </cell>
          <cell r="C1261">
            <v>0</v>
          </cell>
          <cell r="E1261" t="str">
            <v>PCS</v>
          </cell>
          <cell r="G1261" t="str">
            <v>musa</v>
          </cell>
          <cell r="AA1261" t="str">
            <v>SCHNEIDER STOCK</v>
          </cell>
        </row>
        <row r="1262">
          <cell r="A1262" t="str">
            <v>NSAC2101</v>
          </cell>
          <cell r="B1262" t="str">
            <v>MULTI WALL PANEL 644 X 1232 MM X5</v>
          </cell>
          <cell r="C1262">
            <v>0</v>
          </cell>
          <cell r="E1262" t="str">
            <v>PCS</v>
          </cell>
          <cell r="G1262" t="str">
            <v>musa</v>
          </cell>
          <cell r="AA1262" t="str">
            <v>SCHNEIDER STOCK</v>
          </cell>
        </row>
        <row r="1263">
          <cell r="A1263" t="str">
            <v>NSAC2152</v>
          </cell>
          <cell r="B1263" t="str">
            <v>PANEL CONNECTOR 4FT X3 BLACK</v>
          </cell>
          <cell r="C1263">
            <v>0</v>
          </cell>
          <cell r="E1263" t="str">
            <v>PCS</v>
          </cell>
          <cell r="G1263" t="str">
            <v>musa</v>
          </cell>
          <cell r="AA1263" t="str">
            <v>SCHNEIDER STOCK</v>
          </cell>
        </row>
        <row r="1264">
          <cell r="A1264" t="str">
            <v>NSAC2153</v>
          </cell>
          <cell r="B1264" t="str">
            <v>PANEL CONNECTOR PLASTIC 1200MM X12 BLACK</v>
          </cell>
          <cell r="C1264">
            <v>0</v>
          </cell>
          <cell r="E1264" t="str">
            <v>PCS</v>
          </cell>
          <cell r="G1264" t="str">
            <v>musa</v>
          </cell>
          <cell r="AA1264" t="str">
            <v>SCHNEIDER STOCK</v>
          </cell>
        </row>
        <row r="1265">
          <cell r="A1265" t="str">
            <v>NSAC2003</v>
          </cell>
          <cell r="B1265" t="str">
            <v>CABINET SEAL COEXTRUSION 1000 MM X6 BLACK</v>
          </cell>
          <cell r="C1265">
            <v>0</v>
          </cell>
          <cell r="E1265" t="str">
            <v>PCS</v>
          </cell>
          <cell r="G1265" t="str">
            <v>musa</v>
          </cell>
          <cell r="AA1265" t="str">
            <v>SCHNEIDER STOCK</v>
          </cell>
        </row>
        <row r="1266">
          <cell r="A1266" t="str">
            <v>NSAC2601</v>
          </cell>
          <cell r="B1266" t="str">
            <v>LCONNECTOR X8 BLACK</v>
          </cell>
          <cell r="C1266">
            <v>0</v>
          </cell>
          <cell r="E1266" t="str">
            <v>PCS</v>
          </cell>
          <cell r="G1266" t="str">
            <v>musa</v>
          </cell>
          <cell r="AA1266" t="str">
            <v>SCHNEIDER STOCK</v>
          </cell>
        </row>
        <row r="1267">
          <cell r="A1267" t="str">
            <v>NSAC2604</v>
          </cell>
          <cell r="B1267" t="str">
            <v>CABINET INSTALL BRACKET X4 BLACK</v>
          </cell>
          <cell r="C1267">
            <v>0</v>
          </cell>
          <cell r="E1267" t="str">
            <v>PCS</v>
          </cell>
          <cell r="G1267" t="str">
            <v>musa</v>
          </cell>
          <cell r="AA1267" t="str">
            <v>SCHNEIDER STOCK</v>
          </cell>
        </row>
        <row r="1268">
          <cell r="A1268" t="str">
            <v>NSAC2607</v>
          </cell>
          <cell r="B1268" t="str">
            <v>MOUNTING RAIL CONNECTOR X40 BLACK</v>
          </cell>
          <cell r="C1268">
            <v>0</v>
          </cell>
          <cell r="E1268" t="str">
            <v>PCS</v>
          </cell>
          <cell r="G1268" t="str">
            <v>musa</v>
          </cell>
          <cell r="AA1268" t="str">
            <v>SCHNEIDER STOCK</v>
          </cell>
        </row>
        <row r="1269">
          <cell r="A1269" t="str">
            <v>NSAC2608</v>
          </cell>
          <cell r="B1269" t="str">
            <v>STRAIGHT CONNECTOR X8 BLACK</v>
          </cell>
          <cell r="C1269">
            <v>0</v>
          </cell>
          <cell r="E1269" t="str">
            <v>PCS</v>
          </cell>
          <cell r="G1269" t="str">
            <v>musa</v>
          </cell>
          <cell r="AA1269" t="str">
            <v>SCHNEIDER STOCK</v>
          </cell>
        </row>
        <row r="1270">
          <cell r="A1270" t="str">
            <v>NSAC2051</v>
          </cell>
          <cell r="B1270" t="str">
            <v>ROD MOUNTING BRACKETS</v>
          </cell>
          <cell r="C1270">
            <v>0</v>
          </cell>
          <cell r="E1270" t="str">
            <v>PCS</v>
          </cell>
          <cell r="G1270" t="str">
            <v>musa</v>
          </cell>
          <cell r="AA1270" t="str">
            <v>SCHNEIDER STOCK</v>
          </cell>
        </row>
        <row r="1271">
          <cell r="A1271" t="str">
            <v>NSAC2052</v>
          </cell>
          <cell r="B1271" t="str">
            <v>CEILING MOUNTING RAIL 1500 MM X4 BLACK</v>
          </cell>
          <cell r="C1271">
            <v>0</v>
          </cell>
          <cell r="E1271" t="str">
            <v>PCS</v>
          </cell>
          <cell r="G1271" t="str">
            <v>musa</v>
          </cell>
          <cell r="AA1271" t="str">
            <v>SCHNEIDER STOCK</v>
          </cell>
        </row>
        <row r="1272">
          <cell r="A1272" t="str">
            <v>NSAC2004</v>
          </cell>
          <cell r="B1272" t="str">
            <v>LIGHTNING MOUNTING RAIL BLACK</v>
          </cell>
          <cell r="C1272">
            <v>0</v>
          </cell>
          <cell r="E1272" t="str">
            <v>PCS</v>
          </cell>
          <cell r="G1272" t="str">
            <v>musa</v>
          </cell>
          <cell r="AA1272" t="str">
            <v>SCHNEIDER STOCK</v>
          </cell>
        </row>
        <row r="1273">
          <cell r="A1273" t="str">
            <v>A9H348MEZ100FD</v>
          </cell>
          <cell r="B1273" t="str">
            <v>DISBO 3P 48W EASYPACT 100A FLAT FLUSH</v>
          </cell>
          <cell r="C1273">
            <v>38</v>
          </cell>
          <cell r="E1273" t="str">
            <v>PCS</v>
          </cell>
          <cell r="F1273" t="str">
            <v>423B,401C,439B,450C</v>
          </cell>
          <cell r="G1273" t="str">
            <v>musa</v>
          </cell>
          <cell r="AA1273" t="str">
            <v>SCHNEIDER STOCK</v>
          </cell>
        </row>
        <row r="1274">
          <cell r="A1274" t="str">
            <v>A9H324MEZ60FD</v>
          </cell>
          <cell r="B1274" t="str">
            <v>DISBO 3P 24W EASYPACT 60A FLAT FLUSH</v>
          </cell>
          <cell r="C1274">
            <v>0</v>
          </cell>
          <cell r="E1274" t="str">
            <v>PCS</v>
          </cell>
          <cell r="G1274" t="str">
            <v>musa</v>
          </cell>
          <cell r="AA1274" t="str">
            <v>SCHNEIDER STOCK</v>
          </cell>
        </row>
        <row r="1275">
          <cell r="A1275" t="str">
            <v>A9H324MEZ100FD</v>
          </cell>
          <cell r="B1275" t="str">
            <v>DISBO 3P 24W EASYPACT 100A FLAT FLUSH</v>
          </cell>
          <cell r="C1275">
            <v>0</v>
          </cell>
          <cell r="E1275" t="str">
            <v>PCS</v>
          </cell>
          <cell r="G1275" t="str">
            <v>musa</v>
          </cell>
          <cell r="AA1275" t="str">
            <v>SCHNEIDER STOCK</v>
          </cell>
        </row>
        <row r="1276">
          <cell r="A1276" t="str">
            <v>VHU361DSGL</v>
          </cell>
          <cell r="B1276" t="str">
            <v>SAFETY SWITCH 30A 600V STAINLE SS</v>
          </cell>
          <cell r="C1276">
            <v>50</v>
          </cell>
          <cell r="E1276" t="str">
            <v>PCS</v>
          </cell>
          <cell r="F1276" t="str">
            <v>306A</v>
          </cell>
          <cell r="G1276" t="str">
            <v>musa</v>
          </cell>
          <cell r="AA1276" t="str">
            <v>SCHNEIDER STOCK</v>
          </cell>
        </row>
        <row r="1277">
          <cell r="A1277" t="str">
            <v>VHU364DSGL</v>
          </cell>
          <cell r="B1277" t="str">
            <v>SAFETY SWITCH 200A 600V STAINL ESS</v>
          </cell>
          <cell r="C1277">
            <v>2</v>
          </cell>
          <cell r="E1277" t="str">
            <v>PCS</v>
          </cell>
          <cell r="F1277" t="str">
            <v>305A</v>
          </cell>
          <cell r="G1277" t="str">
            <v>musa</v>
          </cell>
          <cell r="AA1277" t="str">
            <v>SCHNEIDER STOCK</v>
          </cell>
        </row>
        <row r="1278">
          <cell r="A1278" t="str">
            <v>HU662DS</v>
          </cell>
          <cell r="B1278" t="str">
            <v>Safety switch, heavy duty, non fusible,</v>
          </cell>
          <cell r="C1278">
            <v>7</v>
          </cell>
          <cell r="E1278" t="str">
            <v>PCS</v>
          </cell>
          <cell r="F1278" t="str">
            <v>305A</v>
          </cell>
          <cell r="G1278" t="str">
            <v>musa</v>
          </cell>
          <cell r="AA1278" t="str">
            <v>SCHNEIDER STOCK</v>
          </cell>
        </row>
        <row r="1279">
          <cell r="A1279" t="str">
            <v>TDAV0511A</v>
          </cell>
          <cell r="B1279" t="str">
            <v>5-ton Direct- expansion air- cooled units with backward- curved fans equipped with EC motor including the starrt-up  
indoor unit 1* TDAV0511A, 
outdoor unit 1*CAP2002PEC2,
 Plenum 1*21PM735CDZC1,
ZOCC.DI BASE 1* 21ZB475CDZC1,
Std Base frame 1*21B150CDZ1</v>
          </cell>
          <cell r="C1279">
            <v>4</v>
          </cell>
          <cell r="E1279" t="str">
            <v>PCS</v>
          </cell>
          <cell r="F1279" t="str">
            <v>New WH</v>
          </cell>
          <cell r="G1279" t="str">
            <v>musa</v>
          </cell>
          <cell r="AA1279" t="str">
            <v>SCHNEIDER STOCK</v>
          </cell>
        </row>
        <row r="1280">
          <cell r="A1280" t="str">
            <v>DSP1ROW10</v>
          </cell>
          <cell r="B1280" t="str">
            <v>Disbo Extra 1Phase ROW10 *18mm</v>
          </cell>
          <cell r="C1280">
            <v>226</v>
          </cell>
          <cell r="E1280" t="str">
            <v>PCS</v>
          </cell>
          <cell r="G1280" t="str">
            <v>musa</v>
          </cell>
          <cell r="AA1280" t="str">
            <v>SCHNEIDER STOCK</v>
          </cell>
        </row>
        <row r="1281">
          <cell r="A1281" t="str">
            <v>A9H342MEZ200FD</v>
          </cell>
          <cell r="B1281" t="str">
            <v>DISBO 3P 42W EASYPACT250 200A FLAT FLUSH</v>
          </cell>
          <cell r="C1281">
            <v>43</v>
          </cell>
          <cell r="E1281" t="str">
            <v>PCS</v>
          </cell>
          <cell r="F1281" t="str">
            <v>210C,224C,230C,400C</v>
          </cell>
          <cell r="G1281" t="str">
            <v>musa</v>
          </cell>
          <cell r="AA1281" t="str">
            <v>SCHNEIDER STOCK</v>
          </cell>
        </row>
        <row r="1282">
          <cell r="A1282" t="str">
            <v>A9H318MEZ100FD</v>
          </cell>
          <cell r="B1282" t="str">
            <v>DISBO 3P 18W EASYPACT 100A FLAT FLUSH</v>
          </cell>
          <cell r="C1282">
            <v>16</v>
          </cell>
          <cell r="E1282" t="str">
            <v>PCS</v>
          </cell>
          <cell r="F1282" t="str">
            <v>210A,209C,211C</v>
          </cell>
          <cell r="G1282" t="str">
            <v>musa</v>
          </cell>
          <cell r="AA1282" t="str">
            <v>SCHNEIDER STOCK</v>
          </cell>
        </row>
        <row r="1283">
          <cell r="A1283" t="str">
            <v>A9H318MNS100FD</v>
          </cell>
          <cell r="B1283" t="str">
            <v>A9 VTPN 54W 100A EZC MCCB FLAT DOOR</v>
          </cell>
          <cell r="C1283">
            <v>0</v>
          </cell>
          <cell r="E1283" t="str">
            <v>PCS</v>
          </cell>
          <cell r="F1283" t="str">
            <v>420C,437B</v>
          </cell>
          <cell r="G1283" t="str">
            <v>musa</v>
          </cell>
          <cell r="AA1283" t="str">
            <v>SCHNEIDER STOCK</v>
          </cell>
        </row>
        <row r="1284">
          <cell r="A1284" t="str">
            <v>A9H312MEZ100FD</v>
          </cell>
          <cell r="B1284" t="str">
            <v>RESBO, 3 PHASE, 30 WAY 150A, FLUSH</v>
          </cell>
          <cell r="C1284">
            <v>0</v>
          </cell>
          <cell r="E1284" t="str">
            <v>PCS</v>
          </cell>
          <cell r="G1284" t="str">
            <v>musa</v>
          </cell>
          <cell r="AA1284" t="str">
            <v>SCHNEIDER STOCK</v>
          </cell>
        </row>
        <row r="1285">
          <cell r="A1285" t="str">
            <v>E83T25D_DG</v>
          </cell>
          <cell r="B1285" t="str">
            <v>13A 250V 2G DP SW Skt, DG</v>
          </cell>
          <cell r="C1285">
            <v>17</v>
          </cell>
          <cell r="E1285" t="str">
            <v>PCS</v>
          </cell>
          <cell r="G1285" t="str">
            <v>musa</v>
          </cell>
          <cell r="AA1285" t="str">
            <v>SCHNEIDER STOCK</v>
          </cell>
        </row>
        <row r="1286">
          <cell r="A1286" t="str">
            <v>VHU362DSGL</v>
          </cell>
          <cell r="B1286" t="str">
            <v>SAFETY SWITCH 60A 600V STAINLE SS</v>
          </cell>
          <cell r="C1286">
            <v>36</v>
          </cell>
          <cell r="E1286" t="str">
            <v>PCS</v>
          </cell>
          <cell r="F1286" t="str">
            <v>305A,306A</v>
          </cell>
          <cell r="G1286" t="str">
            <v>musa</v>
          </cell>
          <cell r="AA1286" t="str">
            <v>SCHNEIDER STOCK</v>
          </cell>
        </row>
        <row r="1287">
          <cell r="A1287">
            <v>33911</v>
          </cell>
          <cell r="B1287" t="str">
            <v>MX 220-240V50/60HZ 208-277V60HZ SHT</v>
          </cell>
          <cell r="C1287">
            <v>12</v>
          </cell>
          <cell r="E1287" t="str">
            <v>PCS</v>
          </cell>
          <cell r="G1287" t="str">
            <v>musa</v>
          </cell>
          <cell r="AA1287" t="str">
            <v>SCHNEIDER STOCK</v>
          </cell>
        </row>
        <row r="1288">
          <cell r="A1288" t="str">
            <v>A9H348MEZ200FD</v>
          </cell>
          <cell r="B1288" t="str">
            <v>DISBO 3P 42W EASYPACT 100A  FLAT FLUSH</v>
          </cell>
          <cell r="C1288">
            <v>34</v>
          </cell>
          <cell r="E1288" t="str">
            <v>PCS</v>
          </cell>
          <cell r="F1288" t="str">
            <v>212C,436B</v>
          </cell>
          <cell r="G1288" t="str">
            <v>musa</v>
          </cell>
          <cell r="AA1288" t="str">
            <v>SCHNEIDER STOCK</v>
          </cell>
        </row>
        <row r="1289">
          <cell r="A1289" t="str">
            <v>C10F3TM032C</v>
          </cell>
          <cell r="B1289" t="str">
            <v>NSX100F 36kA AC 3P3D 32A TMD 50 °C</v>
          </cell>
          <cell r="C1289">
            <v>26</v>
          </cell>
          <cell r="E1289" t="str">
            <v>PCS</v>
          </cell>
          <cell r="F1289" t="str">
            <v>216A,216A</v>
          </cell>
          <cell r="G1289" t="str">
            <v>musa</v>
          </cell>
          <cell r="AA1289" t="str">
            <v>SCHNEIDER STOCK</v>
          </cell>
        </row>
        <row r="1290">
          <cell r="A1290" t="str">
            <v>C10F3TM040C</v>
          </cell>
          <cell r="B1290" t="str">
            <v>NSX100F 36kA AC 3P3D 40A TMD 50 °C</v>
          </cell>
          <cell r="C1290">
            <v>0</v>
          </cell>
          <cell r="E1290" t="str">
            <v>PCS</v>
          </cell>
          <cell r="F1290" t="str">
            <v>215A</v>
          </cell>
          <cell r="G1290" t="str">
            <v>musa</v>
          </cell>
          <cell r="AA1290" t="str">
            <v>SCHNEIDER STOCK</v>
          </cell>
        </row>
        <row r="1291">
          <cell r="A1291" t="str">
            <v>C10F6TM063C</v>
          </cell>
          <cell r="B1291" t="str">
            <v>NSX100F 36kA AC 4P3D 63A TMD 50 °C</v>
          </cell>
          <cell r="C1291">
            <v>2</v>
          </cell>
          <cell r="E1291" t="str">
            <v>PCS</v>
          </cell>
          <cell r="F1291" t="str">
            <v>218A</v>
          </cell>
          <cell r="G1291" t="str">
            <v>musa</v>
          </cell>
          <cell r="AA1291" t="str">
            <v>SCHNEIDER STOCK</v>
          </cell>
        </row>
        <row r="1292">
          <cell r="A1292" t="str">
            <v>C10N3TM100C</v>
          </cell>
          <cell r="B1292" t="str">
            <v>NSX100N 50kA AC 3P3D 100A TMD 50 °C</v>
          </cell>
          <cell r="C1292">
            <v>0</v>
          </cell>
          <cell r="E1292" t="str">
            <v>PCS</v>
          </cell>
          <cell r="G1292" t="str">
            <v>musa</v>
          </cell>
          <cell r="AA1292" t="str">
            <v>SCHNEIDER STOCK</v>
          </cell>
        </row>
        <row r="1293">
          <cell r="A1293" t="str">
            <v>C16F3TM125C</v>
          </cell>
          <cell r="B1293" t="str">
            <v>NSX160F 36kA AC 3P3D 125A TMD 50 °C</v>
          </cell>
          <cell r="C1293">
            <v>0</v>
          </cell>
          <cell r="E1293" t="str">
            <v>PCS</v>
          </cell>
          <cell r="G1293" t="str">
            <v>musa</v>
          </cell>
          <cell r="AA1293" t="str">
            <v>SCHNEIDER STOCK</v>
          </cell>
        </row>
        <row r="1294">
          <cell r="A1294" t="str">
            <v>C16F6TM125C</v>
          </cell>
          <cell r="B1294" t="str">
            <v>NSX160F 36kA AC 4P3D 125A TMD 50 °C</v>
          </cell>
          <cell r="C1294">
            <v>4</v>
          </cell>
          <cell r="E1294" t="str">
            <v>PCS</v>
          </cell>
          <cell r="F1294" t="str">
            <v>217A</v>
          </cell>
          <cell r="G1294" t="str">
            <v>musa</v>
          </cell>
          <cell r="AA1294" t="str">
            <v>SCHNEIDER STOCK</v>
          </cell>
        </row>
        <row r="1295">
          <cell r="A1295" t="str">
            <v>C16F6TM160C</v>
          </cell>
          <cell r="B1295" t="str">
            <v>NSX160F 36kA AC 4P3D 160A TMD 50 °C</v>
          </cell>
          <cell r="C1295">
            <v>8</v>
          </cell>
          <cell r="E1295" t="str">
            <v>PCS</v>
          </cell>
          <cell r="F1295" t="str">
            <v>218A</v>
          </cell>
          <cell r="G1295" t="str">
            <v>musa</v>
          </cell>
          <cell r="AA1295" t="str">
            <v>SCHNEIDER STOCK</v>
          </cell>
        </row>
        <row r="1296">
          <cell r="A1296" t="str">
            <v>C16N3TM125C</v>
          </cell>
          <cell r="B1296" t="str">
            <v>NSX160N 50kA AC 3P3D 125A TMD 50 °C</v>
          </cell>
          <cell r="C1296">
            <v>0</v>
          </cell>
          <cell r="E1296" t="str">
            <v>PCS</v>
          </cell>
          <cell r="G1296" t="str">
            <v>musa</v>
          </cell>
          <cell r="AA1296" t="str">
            <v>SCHNEIDER STOCK</v>
          </cell>
        </row>
        <row r="1297">
          <cell r="A1297" t="str">
            <v>C16N3TM160C</v>
          </cell>
          <cell r="B1297" t="str">
            <v>NSX160N 50kA AC 3P3D 160A TMD 50 °C</v>
          </cell>
          <cell r="C1297">
            <v>0</v>
          </cell>
          <cell r="E1297" t="str">
            <v>PCS</v>
          </cell>
          <cell r="G1297" t="str">
            <v>musa</v>
          </cell>
          <cell r="AA1297" t="str">
            <v>SCHNEIDER STOCK</v>
          </cell>
        </row>
        <row r="1298">
          <cell r="A1298" t="str">
            <v>C25F3TM200C</v>
          </cell>
          <cell r="B1298" t="str">
            <v>NSX250F 36kA AC 3P3D 200A TMD 50 °C</v>
          </cell>
          <cell r="C1298">
            <v>12</v>
          </cell>
          <cell r="E1298" t="str">
            <v>PCS</v>
          </cell>
          <cell r="F1298" t="str">
            <v>217A,217B</v>
          </cell>
          <cell r="G1298" t="str">
            <v>musa</v>
          </cell>
          <cell r="AA1298" t="str">
            <v>SCHNEIDER STOCK</v>
          </cell>
        </row>
        <row r="1299">
          <cell r="A1299" t="str">
            <v>C25F3TM250C</v>
          </cell>
          <cell r="B1299" t="str">
            <v>NSX250F 36kA AC 3P3D 250A TMD 50 °C</v>
          </cell>
          <cell r="C1299">
            <v>35</v>
          </cell>
          <cell r="E1299" t="str">
            <v>PCS</v>
          </cell>
          <cell r="G1299" t="str">
            <v>musa</v>
          </cell>
          <cell r="AA1299" t="str">
            <v>SCHNEIDER STOCK</v>
          </cell>
        </row>
        <row r="1300">
          <cell r="A1300" t="str">
            <v>C25F6TM200C</v>
          </cell>
          <cell r="B1300" t="str">
            <v>NSX250F 36kA AC 4P3D 200A TMD 50 °C</v>
          </cell>
          <cell r="C1300">
            <v>4</v>
          </cell>
          <cell r="E1300" t="str">
            <v>PCS</v>
          </cell>
          <cell r="G1300" t="str">
            <v>musa</v>
          </cell>
          <cell r="AA1300" t="str">
            <v>SCHNEIDER STOCK</v>
          </cell>
        </row>
        <row r="1301">
          <cell r="A1301" t="str">
            <v>C25F6TM250C</v>
          </cell>
          <cell r="B1301" t="str">
            <v>NSX250F 36kA AC 4P3D 250A TMD 50 °C</v>
          </cell>
          <cell r="C1301">
            <v>14</v>
          </cell>
          <cell r="E1301" t="str">
            <v>PCS</v>
          </cell>
          <cell r="F1301" t="str">
            <v>216A,217A</v>
          </cell>
          <cell r="G1301" t="str">
            <v>musa</v>
          </cell>
          <cell r="AA1301" t="str">
            <v>SCHNEIDER STOCK</v>
          </cell>
        </row>
        <row r="1302">
          <cell r="A1302" t="str">
            <v>C25N3TM200C</v>
          </cell>
          <cell r="B1302" t="str">
            <v>NSX250N 50kA AC 3P3D 200A TMD 50 °C</v>
          </cell>
          <cell r="C1302">
            <v>0</v>
          </cell>
          <cell r="E1302" t="str">
            <v>PCS</v>
          </cell>
          <cell r="G1302" t="str">
            <v>musa</v>
          </cell>
          <cell r="AA1302" t="str">
            <v>SCHNEIDER STOCK</v>
          </cell>
        </row>
        <row r="1303">
          <cell r="A1303" t="str">
            <v>C25N3TM250C</v>
          </cell>
          <cell r="B1303" t="str">
            <v>NSX250N 50kA AC 3P3D 250A TMD 50 °C</v>
          </cell>
          <cell r="C1303">
            <v>0</v>
          </cell>
          <cell r="E1303" t="str">
            <v>PCS</v>
          </cell>
          <cell r="G1303" t="str">
            <v>musa</v>
          </cell>
          <cell r="AA1303" t="str">
            <v>SCHNEIDER STOCK</v>
          </cell>
        </row>
        <row r="1304">
          <cell r="A1304" t="str">
            <v>C40F42D400</v>
          </cell>
          <cell r="B1304" t="str">
            <v>NSX400F 36kA AC 4P4D 400A 2.3</v>
          </cell>
          <cell r="C1304">
            <v>0</v>
          </cell>
          <cell r="E1304" t="str">
            <v>PCS</v>
          </cell>
          <cell r="G1304" t="str">
            <v>musa</v>
          </cell>
          <cell r="AA1304" t="str">
            <v>SCHNEIDER STOCK</v>
          </cell>
        </row>
        <row r="1305">
          <cell r="A1305" t="str">
            <v>C40N32D400</v>
          </cell>
          <cell r="B1305" t="str">
            <v>NSX400N 50kA AC 3P3D 400A 2.3</v>
          </cell>
          <cell r="C1305">
            <v>0</v>
          </cell>
          <cell r="E1305" t="str">
            <v>PCS</v>
          </cell>
          <cell r="G1305" t="str">
            <v>musa</v>
          </cell>
          <cell r="AA1305" t="str">
            <v>SCHNEIDER STOCK</v>
          </cell>
        </row>
        <row r="1306">
          <cell r="A1306" t="str">
            <v>C63F42D630</v>
          </cell>
          <cell r="B1306" t="str">
            <v>NSX630F 36kA AC 4P4D 630A 2.3</v>
          </cell>
          <cell r="C1306">
            <v>0</v>
          </cell>
          <cell r="E1306" t="str">
            <v>PCS</v>
          </cell>
          <cell r="G1306" t="str">
            <v>musa</v>
          </cell>
          <cell r="AA1306" t="str">
            <v>SCHNEIDER STOCK</v>
          </cell>
        </row>
        <row r="1307">
          <cell r="A1307" t="str">
            <v>C63N32D630</v>
          </cell>
          <cell r="B1307" t="str">
            <v>NSX630N 50kA AC 3P3D 630A 2.3\</v>
          </cell>
          <cell r="C1307">
            <v>0</v>
          </cell>
          <cell r="E1307" t="str">
            <v>PCS</v>
          </cell>
          <cell r="G1307" t="str">
            <v>musa</v>
          </cell>
          <cell r="AA1307" t="str">
            <v>SCHNEIDER STOCK</v>
          </cell>
        </row>
        <row r="1308">
          <cell r="A1308" t="str">
            <v>CAD32F7</v>
          </cell>
          <cell r="B1308" t="str">
            <v>AUXILIARY CONTACTOR</v>
          </cell>
          <cell r="C1308">
            <v>0</v>
          </cell>
          <cell r="E1308" t="str">
            <v>PCS</v>
          </cell>
          <cell r="G1308" t="str">
            <v>musa</v>
          </cell>
          <cell r="AA1308" t="str">
            <v>SCHNEIDER STOCK</v>
          </cell>
        </row>
        <row r="1309">
          <cell r="A1309" t="str">
            <v>EZC100F3030</v>
          </cell>
          <cell r="B1309" t="str">
            <v>mg ezc100 f 10ka 3p/3t 30</v>
          </cell>
          <cell r="C1309">
            <v>38</v>
          </cell>
          <cell r="E1309" t="str">
            <v>PCS</v>
          </cell>
          <cell r="F1309" t="str">
            <v>216A</v>
          </cell>
          <cell r="G1309" t="str">
            <v>musa</v>
          </cell>
          <cell r="AA1309" t="str">
            <v>SCHNEIDER STOCK</v>
          </cell>
        </row>
        <row r="1310">
          <cell r="A1310" t="str">
            <v>EZC100F3040</v>
          </cell>
          <cell r="B1310" t="str">
            <v>EZ100F MCCB 10KA/400V 3P 40A</v>
          </cell>
          <cell r="C1310">
            <v>75</v>
          </cell>
          <cell r="E1310" t="str">
            <v>PCS</v>
          </cell>
          <cell r="F1310" t="str">
            <v>216A</v>
          </cell>
          <cell r="G1310" t="str">
            <v>musa</v>
          </cell>
          <cell r="AA1310" t="str">
            <v>SCHNEIDER STOCK</v>
          </cell>
        </row>
        <row r="1311">
          <cell r="A1311" t="str">
            <v>EZC100F3080</v>
          </cell>
          <cell r="B1311" t="str">
            <v>mg ezc100 f 10ka 3p/3t 80</v>
          </cell>
          <cell r="C1311">
            <v>38</v>
          </cell>
          <cell r="E1311" t="str">
            <v>PCS</v>
          </cell>
          <cell r="F1311" t="str">
            <v>216A</v>
          </cell>
          <cell r="G1311" t="str">
            <v>musa</v>
          </cell>
          <cell r="AA1311" t="str">
            <v>SCHNEIDER STOCK</v>
          </cell>
        </row>
        <row r="1312">
          <cell r="A1312" t="str">
            <v>EZC400N3400N</v>
          </cell>
          <cell r="B1312" t="str">
            <v>400 A, EZC MCCB, 36KA,3P3D</v>
          </cell>
          <cell r="C1312">
            <v>34</v>
          </cell>
          <cell r="E1312" t="str">
            <v>PCS</v>
          </cell>
          <cell r="F1312" t="str">
            <v>213A</v>
          </cell>
          <cell r="G1312" t="str">
            <v>musa</v>
          </cell>
          <cell r="AA1312" t="str">
            <v>SCHNEIDER STOCK</v>
          </cell>
        </row>
        <row r="1313">
          <cell r="A1313" t="str">
            <v>GC2520M6</v>
          </cell>
          <cell r="B1313" t="str">
            <v>MOD CONT 2NO 25A 250V AC7a 220VAC COIL</v>
          </cell>
          <cell r="C1313">
            <v>0</v>
          </cell>
          <cell r="E1313" t="str">
            <v>PCS</v>
          </cell>
          <cell r="G1313" t="str">
            <v>musa</v>
          </cell>
          <cell r="AA1313" t="str">
            <v>SCHNEIDER STOCK</v>
          </cell>
        </row>
        <row r="1314">
          <cell r="A1314" t="str">
            <v>GC4020M6</v>
          </cell>
          <cell r="B1314" t="str">
            <v>MOD CONT 2NO 40A 250V AC7a 220VAC COIL</v>
          </cell>
          <cell r="C1314">
            <v>391</v>
          </cell>
          <cell r="E1314" t="str">
            <v>PCS</v>
          </cell>
          <cell r="F1314" t="str">
            <v>221A</v>
          </cell>
          <cell r="G1314" t="str">
            <v>musa</v>
          </cell>
          <cell r="AA1314" t="str">
            <v>SCHNEIDER STOCK</v>
          </cell>
        </row>
        <row r="1315">
          <cell r="A1315" t="str">
            <v>GC6330M6</v>
          </cell>
          <cell r="B1315" t="str">
            <v>MOD CONT 3NO 63A 250V AC7a 220VAC COIL</v>
          </cell>
          <cell r="C1315">
            <v>162</v>
          </cell>
          <cell r="E1315" t="str">
            <v>PCS</v>
          </cell>
          <cell r="F1315" t="str">
            <v>232B,223A</v>
          </cell>
          <cell r="G1315" t="str">
            <v>musa</v>
          </cell>
          <cell r="AA1315" t="str">
            <v>SCHNEIDER STOCK</v>
          </cell>
        </row>
        <row r="1316">
          <cell r="A1316" t="str">
            <v>GV2ME16</v>
          </cell>
          <cell r="B1316" t="str">
            <v>GV2ME MOTOR CB THERM/MAG 9-14A ROCKER</v>
          </cell>
          <cell r="C1316">
            <v>115</v>
          </cell>
          <cell r="E1316" t="str">
            <v>PCS</v>
          </cell>
          <cell r="F1316" t="str">
            <v>217A</v>
          </cell>
          <cell r="G1316" t="str">
            <v>musa</v>
          </cell>
          <cell r="AA1316" t="str">
            <v>SCHNEIDER STOCK</v>
          </cell>
        </row>
        <row r="1317">
          <cell r="A1317" t="str">
            <v>GV2ME21</v>
          </cell>
          <cell r="B1317" t="str">
            <v>GV2ME MOTOR CB THERM/MAG 17-23A ROCKER</v>
          </cell>
          <cell r="C1317">
            <v>110</v>
          </cell>
          <cell r="E1317" t="str">
            <v>PCS</v>
          </cell>
          <cell r="F1317" t="str">
            <v>215A</v>
          </cell>
          <cell r="G1317" t="str">
            <v>musa</v>
          </cell>
          <cell r="AA1317" t="str">
            <v>SCHNEIDER STOCK</v>
          </cell>
        </row>
        <row r="1318">
          <cell r="A1318" t="str">
            <v>GV3P32</v>
          </cell>
          <cell r="B1318" t="str">
            <v>MPCB T/M REL 23-32A EVR LINK P BUTTON</v>
          </cell>
          <cell r="C1318">
            <v>5</v>
          </cell>
          <cell r="E1318" t="str">
            <v>PCS</v>
          </cell>
          <cell r="F1318" t="str">
            <v>215B</v>
          </cell>
          <cell r="G1318" t="str">
            <v>musa</v>
          </cell>
          <cell r="AA1318" t="str">
            <v>SCHNEIDER STOCK</v>
          </cell>
        </row>
        <row r="1319">
          <cell r="A1319" t="str">
            <v>GV3P65</v>
          </cell>
          <cell r="B1319" t="str">
            <v>TeSys GV3 - Motor circuit breaker 48-65A</v>
          </cell>
          <cell r="C1319">
            <v>45</v>
          </cell>
          <cell r="E1319" t="str">
            <v>PCS</v>
          </cell>
          <cell r="F1319" t="str">
            <v>217A</v>
          </cell>
          <cell r="G1319" t="str">
            <v>musa</v>
          </cell>
          <cell r="AA1319" t="str">
            <v>SCHNEIDER STOCK</v>
          </cell>
        </row>
        <row r="1320">
          <cell r="A1320" t="str">
            <v>GV3P73</v>
          </cell>
          <cell r="B1320" t="str">
            <v>GV3P MOTOR CB THERMO/MAG 62-73A EVERLINK</v>
          </cell>
          <cell r="C1320">
            <v>12</v>
          </cell>
          <cell r="E1320" t="str">
            <v>PCS</v>
          </cell>
          <cell r="F1320" t="str">
            <v>215B</v>
          </cell>
          <cell r="G1320" t="str">
            <v>musa</v>
          </cell>
          <cell r="AA1320" t="str">
            <v>SCHNEIDER STOCK</v>
          </cell>
        </row>
        <row r="1321">
          <cell r="A1321" t="str">
            <v>LADN02</v>
          </cell>
          <cell r="B1321" t="str">
            <v>CONTACTS BLOCK</v>
          </cell>
          <cell r="C1321">
            <v>30</v>
          </cell>
          <cell r="E1321" t="str">
            <v>PCS</v>
          </cell>
          <cell r="F1321" t="str">
            <v>224B</v>
          </cell>
          <cell r="G1321" t="str">
            <v>musa</v>
          </cell>
          <cell r="AA1321" t="str">
            <v>SCHNEIDER STOCK</v>
          </cell>
        </row>
        <row r="1322">
          <cell r="A1322" t="str">
            <v>LADN04</v>
          </cell>
          <cell r="B1322" t="str">
            <v>CONTACTS BLOCK</v>
          </cell>
          <cell r="C1322">
            <v>15</v>
          </cell>
          <cell r="E1322" t="str">
            <v>PCS</v>
          </cell>
          <cell r="F1322" t="str">
            <v>225B</v>
          </cell>
          <cell r="G1322" t="str">
            <v>musa</v>
          </cell>
          <cell r="AA1322" t="str">
            <v>SCHNEIDER STOCK</v>
          </cell>
        </row>
        <row r="1323">
          <cell r="A1323" t="str">
            <v>LADN13</v>
          </cell>
          <cell r="B1323" t="str">
            <v>TeSys D aux contacts block 1NO+3NC screw</v>
          </cell>
          <cell r="C1323">
            <v>20</v>
          </cell>
          <cell r="E1323" t="str">
            <v>PCS</v>
          </cell>
          <cell r="G1323" t="str">
            <v>musa</v>
          </cell>
          <cell r="AA1323" t="str">
            <v>SCHNEIDER STOCK</v>
          </cell>
        </row>
        <row r="1324">
          <cell r="A1324" t="str">
            <v>LADN20</v>
          </cell>
          <cell r="B1324" t="str">
            <v>TeSys D aux contacts block 2NO screw</v>
          </cell>
          <cell r="C1324">
            <v>0</v>
          </cell>
          <cell r="E1324" t="str">
            <v>PCS</v>
          </cell>
          <cell r="G1324" t="str">
            <v>musa</v>
          </cell>
          <cell r="AA1324" t="str">
            <v>SCHNEIDER STOCK</v>
          </cell>
        </row>
        <row r="1325">
          <cell r="A1325" t="str">
            <v>LADN31</v>
          </cell>
          <cell r="B1325" t="str">
            <v>CONTACTS BLOCK</v>
          </cell>
          <cell r="C1325">
            <v>0</v>
          </cell>
          <cell r="E1325" t="str">
            <v>PCS</v>
          </cell>
          <cell r="G1325" t="str">
            <v>musa</v>
          </cell>
          <cell r="AA1325" t="str">
            <v>SCHNEIDER STOCK</v>
          </cell>
        </row>
        <row r="1326">
          <cell r="A1326" t="str">
            <v>LADN40</v>
          </cell>
          <cell r="B1326" t="str">
            <v>CONTACTS BLOCK</v>
          </cell>
          <cell r="C1326">
            <v>30</v>
          </cell>
          <cell r="E1326" t="str">
            <v>PCS</v>
          </cell>
          <cell r="G1326" t="str">
            <v>musa</v>
          </cell>
          <cell r="AA1326" t="str">
            <v>SCHNEIDER STOCK</v>
          </cell>
        </row>
        <row r="1327">
          <cell r="A1327" t="str">
            <v>LC1D09BD</v>
          </cell>
          <cell r="B1327" t="str">
            <v>3P CONT 9A AC3 4KW 1NO 1NC 24VDC COIL</v>
          </cell>
          <cell r="C1327">
            <v>23</v>
          </cell>
          <cell r="E1327" t="str">
            <v>PCS</v>
          </cell>
          <cell r="F1327" t="str">
            <v>217B</v>
          </cell>
          <cell r="G1327" t="str">
            <v>musa</v>
          </cell>
          <cell r="AA1327" t="str">
            <v>SCHNEIDER STOCK</v>
          </cell>
        </row>
        <row r="1328">
          <cell r="A1328" t="str">
            <v>LC1D09E7</v>
          </cell>
          <cell r="B1328" t="str">
            <v>TeSys D contactor 3P AC3 9A 48V AC coil</v>
          </cell>
          <cell r="C1328">
            <v>43</v>
          </cell>
          <cell r="E1328" t="str">
            <v>PCS</v>
          </cell>
          <cell r="F1328" t="str">
            <v>219B</v>
          </cell>
          <cell r="G1328" t="str">
            <v>musa</v>
          </cell>
          <cell r="AA1328" t="str">
            <v>SCHNEIDER STOCK</v>
          </cell>
        </row>
        <row r="1329">
          <cell r="A1329" t="str">
            <v>LC1D115B7</v>
          </cell>
          <cell r="B1329" t="str">
            <v>TeSys D contactor 3P AC3 115A 24V AC coi</v>
          </cell>
          <cell r="C1329">
            <v>5</v>
          </cell>
          <cell r="E1329" t="str">
            <v>PCS</v>
          </cell>
          <cell r="F1329" t="str">
            <v>227A</v>
          </cell>
          <cell r="G1329" t="str">
            <v>musa</v>
          </cell>
          <cell r="AA1329" t="str">
            <v>SCHNEIDER STOCK</v>
          </cell>
        </row>
        <row r="1330">
          <cell r="A1330" t="str">
            <v>LC1D115E7</v>
          </cell>
          <cell r="B1330" t="str">
            <v>TeSys D contactor 3P AC3 115A 48V AC coi</v>
          </cell>
          <cell r="C1330">
            <v>0</v>
          </cell>
          <cell r="E1330" t="str">
            <v>PCS</v>
          </cell>
          <cell r="G1330" t="str">
            <v>musa</v>
          </cell>
          <cell r="AA1330" t="str">
            <v>SCHNEIDER STOCK</v>
          </cell>
        </row>
        <row r="1331">
          <cell r="A1331" t="str">
            <v>LC1D115M7</v>
          </cell>
          <cell r="B1331" t="str">
            <v>TeSys D contactor 3P AC3 115A 220V AC co</v>
          </cell>
          <cell r="C1331">
            <v>17</v>
          </cell>
          <cell r="E1331" t="str">
            <v>PCS</v>
          </cell>
          <cell r="G1331" t="str">
            <v>musa</v>
          </cell>
          <cell r="AA1331" t="str">
            <v>SCHNEIDER STOCK</v>
          </cell>
        </row>
        <row r="1332">
          <cell r="A1332" t="str">
            <v>LC1D128B7</v>
          </cell>
          <cell r="B1332" t="str">
            <v>MAGNETIC CONTACTOR 25A AC1 4P 2NO 2NC</v>
          </cell>
          <cell r="C1332">
            <v>7</v>
          </cell>
          <cell r="E1332" t="str">
            <v>PCS</v>
          </cell>
          <cell r="F1332" t="str">
            <v>217A</v>
          </cell>
          <cell r="G1332" t="str">
            <v>musa</v>
          </cell>
          <cell r="AA1332" t="str">
            <v>SCHNEIDER STOCK</v>
          </cell>
        </row>
        <row r="1333">
          <cell r="A1333" t="str">
            <v>LC1D128F7</v>
          </cell>
          <cell r="B1333" t="str">
            <v>MAGNETIC CONTACTOR 25A AC1 4P 2NO 2NC</v>
          </cell>
          <cell r="C1333">
            <v>20</v>
          </cell>
          <cell r="E1333" t="str">
            <v>PCS</v>
          </cell>
          <cell r="F1333" t="str">
            <v>217A</v>
          </cell>
          <cell r="G1333" t="str">
            <v>musa</v>
          </cell>
          <cell r="AA1333" t="str">
            <v>SCHNEIDER STOCK</v>
          </cell>
        </row>
        <row r="1334">
          <cell r="A1334" t="str">
            <v>LC1D128M7</v>
          </cell>
          <cell r="B1334" t="str">
            <v>MAGNETIC CONTACTOR 25A AC1 4P 2NO 2NC</v>
          </cell>
          <cell r="C1334">
            <v>33</v>
          </cell>
          <cell r="E1334" t="str">
            <v>PCS</v>
          </cell>
          <cell r="F1334" t="str">
            <v>217A</v>
          </cell>
          <cell r="G1334" t="str">
            <v>musa</v>
          </cell>
          <cell r="AA1334" t="str">
            <v>SCHNEIDER STOCK</v>
          </cell>
        </row>
        <row r="1335">
          <cell r="A1335" t="str">
            <v>LC1D12BD</v>
          </cell>
          <cell r="B1335" t="str">
            <v>TeSys D contactor 3P AC3 12A 24V DC coil</v>
          </cell>
          <cell r="C1335">
            <v>43</v>
          </cell>
          <cell r="E1335" t="str">
            <v>PCS</v>
          </cell>
          <cell r="F1335" t="str">
            <v>219B</v>
          </cell>
          <cell r="G1335" t="str">
            <v>musa</v>
          </cell>
          <cell r="AA1335" t="str">
            <v>SCHNEIDER STOCK</v>
          </cell>
        </row>
        <row r="1336">
          <cell r="A1336" t="str">
            <v>LC1D12E7</v>
          </cell>
          <cell r="B1336" t="str">
            <v>CONTACTOR 12A 1F PLUS 1O 48V 50 60</v>
          </cell>
          <cell r="C1336">
            <v>43</v>
          </cell>
          <cell r="E1336" t="str">
            <v>PCS</v>
          </cell>
          <cell r="F1336" t="str">
            <v>212A</v>
          </cell>
          <cell r="G1336" t="str">
            <v>musa</v>
          </cell>
          <cell r="AA1336" t="str">
            <v>SCHNEIDER STOCK</v>
          </cell>
        </row>
        <row r="1337">
          <cell r="A1337" t="str">
            <v>LC1D12F7</v>
          </cell>
          <cell r="B1337" t="str">
            <v>CONTACTOR 12A 1F+1O 110V 50 60</v>
          </cell>
          <cell r="C1337">
            <v>65</v>
          </cell>
          <cell r="E1337" t="str">
            <v>PCS</v>
          </cell>
          <cell r="F1337" t="str">
            <v>246AB</v>
          </cell>
          <cell r="G1337" t="str">
            <v>musa</v>
          </cell>
          <cell r="AA1337" t="str">
            <v>SCHNEIDER STOCK</v>
          </cell>
        </row>
        <row r="1338">
          <cell r="A1338" t="str">
            <v>LC1D12M7</v>
          </cell>
          <cell r="B1338" t="str">
            <v>Contactor TeSys D 3P AC3 12A 220VAC coil</v>
          </cell>
          <cell r="C1338">
            <v>96</v>
          </cell>
          <cell r="E1338" t="str">
            <v>PCS</v>
          </cell>
          <cell r="F1338" t="str">
            <v>212A</v>
          </cell>
          <cell r="G1338" t="str">
            <v>musa</v>
          </cell>
          <cell r="AA1338" t="str">
            <v>SCHNEIDER STOCK</v>
          </cell>
        </row>
        <row r="1339">
          <cell r="A1339" t="str">
            <v>LC1D12Q7</v>
          </cell>
          <cell r="B1339" t="str">
            <v>CONTACTOR</v>
          </cell>
          <cell r="C1339">
            <v>12</v>
          </cell>
          <cell r="E1339" t="str">
            <v>PCS</v>
          </cell>
          <cell r="F1339" t="str">
            <v>219B</v>
          </cell>
          <cell r="G1339" t="str">
            <v>musa</v>
          </cell>
          <cell r="AA1339" t="str">
            <v>SCHNEIDER STOCK</v>
          </cell>
        </row>
        <row r="1340">
          <cell r="A1340" t="str">
            <v>LC1D150B7</v>
          </cell>
          <cell r="B1340" t="str">
            <v>TeSys D contactor 3P AC3 150A 24V AC coi</v>
          </cell>
          <cell r="C1340">
            <v>0</v>
          </cell>
          <cell r="E1340" t="str">
            <v>PCS</v>
          </cell>
          <cell r="G1340" t="str">
            <v>musa</v>
          </cell>
          <cell r="AA1340" t="str">
            <v>SCHNEIDER STOCK</v>
          </cell>
        </row>
        <row r="1341">
          <cell r="A1341" t="str">
            <v>LC1D150F7</v>
          </cell>
          <cell r="B1341" t="str">
            <v>TeSys D contactor 3P AC3 150A 110V AC co</v>
          </cell>
          <cell r="C1341">
            <v>0</v>
          </cell>
          <cell r="E1341" t="str">
            <v>PCS</v>
          </cell>
          <cell r="G1341" t="str">
            <v>musa</v>
          </cell>
          <cell r="AA1341" t="str">
            <v>SCHNEIDER STOCK</v>
          </cell>
        </row>
        <row r="1342">
          <cell r="A1342" t="str">
            <v>LC1D150M7</v>
          </cell>
          <cell r="B1342" t="str">
            <v>TeSys D contactor 3P AC3 150A 220V AC co</v>
          </cell>
          <cell r="C1342">
            <v>21</v>
          </cell>
          <cell r="E1342" t="str">
            <v>PCS</v>
          </cell>
          <cell r="F1342" t="str">
            <v>219A</v>
          </cell>
          <cell r="G1342" t="str">
            <v>musa</v>
          </cell>
          <cell r="AA1342" t="str">
            <v>SCHNEIDER STOCK</v>
          </cell>
        </row>
        <row r="1343">
          <cell r="A1343" t="str">
            <v>LC1D18B7</v>
          </cell>
          <cell r="B1343" t="str">
            <v>CONTACTOR 18A 1F+1O 24V 50/60</v>
          </cell>
          <cell r="C1343">
            <v>80</v>
          </cell>
          <cell r="E1343" t="str">
            <v>PCS</v>
          </cell>
          <cell r="F1343" t="str">
            <v>212A</v>
          </cell>
          <cell r="G1343" t="str">
            <v>musa</v>
          </cell>
          <cell r="AA1343" t="str">
            <v>SCHNEIDER STOCK</v>
          </cell>
        </row>
        <row r="1344">
          <cell r="A1344" t="str">
            <v>LC1D18BD</v>
          </cell>
          <cell r="B1344" t="str">
            <v>3P CONT 18A AC3 9KW 1NO 1NC 24VDC COIL</v>
          </cell>
          <cell r="C1344">
            <v>25</v>
          </cell>
          <cell r="E1344" t="str">
            <v>PCS</v>
          </cell>
          <cell r="F1344" t="str">
            <v>212A</v>
          </cell>
          <cell r="G1344" t="str">
            <v>musa</v>
          </cell>
          <cell r="AA1344" t="str">
            <v>SCHNEIDER STOCK</v>
          </cell>
        </row>
        <row r="1345">
          <cell r="A1345" t="str">
            <v>LC1D18F7</v>
          </cell>
          <cell r="B1345" t="str">
            <v>CONTACTOR 18A 1F+1O 110V 50/60</v>
          </cell>
          <cell r="C1345">
            <v>85</v>
          </cell>
          <cell r="E1345" t="str">
            <v>PCS</v>
          </cell>
          <cell r="F1345" t="str">
            <v>246AB</v>
          </cell>
          <cell r="G1345" t="str">
            <v>musa</v>
          </cell>
          <cell r="AA1345" t="str">
            <v>SCHNEIDER STOCK</v>
          </cell>
        </row>
        <row r="1346">
          <cell r="A1346" t="str">
            <v>LC1D18M7</v>
          </cell>
          <cell r="B1346" t="str">
            <v>Contactor TeSys D 3P AC3 18A 220VAC coil</v>
          </cell>
          <cell r="C1346">
            <v>195</v>
          </cell>
          <cell r="E1346" t="str">
            <v>PCS</v>
          </cell>
          <cell r="F1346" t="str">
            <v>220A</v>
          </cell>
          <cell r="G1346" t="str">
            <v>musa</v>
          </cell>
          <cell r="AA1346" t="str">
            <v>SCHNEIDER STOCK</v>
          </cell>
        </row>
        <row r="1347">
          <cell r="A1347" t="str">
            <v>LC1D18Q7</v>
          </cell>
          <cell r="B1347" t="str">
            <v>Contactor TeSys D 3P AC3 18A 380VAC coil</v>
          </cell>
          <cell r="C1347">
            <v>17</v>
          </cell>
          <cell r="E1347" t="str">
            <v>PCS</v>
          </cell>
          <cell r="G1347" t="str">
            <v>musa</v>
          </cell>
          <cell r="AA1347" t="str">
            <v>SCHNEIDER STOCK</v>
          </cell>
        </row>
        <row r="1348">
          <cell r="A1348" t="str">
            <v>LC1D258B7</v>
          </cell>
          <cell r="B1348" t="str">
            <v>MAGNETIC CONTACTOR 40A 440V AC1 4P 24VAC</v>
          </cell>
          <cell r="C1348">
            <v>20</v>
          </cell>
          <cell r="E1348" t="str">
            <v>PCS</v>
          </cell>
          <cell r="F1348" t="str">
            <v>215A</v>
          </cell>
          <cell r="G1348" t="str">
            <v>musa</v>
          </cell>
          <cell r="AA1348" t="str">
            <v>SCHNEIDER STOCK</v>
          </cell>
        </row>
        <row r="1349">
          <cell r="A1349" t="str">
            <v>LC1D258M7</v>
          </cell>
          <cell r="B1349" t="str">
            <v>MAGNETIC CONTACTOR 40A 440V AC1 4P220VAC</v>
          </cell>
          <cell r="C1349">
            <v>52</v>
          </cell>
          <cell r="E1349" t="str">
            <v>PCS</v>
          </cell>
          <cell r="G1349" t="str">
            <v>musa</v>
          </cell>
          <cell r="AA1349" t="str">
            <v>SCHNEIDER STOCK</v>
          </cell>
        </row>
        <row r="1350">
          <cell r="A1350" t="str">
            <v>LC1D25B7</v>
          </cell>
          <cell r="B1350" t="str">
            <v>3P CONT 25A AC3 11KW 1NO 1NC 24VAC COIL</v>
          </cell>
          <cell r="C1350">
            <v>0</v>
          </cell>
          <cell r="E1350" t="str">
            <v>PCS</v>
          </cell>
          <cell r="G1350" t="str">
            <v>musa</v>
          </cell>
          <cell r="AA1350" t="str">
            <v>SCHNEIDER STOCK</v>
          </cell>
        </row>
        <row r="1351">
          <cell r="A1351" t="str">
            <v>LC1D25BD</v>
          </cell>
          <cell r="B1351" t="str">
            <v>3P CONT 25A AC3 11KW 1NO 1NC 24VDC COIL</v>
          </cell>
          <cell r="C1351">
            <v>43</v>
          </cell>
          <cell r="E1351" t="str">
            <v>PCS</v>
          </cell>
          <cell r="F1351" t="str">
            <v>219B</v>
          </cell>
          <cell r="G1351" t="str">
            <v>musa</v>
          </cell>
          <cell r="AA1351" t="str">
            <v>SCHNEIDER STOCK</v>
          </cell>
        </row>
        <row r="1352">
          <cell r="A1352" t="str">
            <v>LC1D25E7</v>
          </cell>
          <cell r="B1352" t="str">
            <v>3P CONT 25A AC3 11KW 1NO 1NC 48VAC COIL</v>
          </cell>
          <cell r="C1352">
            <v>22</v>
          </cell>
          <cell r="E1352" t="str">
            <v>PCS</v>
          </cell>
          <cell r="F1352" t="str">
            <v>218B</v>
          </cell>
          <cell r="G1352" t="str">
            <v>musa</v>
          </cell>
          <cell r="AA1352" t="str">
            <v>SCHNEIDER STOCK</v>
          </cell>
        </row>
        <row r="1353">
          <cell r="A1353" t="str">
            <v>LC1D25Q7</v>
          </cell>
          <cell r="B1353" t="str">
            <v>TeSys D contactor 3P AC3 25A 380V AC coi</v>
          </cell>
          <cell r="C1353">
            <v>22</v>
          </cell>
          <cell r="E1353" t="str">
            <v>PCS</v>
          </cell>
          <cell r="F1353" t="str">
            <v>219B</v>
          </cell>
          <cell r="G1353" t="str">
            <v>musa</v>
          </cell>
          <cell r="AA1353" t="str">
            <v>SCHNEIDER STOCK</v>
          </cell>
        </row>
        <row r="1354">
          <cell r="A1354" t="str">
            <v>LC1D32B7</v>
          </cell>
          <cell r="B1354" t="str">
            <v>CONT 32A AC3 15KW 1NO 1NC 24VAC COIL</v>
          </cell>
          <cell r="C1354">
            <v>85</v>
          </cell>
          <cell r="E1354" t="str">
            <v>PCS</v>
          </cell>
          <cell r="F1354" t="str">
            <v>217B,219B</v>
          </cell>
          <cell r="G1354" t="str">
            <v>musa</v>
          </cell>
          <cell r="AA1354" t="str">
            <v>SCHNEIDER STOCK</v>
          </cell>
        </row>
        <row r="1355">
          <cell r="A1355" t="str">
            <v>LC1D32BD</v>
          </cell>
          <cell r="B1355" t="str">
            <v>3P CONT 32A AC3 15KW 1NO 1NC 24VDC COIL</v>
          </cell>
          <cell r="C1355">
            <v>43</v>
          </cell>
          <cell r="E1355" t="str">
            <v>PCS</v>
          </cell>
          <cell r="F1355" t="str">
            <v>219B</v>
          </cell>
          <cell r="G1355" t="str">
            <v>musa</v>
          </cell>
          <cell r="AA1355" t="str">
            <v>SCHNEIDER STOCK</v>
          </cell>
        </row>
        <row r="1356">
          <cell r="A1356" t="str">
            <v>LC1D32E7</v>
          </cell>
          <cell r="B1356" t="str">
            <v>TeSys D contactor 3P AC3 32A 48V AC coil</v>
          </cell>
          <cell r="C1356">
            <v>22</v>
          </cell>
          <cell r="E1356" t="str">
            <v>PCS</v>
          </cell>
          <cell r="F1356" t="str">
            <v>219B,219B</v>
          </cell>
          <cell r="G1356" t="str">
            <v>musa</v>
          </cell>
          <cell r="AA1356" t="str">
            <v>SCHNEIDER STOCK</v>
          </cell>
        </row>
        <row r="1357">
          <cell r="A1357" t="str">
            <v>LC1D32M7</v>
          </cell>
          <cell r="B1357" t="str">
            <v>CONT 32A AC3 15KW 1NO 1NC 220VAC COIL</v>
          </cell>
          <cell r="C1357">
            <v>155</v>
          </cell>
          <cell r="E1357" t="str">
            <v>PCS</v>
          </cell>
          <cell r="F1357" t="str">
            <v>218A</v>
          </cell>
          <cell r="G1357" t="str">
            <v>musa</v>
          </cell>
          <cell r="AA1357" t="str">
            <v>SCHNEIDER STOCK</v>
          </cell>
        </row>
        <row r="1358">
          <cell r="A1358" t="str">
            <v>LC1D32Q7</v>
          </cell>
          <cell r="B1358" t="str">
            <v>CONTACTOR</v>
          </cell>
          <cell r="C1358">
            <v>12</v>
          </cell>
          <cell r="E1358" t="str">
            <v>PCS</v>
          </cell>
          <cell r="F1358" t="str">
            <v>218B</v>
          </cell>
          <cell r="G1358" t="str">
            <v>musa</v>
          </cell>
          <cell r="AA1358" t="str">
            <v>SCHNEIDER STOCK</v>
          </cell>
        </row>
        <row r="1359">
          <cell r="A1359" t="str">
            <v>LC1D38B7</v>
          </cell>
          <cell r="B1359" t="str">
            <v>CONT 38 AC3 18.5KW 1NO 1NC 24VAC COIL</v>
          </cell>
          <cell r="C1359">
            <v>12</v>
          </cell>
          <cell r="E1359" t="str">
            <v>PCS</v>
          </cell>
          <cell r="F1359" t="str">
            <v>219B</v>
          </cell>
          <cell r="G1359" t="str">
            <v>musa</v>
          </cell>
          <cell r="AA1359" t="str">
            <v>SCHNEIDER STOCK</v>
          </cell>
        </row>
        <row r="1360">
          <cell r="A1360" t="str">
            <v>LC1D38BD</v>
          </cell>
          <cell r="B1360" t="str">
            <v>TeSys D contactor 3P AC3 38A 24V DC coil</v>
          </cell>
          <cell r="C1360">
            <v>14</v>
          </cell>
          <cell r="E1360" t="str">
            <v>PCS</v>
          </cell>
          <cell r="F1360" t="str">
            <v>219B</v>
          </cell>
          <cell r="G1360" t="str">
            <v>musa</v>
          </cell>
          <cell r="AA1360" t="str">
            <v>SCHNEIDER STOCK</v>
          </cell>
        </row>
        <row r="1361">
          <cell r="A1361" t="str">
            <v>LC1D38E7</v>
          </cell>
          <cell r="B1361" t="str">
            <v>3P CONT 38 AC3 18.5KW 1NO 1NC 48VAC COIL</v>
          </cell>
          <cell r="C1361">
            <v>9</v>
          </cell>
          <cell r="E1361" t="str">
            <v>PCS</v>
          </cell>
          <cell r="F1361" t="str">
            <v>218B</v>
          </cell>
          <cell r="G1361" t="str">
            <v>musa</v>
          </cell>
          <cell r="AA1361" t="str">
            <v>SCHNEIDER STOCK</v>
          </cell>
        </row>
        <row r="1362">
          <cell r="A1362" t="str">
            <v>LC1D38F7</v>
          </cell>
          <cell r="B1362" t="str">
            <v>3P CON 38 AC3 18.5KW 1NO 1NC 110VAC COIL</v>
          </cell>
          <cell r="C1362">
            <v>43</v>
          </cell>
          <cell r="E1362" t="str">
            <v>PCS</v>
          </cell>
          <cell r="F1362" t="str">
            <v>212A</v>
          </cell>
          <cell r="G1362" t="str">
            <v>musa</v>
          </cell>
          <cell r="AA1362" t="str">
            <v>SCHNEIDER STOCK</v>
          </cell>
        </row>
        <row r="1363">
          <cell r="A1363" t="str">
            <v>LC1D38M7</v>
          </cell>
          <cell r="B1363" t="str">
            <v>CON 38 AC3 18.5KW 1NO 1NC 220VAC COIL</v>
          </cell>
          <cell r="C1363">
            <v>128</v>
          </cell>
          <cell r="E1363" t="str">
            <v>PCS</v>
          </cell>
          <cell r="F1363" t="str">
            <v>246AB</v>
          </cell>
          <cell r="G1363" t="str">
            <v>musa</v>
          </cell>
          <cell r="AA1363" t="str">
            <v>SCHNEIDER STOCK</v>
          </cell>
        </row>
        <row r="1364">
          <cell r="A1364" t="str">
            <v>LC1D38Q7</v>
          </cell>
          <cell r="B1364" t="str">
            <v>TeSys D contactor 3P AC3 38A 380V AC coi</v>
          </cell>
          <cell r="C1364">
            <v>5</v>
          </cell>
          <cell r="E1364" t="str">
            <v>PCS</v>
          </cell>
          <cell r="G1364" t="str">
            <v>musa</v>
          </cell>
          <cell r="AA1364" t="str">
            <v>SCHNEIDER STOCK</v>
          </cell>
        </row>
        <row r="1365">
          <cell r="A1365" t="str">
            <v>LC1D40008M7</v>
          </cell>
          <cell r="B1365" t="str">
            <v>MAGNETIC CONTACTOR 60A AC1 4P 2NO2NC220V</v>
          </cell>
          <cell r="C1365">
            <v>0</v>
          </cell>
          <cell r="E1365" t="str">
            <v>PCS</v>
          </cell>
          <cell r="G1365" t="str">
            <v>musa</v>
          </cell>
          <cell r="AA1365" t="str">
            <v>SCHNEIDER STOCK</v>
          </cell>
        </row>
        <row r="1366">
          <cell r="A1366" t="str">
            <v>LC1D40AB7</v>
          </cell>
          <cell r="B1366" t="str">
            <v>TeSys D contactor 3P AC3 40A 24V AC coil</v>
          </cell>
          <cell r="C1366">
            <v>26</v>
          </cell>
          <cell r="E1366" t="str">
            <v>PCS</v>
          </cell>
          <cell r="F1366" t="str">
            <v>212A</v>
          </cell>
          <cell r="G1366" t="str">
            <v>musa</v>
          </cell>
          <cell r="AA1366" t="str">
            <v>SCHNEIDER STOCK</v>
          </cell>
        </row>
        <row r="1367">
          <cell r="A1367" t="str">
            <v>LC1D40AE7</v>
          </cell>
          <cell r="B1367" t="str">
            <v>TeSys D contactor 3P AC3 40A 48V AC coil</v>
          </cell>
          <cell r="C1367">
            <v>17</v>
          </cell>
          <cell r="E1367" t="str">
            <v>PCS</v>
          </cell>
          <cell r="G1367" t="str">
            <v>musa</v>
          </cell>
          <cell r="AA1367" t="str">
            <v>SCHNEIDER STOCK</v>
          </cell>
        </row>
        <row r="1368">
          <cell r="A1368" t="str">
            <v>LC1D40AF7</v>
          </cell>
          <cell r="B1368" t="str">
            <v>TeSys D contactor 3P AC3 40A 110V AC coi</v>
          </cell>
          <cell r="C1368">
            <v>34</v>
          </cell>
          <cell r="E1368" t="str">
            <v>PCS</v>
          </cell>
          <cell r="F1368" t="str">
            <v>212A</v>
          </cell>
          <cell r="G1368" t="str">
            <v>musa</v>
          </cell>
          <cell r="AA1368" t="str">
            <v>SCHNEIDER STOCK</v>
          </cell>
        </row>
        <row r="1369">
          <cell r="A1369" t="str">
            <v>LC1D40AM7</v>
          </cell>
          <cell r="B1369" t="str">
            <v>TeSys D contactor 3P AC3 40A 220V AC coi</v>
          </cell>
          <cell r="C1369">
            <v>0</v>
          </cell>
          <cell r="E1369" t="str">
            <v>PCS</v>
          </cell>
          <cell r="F1369" t="str">
            <v>212A,246AB</v>
          </cell>
          <cell r="G1369" t="str">
            <v>musa</v>
          </cell>
          <cell r="AA1369" t="str">
            <v>SCHNEIDER STOCK</v>
          </cell>
        </row>
        <row r="1370">
          <cell r="A1370" t="str">
            <v>LC1D50AB7</v>
          </cell>
          <cell r="B1370" t="str">
            <v>TeSys D contactor 3P AC3 50A 24V AC coil</v>
          </cell>
          <cell r="C1370">
            <v>0</v>
          </cell>
          <cell r="E1370" t="str">
            <v>PCS</v>
          </cell>
          <cell r="G1370" t="str">
            <v>musa</v>
          </cell>
          <cell r="AA1370" t="str">
            <v>SCHNEIDER STOCK</v>
          </cell>
        </row>
        <row r="1371">
          <cell r="A1371" t="str">
            <v>LC1D50AE7</v>
          </cell>
          <cell r="B1371" t="str">
            <v>TeSys D contactor 3P AC3 50A 48V AC coil</v>
          </cell>
          <cell r="C1371">
            <v>17</v>
          </cell>
          <cell r="E1371" t="str">
            <v>PCS</v>
          </cell>
          <cell r="F1371" t="str">
            <v>227A</v>
          </cell>
          <cell r="G1371" t="str">
            <v>musa</v>
          </cell>
          <cell r="AA1371" t="str">
            <v>SCHNEIDER STOCK</v>
          </cell>
        </row>
        <row r="1372">
          <cell r="A1372" t="str">
            <v>LC1D50AF7</v>
          </cell>
          <cell r="B1372" t="str">
            <v>TeSys D contactor 3P AC3 50A 110V AC coi</v>
          </cell>
          <cell r="C1372">
            <v>34</v>
          </cell>
          <cell r="E1372" t="str">
            <v>PCS</v>
          </cell>
          <cell r="F1372" t="str">
            <v>227A</v>
          </cell>
          <cell r="G1372" t="str">
            <v>musa</v>
          </cell>
          <cell r="AA1372" t="str">
            <v>SCHNEIDER STOCK</v>
          </cell>
        </row>
        <row r="1373">
          <cell r="A1373" t="str">
            <v>LC1D50AQ7</v>
          </cell>
          <cell r="B1373" t="str">
            <v>TeSys D contactor 3P AC3 50A 380V AC coi</v>
          </cell>
          <cell r="C1373">
            <v>5</v>
          </cell>
          <cell r="E1373" t="str">
            <v>PCS</v>
          </cell>
          <cell r="G1373" t="str">
            <v>musa</v>
          </cell>
          <cell r="AA1373" t="str">
            <v>SCHNEIDER STOCK</v>
          </cell>
        </row>
        <row r="1374">
          <cell r="A1374" t="str">
            <v>LC1D65008M7</v>
          </cell>
          <cell r="B1374" t="str">
            <v>MAGNETIC CONTACTOR 80A AC1 4P 2NO2NC220V</v>
          </cell>
          <cell r="C1374">
            <v>0</v>
          </cell>
          <cell r="E1374" t="str">
            <v>PCS</v>
          </cell>
          <cell r="G1374" t="str">
            <v>musa</v>
          </cell>
          <cell r="AA1374" t="str">
            <v>SCHNEIDER STOCK</v>
          </cell>
        </row>
        <row r="1375">
          <cell r="A1375" t="str">
            <v>LC1D65AB7</v>
          </cell>
          <cell r="B1375" t="str">
            <v>TeSys D contactor 3P AC3 65A 24V AC coil</v>
          </cell>
          <cell r="C1375">
            <v>0</v>
          </cell>
          <cell r="E1375" t="str">
            <v>PCS</v>
          </cell>
          <cell r="G1375" t="str">
            <v>musa</v>
          </cell>
          <cell r="AA1375" t="str">
            <v>SCHNEIDER STOCK</v>
          </cell>
        </row>
        <row r="1376">
          <cell r="A1376" t="str">
            <v>LC1D65AE7</v>
          </cell>
          <cell r="B1376" t="str">
            <v>TeSys D contactor 3P AC3 65A 48V AC coil</v>
          </cell>
          <cell r="C1376">
            <v>9</v>
          </cell>
          <cell r="E1376" t="str">
            <v>PCS</v>
          </cell>
          <cell r="F1376" t="str">
            <v>216B</v>
          </cell>
          <cell r="G1376" t="str">
            <v>musa</v>
          </cell>
          <cell r="AA1376" t="str">
            <v>SCHNEIDER STOCK</v>
          </cell>
        </row>
        <row r="1377">
          <cell r="A1377" t="str">
            <v>LC1D65AF7</v>
          </cell>
          <cell r="B1377" t="str">
            <v>TeSys D contactor 3P AC3 65A 110V AC coi</v>
          </cell>
          <cell r="C1377">
            <v>22</v>
          </cell>
          <cell r="E1377" t="str">
            <v>PCS</v>
          </cell>
          <cell r="F1377" t="str">
            <v>215A</v>
          </cell>
          <cell r="G1377" t="str">
            <v>musa</v>
          </cell>
          <cell r="AA1377" t="str">
            <v>SCHNEIDER STOCK</v>
          </cell>
        </row>
        <row r="1378">
          <cell r="A1378" t="str">
            <v>LC1D65AQ7</v>
          </cell>
          <cell r="B1378" t="str">
            <v>TeSys D contactor 3P AC3 65A 380V AC coi</v>
          </cell>
          <cell r="C1378">
            <v>17</v>
          </cell>
          <cell r="E1378" t="str">
            <v>PCS</v>
          </cell>
          <cell r="F1378" t="str">
            <v>227A</v>
          </cell>
          <cell r="G1378" t="str">
            <v>musa</v>
          </cell>
          <cell r="AA1378" t="str">
            <v>SCHNEIDER STOCK</v>
          </cell>
        </row>
        <row r="1379">
          <cell r="A1379" t="str">
            <v>LC1D80004M7</v>
          </cell>
          <cell r="B1379" t="str">
            <v>TeSys D contactor 4P AC1 125A 220V AC co</v>
          </cell>
          <cell r="C1379">
            <v>5</v>
          </cell>
          <cell r="E1379" t="str">
            <v>PCS</v>
          </cell>
          <cell r="F1379" t="str">
            <v>217B</v>
          </cell>
          <cell r="G1379" t="str">
            <v>musa</v>
          </cell>
          <cell r="AA1379" t="str">
            <v>SCHNEIDER STOCK</v>
          </cell>
        </row>
        <row r="1380">
          <cell r="A1380" t="str">
            <v>LC1D80008F7</v>
          </cell>
          <cell r="B1380" t="str">
            <v>MAGNETIC CONTACTOR125A AC1 4P 2NO2NC110V</v>
          </cell>
          <cell r="C1380">
            <v>0</v>
          </cell>
          <cell r="E1380" t="str">
            <v>PCS</v>
          </cell>
          <cell r="G1380" t="str">
            <v>musa</v>
          </cell>
          <cell r="AA1380" t="str">
            <v>SCHNEIDER STOCK</v>
          </cell>
        </row>
        <row r="1381">
          <cell r="A1381" t="str">
            <v>LC1D80008M7</v>
          </cell>
          <cell r="B1381" t="str">
            <v>MAGNETIC CONTACTOR125A AC1 4P 2NO2NC220V</v>
          </cell>
          <cell r="C1381">
            <v>0</v>
          </cell>
          <cell r="E1381" t="str">
            <v>PCS</v>
          </cell>
          <cell r="G1381" t="str">
            <v>musa</v>
          </cell>
          <cell r="AA1381" t="str">
            <v>SCHNEIDER STOCK</v>
          </cell>
        </row>
        <row r="1382">
          <cell r="A1382" t="str">
            <v>LC1D80B7</v>
          </cell>
          <cell r="B1382" t="str">
            <v>TeSys D contactor 3P AC3 80A 24V AC coil</v>
          </cell>
          <cell r="C1382">
            <v>0</v>
          </cell>
          <cell r="E1382" t="str">
            <v>PCS</v>
          </cell>
          <cell r="G1382" t="str">
            <v>musa</v>
          </cell>
          <cell r="AA1382" t="str">
            <v>SCHNEIDER STOCK</v>
          </cell>
        </row>
        <row r="1383">
          <cell r="A1383" t="str">
            <v>LC1D80E7</v>
          </cell>
          <cell r="B1383" t="str">
            <v>TeSys D contactor 3P AC3 80A 48V AC coil</v>
          </cell>
          <cell r="C1383">
            <v>0</v>
          </cell>
          <cell r="E1383" t="str">
            <v>PCS</v>
          </cell>
          <cell r="G1383" t="str">
            <v>musa</v>
          </cell>
          <cell r="AA1383" t="str">
            <v>SCHNEIDER STOCK</v>
          </cell>
        </row>
        <row r="1384">
          <cell r="A1384" t="str">
            <v>LC1D80Q7</v>
          </cell>
          <cell r="B1384" t="str">
            <v>TeSys D contactor 3P AC3 80A 380V AC coi</v>
          </cell>
          <cell r="C1384">
            <v>5</v>
          </cell>
          <cell r="E1384" t="str">
            <v>PCS</v>
          </cell>
          <cell r="F1384" t="str">
            <v>227A</v>
          </cell>
          <cell r="G1384" t="str">
            <v>musa</v>
          </cell>
          <cell r="AA1384" t="str">
            <v>SCHNEIDER STOCK</v>
          </cell>
        </row>
        <row r="1385">
          <cell r="A1385" t="str">
            <v>LC1D95B7</v>
          </cell>
          <cell r="B1385" t="str">
            <v>TeSys D contactor 3P AC3 95A 24V AC coil</v>
          </cell>
          <cell r="C1385">
            <v>2</v>
          </cell>
          <cell r="E1385" t="str">
            <v>PCS</v>
          </cell>
          <cell r="F1385" t="str">
            <v>227A</v>
          </cell>
          <cell r="G1385" t="str">
            <v>musa</v>
          </cell>
          <cell r="AA1385" t="str">
            <v>SCHNEIDER STOCK</v>
          </cell>
        </row>
        <row r="1386">
          <cell r="A1386" t="str">
            <v>LC1D95E7</v>
          </cell>
          <cell r="B1386" t="str">
            <v>TeSys D contactor 3P AC3 95A 48V AC coil</v>
          </cell>
          <cell r="C1386">
            <v>9</v>
          </cell>
          <cell r="E1386" t="str">
            <v>PCS</v>
          </cell>
          <cell r="F1386" t="str">
            <v>216B</v>
          </cell>
          <cell r="G1386" t="str">
            <v>musa</v>
          </cell>
          <cell r="AA1386" t="str">
            <v>SCHNEIDER STOCK</v>
          </cell>
        </row>
        <row r="1387">
          <cell r="A1387" t="str">
            <v>LC1D95F7</v>
          </cell>
          <cell r="B1387" t="str">
            <v>TeSys D contactor 3P AC3 95A 110V AC coi</v>
          </cell>
          <cell r="C1387">
            <v>21</v>
          </cell>
          <cell r="E1387" t="str">
            <v>PCS</v>
          </cell>
          <cell r="F1387" t="str">
            <v>216B</v>
          </cell>
          <cell r="G1387" t="str">
            <v>musa</v>
          </cell>
          <cell r="AA1387" t="str">
            <v>SCHNEIDER STOCK</v>
          </cell>
        </row>
        <row r="1388">
          <cell r="A1388" t="str">
            <v>LC1D95M7</v>
          </cell>
          <cell r="B1388" t="str">
            <v>TeSys D contactor 3P AC3 95A 220V AC coi</v>
          </cell>
          <cell r="C1388">
            <v>33</v>
          </cell>
          <cell r="E1388" t="str">
            <v>PCS</v>
          </cell>
          <cell r="F1388" t="str">
            <v>227A</v>
          </cell>
          <cell r="G1388" t="str">
            <v>musa</v>
          </cell>
          <cell r="AA1388" t="str">
            <v>SCHNEIDER STOCK</v>
          </cell>
        </row>
        <row r="1389">
          <cell r="A1389" t="str">
            <v>LC1D95Q7</v>
          </cell>
          <cell r="B1389" t="str">
            <v>TeSys D contactor 3P AC3 95A 380V AC coi</v>
          </cell>
          <cell r="C1389">
            <v>2</v>
          </cell>
          <cell r="E1389" t="str">
            <v>PCS</v>
          </cell>
          <cell r="G1389" t="str">
            <v>musa</v>
          </cell>
          <cell r="AA1389" t="str">
            <v>SCHNEIDER STOCK</v>
          </cell>
        </row>
        <row r="1390">
          <cell r="A1390" t="str">
            <v>LC1DT40F7</v>
          </cell>
          <cell r="B1390" t="str">
            <v>TeSys D contactor 4P AC1 40A 110V AC coi</v>
          </cell>
          <cell r="C1390">
            <v>33</v>
          </cell>
          <cell r="E1390" t="str">
            <v>PCS</v>
          </cell>
          <cell r="F1390" t="str">
            <v>215A,215A</v>
          </cell>
          <cell r="G1390" t="str">
            <v>musa</v>
          </cell>
          <cell r="AA1390" t="str">
            <v>SCHNEIDER STOCK</v>
          </cell>
        </row>
        <row r="1391">
          <cell r="A1391" t="str">
            <v>LC1DT40M7</v>
          </cell>
          <cell r="B1391" t="str">
            <v>TeSys D contactor 4P AC1 40A 220V AC coi</v>
          </cell>
          <cell r="C1391">
            <v>65</v>
          </cell>
          <cell r="E1391" t="str">
            <v>PCS</v>
          </cell>
          <cell r="F1391" t="str">
            <v>215A,215A</v>
          </cell>
          <cell r="G1391" t="str">
            <v>musa</v>
          </cell>
          <cell r="AA1391" t="str">
            <v>SCHNEIDER STOCK</v>
          </cell>
        </row>
        <row r="1392">
          <cell r="A1392" t="str">
            <v>LC1G185KUEN</v>
          </cell>
          <cell r="B1392" t="str">
            <v>Contactor TeSysG185 3P Std 100-250V ACDC</v>
          </cell>
          <cell r="C1392">
            <v>1</v>
          </cell>
          <cell r="E1392" t="str">
            <v>PCS</v>
          </cell>
          <cell r="F1392" t="str">
            <v>215B</v>
          </cell>
          <cell r="G1392" t="str">
            <v>musa</v>
          </cell>
          <cell r="AA1392" t="str">
            <v>SCHNEIDER STOCK</v>
          </cell>
        </row>
        <row r="1393">
          <cell r="A1393" t="str">
            <v>LC1G225KUEN</v>
          </cell>
          <cell r="B1393" t="str">
            <v>Contactor TeSysG225 3P Std 100-250V ACDC</v>
          </cell>
          <cell r="C1393">
            <v>0</v>
          </cell>
          <cell r="E1393" t="str">
            <v>PCS</v>
          </cell>
          <cell r="G1393" t="str">
            <v>musa</v>
          </cell>
          <cell r="AA1393" t="str">
            <v>SCHNEIDER STOCK</v>
          </cell>
        </row>
        <row r="1394">
          <cell r="A1394" t="str">
            <v>LC1G265KUEN</v>
          </cell>
          <cell r="B1394" t="str">
            <v>Contactor TeSysG265 3P Std 100-250V ACDC</v>
          </cell>
          <cell r="C1394">
            <v>4</v>
          </cell>
          <cell r="E1394" t="str">
            <v>PCS</v>
          </cell>
          <cell r="F1394" t="str">
            <v>216A</v>
          </cell>
          <cell r="G1394" t="str">
            <v>musa</v>
          </cell>
          <cell r="AA1394" t="str">
            <v>SCHNEIDER STOCK</v>
          </cell>
        </row>
        <row r="1395">
          <cell r="A1395" t="str">
            <v>LC1G330KUEN</v>
          </cell>
          <cell r="B1395" t="str">
            <v>Contactor TeSysG330 3P Std 100-250V ACDC</v>
          </cell>
          <cell r="C1395">
            <v>3</v>
          </cell>
          <cell r="E1395" t="str">
            <v>PCS</v>
          </cell>
          <cell r="F1395" t="str">
            <v>218A</v>
          </cell>
          <cell r="G1395" t="str">
            <v>musa</v>
          </cell>
          <cell r="AA1395" t="str">
            <v>SCHNEIDER STOCK</v>
          </cell>
        </row>
        <row r="1396">
          <cell r="A1396" t="str">
            <v>LC1G500KUEN</v>
          </cell>
          <cell r="B1396" t="str">
            <v>Contactor TeSysG500 3P Std 100-250V ACDC</v>
          </cell>
          <cell r="C1396">
            <v>1</v>
          </cell>
          <cell r="E1396" t="str">
            <v>PCS</v>
          </cell>
          <cell r="F1396" t="str">
            <v>227A</v>
          </cell>
          <cell r="G1396" t="str">
            <v>musa</v>
          </cell>
          <cell r="AA1396" t="str">
            <v>SCHNEIDER STOCK</v>
          </cell>
        </row>
        <row r="1397">
          <cell r="A1397" t="str">
            <v>LC1G630KUEN</v>
          </cell>
          <cell r="B1397" t="str">
            <v>ContactorTeSysGiga630 3PStd100-250V ACDC</v>
          </cell>
          <cell r="C1397">
            <v>1</v>
          </cell>
          <cell r="E1397" t="str">
            <v>PCS</v>
          </cell>
          <cell r="F1397" t="str">
            <v>216A</v>
          </cell>
          <cell r="G1397" t="str">
            <v>musa</v>
          </cell>
          <cell r="AA1397" t="str">
            <v>SCHNEIDER STOCK</v>
          </cell>
        </row>
        <row r="1398">
          <cell r="A1398" t="str">
            <v>LC1K0610M7</v>
          </cell>
          <cell r="B1398" t="str">
            <v>CONT 6A AC3 2.2KW 1NO 220VAC COIL</v>
          </cell>
          <cell r="C1398">
            <v>35</v>
          </cell>
          <cell r="E1398" t="str">
            <v>PCS</v>
          </cell>
          <cell r="F1398" t="str">
            <v>215A</v>
          </cell>
          <cell r="G1398" t="str">
            <v>musa</v>
          </cell>
          <cell r="AA1398" t="str">
            <v>SCHNEIDER STOCK</v>
          </cell>
        </row>
        <row r="1399">
          <cell r="A1399" t="str">
            <v>LC1K0910M7</v>
          </cell>
          <cell r="B1399" t="str">
            <v>CONTACTOR 9A AC3 4KW 1NO 220VAC COIL</v>
          </cell>
          <cell r="C1399">
            <v>35</v>
          </cell>
          <cell r="E1399" t="str">
            <v>PCS</v>
          </cell>
          <cell r="F1399" t="str">
            <v>215A</v>
          </cell>
          <cell r="G1399" t="str">
            <v>musa</v>
          </cell>
          <cell r="AA1399" t="str">
            <v>SCHNEIDER STOCK</v>
          </cell>
        </row>
        <row r="1400">
          <cell r="A1400" t="str">
            <v>LC1K1201M7</v>
          </cell>
          <cell r="B1400" t="str">
            <v>TeSys K contactor 3P AC3 12A 220V AC coi</v>
          </cell>
          <cell r="C1400">
            <v>18</v>
          </cell>
          <cell r="E1400" t="str">
            <v>PCS</v>
          </cell>
          <cell r="F1400" t="str">
            <v>215A</v>
          </cell>
          <cell r="G1400" t="str">
            <v>musa</v>
          </cell>
          <cell r="AA1400" t="str">
            <v>SCHNEIDER STOCK</v>
          </cell>
        </row>
        <row r="1401">
          <cell r="A1401" t="str">
            <v>LC1K1210F7</v>
          </cell>
          <cell r="B1401" t="str">
            <v>TeSys K contactor 3P AC3 12A 110V AC coi</v>
          </cell>
          <cell r="C1401">
            <v>21</v>
          </cell>
          <cell r="E1401" t="str">
            <v>PCS</v>
          </cell>
          <cell r="G1401" t="str">
            <v>musa</v>
          </cell>
          <cell r="AA1401" t="str">
            <v>SCHNEIDER STOCK</v>
          </cell>
        </row>
        <row r="1402">
          <cell r="A1402" t="str">
            <v>LC1K1601B7</v>
          </cell>
          <cell r="B1402" t="str">
            <v>TeSys K contactor 3P AC3 16A 24V AC coil</v>
          </cell>
          <cell r="C1402">
            <v>18</v>
          </cell>
          <cell r="E1402" t="str">
            <v>PCS</v>
          </cell>
          <cell r="G1402" t="str">
            <v>musa</v>
          </cell>
          <cell r="AA1402" t="str">
            <v>SCHNEIDER STOCK</v>
          </cell>
        </row>
        <row r="1403">
          <cell r="A1403" t="str">
            <v>LC1K1601E7</v>
          </cell>
          <cell r="B1403" t="str">
            <v>TeSys K contactor 3P AC3 16A 48V AC coil</v>
          </cell>
          <cell r="C1403">
            <v>7</v>
          </cell>
          <cell r="E1403" t="str">
            <v>PCS</v>
          </cell>
          <cell r="F1403" t="str">
            <v>215A</v>
          </cell>
          <cell r="G1403" t="str">
            <v>musa</v>
          </cell>
          <cell r="AA1403" t="str">
            <v>SCHNEIDER STOCK</v>
          </cell>
        </row>
        <row r="1404">
          <cell r="A1404" t="str">
            <v>LC1K1601F7</v>
          </cell>
          <cell r="B1404" t="str">
            <v>TeSys K contactor 3P AC3 16A 110V AC coi</v>
          </cell>
          <cell r="C1404">
            <v>14</v>
          </cell>
          <cell r="E1404" t="str">
            <v>PCS</v>
          </cell>
          <cell r="F1404" t="str">
            <v>215A</v>
          </cell>
          <cell r="G1404" t="str">
            <v>musa</v>
          </cell>
          <cell r="AA1404" t="str">
            <v>SCHNEIDER STOCK</v>
          </cell>
        </row>
        <row r="1405">
          <cell r="A1405" t="str">
            <v>LC1K1601M7</v>
          </cell>
          <cell r="B1405" t="str">
            <v>TeSys K contactor 3P AC3 16A 220V AC coi</v>
          </cell>
          <cell r="C1405">
            <v>35</v>
          </cell>
          <cell r="E1405" t="str">
            <v>PCS</v>
          </cell>
          <cell r="F1405" t="str">
            <v>217A</v>
          </cell>
          <cell r="G1405" t="str">
            <v>musa</v>
          </cell>
          <cell r="AA1405" t="str">
            <v>SCHNEIDER STOCK</v>
          </cell>
        </row>
        <row r="1406">
          <cell r="A1406" t="str">
            <v>LC1K1610B7</v>
          </cell>
          <cell r="B1406" t="str">
            <v>TeSys K contactor 3P AC3 16A 24V AC coil</v>
          </cell>
          <cell r="C1406">
            <v>14</v>
          </cell>
          <cell r="E1406" t="str">
            <v>PCS</v>
          </cell>
          <cell r="F1406" t="str">
            <v>215A</v>
          </cell>
          <cell r="G1406" t="str">
            <v>musa</v>
          </cell>
          <cell r="AA1406" t="str">
            <v>SCHNEIDER STOCK</v>
          </cell>
        </row>
        <row r="1407">
          <cell r="A1407" t="str">
            <v>LC1K1610F7</v>
          </cell>
          <cell r="B1407" t="str">
            <v>TeSys K contactor 3P AC3 16A 110V AC coi</v>
          </cell>
          <cell r="C1407">
            <v>14</v>
          </cell>
          <cell r="E1407" t="str">
            <v>PCS</v>
          </cell>
          <cell r="F1407" t="str">
            <v>215A</v>
          </cell>
          <cell r="G1407" t="str">
            <v>musa</v>
          </cell>
          <cell r="AA1407" t="str">
            <v>SCHNEIDER STOCK</v>
          </cell>
        </row>
        <row r="1408">
          <cell r="A1408" t="str">
            <v>LC1K1610M7</v>
          </cell>
          <cell r="B1408" t="str">
            <v>TeSys K contactor 3P AC3 16A 220V AC coi</v>
          </cell>
          <cell r="C1408">
            <v>35</v>
          </cell>
          <cell r="E1408" t="str">
            <v>PCS</v>
          </cell>
          <cell r="F1408" t="str">
            <v>215A</v>
          </cell>
          <cell r="G1408" t="str">
            <v>musa</v>
          </cell>
          <cell r="AA1408" t="str">
            <v>SCHNEIDER STOCK</v>
          </cell>
        </row>
        <row r="1409">
          <cell r="A1409" t="str">
            <v>LR9G225</v>
          </cell>
          <cell r="B1409" t="str">
            <v>Thermal overload relay LR9G 225A Spring</v>
          </cell>
          <cell r="C1409">
            <v>0</v>
          </cell>
          <cell r="E1409" t="str">
            <v>PCS</v>
          </cell>
          <cell r="G1409" t="str">
            <v>musa</v>
          </cell>
          <cell r="AA1409" t="str">
            <v>SCHNEIDER STOCK</v>
          </cell>
        </row>
        <row r="1410">
          <cell r="A1410" t="str">
            <v>LR9G500</v>
          </cell>
          <cell r="B1410" t="str">
            <v>Thermal overload relay LR9G 500A Spring</v>
          </cell>
          <cell r="C1410">
            <v>6</v>
          </cell>
          <cell r="E1410" t="str">
            <v>PCS</v>
          </cell>
          <cell r="F1410" t="str">
            <v>215A</v>
          </cell>
          <cell r="G1410" t="str">
            <v>musa</v>
          </cell>
          <cell r="AA1410" t="str">
            <v>SCHNEIDER STOCK</v>
          </cell>
        </row>
        <row r="1411">
          <cell r="A1411" t="str">
            <v>LRD04</v>
          </cell>
          <cell r="B1411" t="str">
            <v>TESYS D THERMAL OVERLOAD 0.4-0.63A CL10A</v>
          </cell>
          <cell r="C1411">
            <v>24</v>
          </cell>
          <cell r="E1411" t="str">
            <v>PCS</v>
          </cell>
          <cell r="F1411" t="str">
            <v>227A</v>
          </cell>
          <cell r="G1411" t="str">
            <v>musa</v>
          </cell>
          <cell r="AA1411" t="str">
            <v>SCHNEIDER STOCK</v>
          </cell>
        </row>
        <row r="1412">
          <cell r="A1412" t="str">
            <v>LRD05</v>
          </cell>
          <cell r="B1412" t="str">
            <v>TESYS D THERMAL OVERLOAD 0.63-1.0A CL10A</v>
          </cell>
          <cell r="C1412">
            <v>7</v>
          </cell>
          <cell r="E1412" t="str">
            <v>PCS</v>
          </cell>
          <cell r="F1412" t="str">
            <v>216B</v>
          </cell>
          <cell r="G1412" t="str">
            <v>musa</v>
          </cell>
          <cell r="AA1412" t="str">
            <v>SCHNEIDER STOCK</v>
          </cell>
        </row>
        <row r="1413">
          <cell r="A1413" t="str">
            <v>LRD332</v>
          </cell>
          <cell r="B1413" t="str">
            <v>THERMAL OVERLOAD 23-32A CL10A EVERLINK</v>
          </cell>
          <cell r="C1413">
            <v>18</v>
          </cell>
          <cell r="E1413" t="str">
            <v>PCS</v>
          </cell>
          <cell r="F1413" t="str">
            <v>215A</v>
          </cell>
          <cell r="G1413" t="str">
            <v>musa</v>
          </cell>
          <cell r="AA1413" t="str">
            <v>SCHNEIDER STOCK</v>
          </cell>
        </row>
        <row r="1414">
          <cell r="A1414" t="str">
            <v>LRD3357</v>
          </cell>
          <cell r="B1414" t="str">
            <v>THERMAL OVERLOAD 37-50A FITS LC1D80-D95</v>
          </cell>
          <cell r="C1414">
            <v>0</v>
          </cell>
          <cell r="E1414" t="str">
            <v>PCS</v>
          </cell>
          <cell r="G1414" t="str">
            <v>musa</v>
          </cell>
          <cell r="AA1414" t="str">
            <v>SCHNEIDER STOCK</v>
          </cell>
        </row>
        <row r="1415">
          <cell r="A1415" t="str">
            <v>LRD3359</v>
          </cell>
          <cell r="B1415" t="str">
            <v>THERMAL OVERLOAD 48-65A FITS LC1D80-D95</v>
          </cell>
          <cell r="C1415">
            <v>0</v>
          </cell>
          <cell r="E1415" t="str">
            <v>PCS</v>
          </cell>
          <cell r="G1415" t="str">
            <v>musa</v>
          </cell>
          <cell r="AA1415" t="str">
            <v>SCHNEIDER STOCK</v>
          </cell>
        </row>
        <row r="1416">
          <cell r="A1416" t="str">
            <v>LRD3361</v>
          </cell>
          <cell r="B1416" t="str">
            <v>THERMAL OVERLOAD 55-70A FITS LC1D80-D95</v>
          </cell>
          <cell r="C1416">
            <v>11</v>
          </cell>
          <cell r="E1416" t="str">
            <v>PCS</v>
          </cell>
          <cell r="F1416" t="str">
            <v>215A,215A</v>
          </cell>
          <cell r="G1416" t="str">
            <v>musa</v>
          </cell>
          <cell r="AA1416" t="str">
            <v>SCHNEIDER STOCK</v>
          </cell>
        </row>
        <row r="1417">
          <cell r="A1417" t="str">
            <v>LRD3363</v>
          </cell>
          <cell r="B1417" t="str">
            <v>TeSys D overload relay 63-80A class 10 L</v>
          </cell>
          <cell r="C1417">
            <v>32</v>
          </cell>
          <cell r="E1417" t="str">
            <v>PCS</v>
          </cell>
          <cell r="F1417" t="str">
            <v>215A</v>
          </cell>
          <cell r="G1417" t="str">
            <v>musa</v>
          </cell>
          <cell r="AA1417" t="str">
            <v>SCHNEIDER STOCK</v>
          </cell>
        </row>
        <row r="1418">
          <cell r="A1418" t="str">
            <v>LRD3365</v>
          </cell>
          <cell r="B1418" t="str">
            <v>THERMAL OVERLOAD 80-104A FITS D115- D150</v>
          </cell>
          <cell r="C1418">
            <v>0</v>
          </cell>
          <cell r="E1418" t="str">
            <v>PCS</v>
          </cell>
          <cell r="G1418" t="str">
            <v>musa</v>
          </cell>
          <cell r="AA1418" t="str">
            <v>SCHNEIDER STOCK</v>
          </cell>
        </row>
        <row r="1419">
          <cell r="A1419" t="str">
            <v>LRD340</v>
          </cell>
          <cell r="B1419" t="str">
            <v>TeSys D overload relay 30-40A class 10 E</v>
          </cell>
          <cell r="C1419">
            <v>35</v>
          </cell>
          <cell r="E1419" t="str">
            <v>PCS</v>
          </cell>
          <cell r="F1419" t="str">
            <v>215A</v>
          </cell>
          <cell r="G1419" t="str">
            <v>musa</v>
          </cell>
          <cell r="AA1419" t="str">
            <v>SCHNEIDER STOCK</v>
          </cell>
        </row>
        <row r="1420">
          <cell r="A1420" t="str">
            <v>LRD35</v>
          </cell>
          <cell r="B1420" t="str">
            <v>TESYS D THERMAL OVERLOAD 30-38A CL10A</v>
          </cell>
          <cell r="C1420">
            <v>35</v>
          </cell>
          <cell r="E1420" t="str">
            <v>PCS</v>
          </cell>
          <cell r="F1420" t="str">
            <v>215A</v>
          </cell>
          <cell r="G1420" t="str">
            <v>musa</v>
          </cell>
          <cell r="AA1420" t="str">
            <v>SCHNEIDER STOCK</v>
          </cell>
        </row>
        <row r="1421">
          <cell r="A1421" t="str">
            <v>LRD4365</v>
          </cell>
          <cell r="B1421" t="str">
            <v>OVERLOAD RELAY 80-104</v>
          </cell>
          <cell r="C1421">
            <v>6</v>
          </cell>
          <cell r="E1421" t="str">
            <v>PCS</v>
          </cell>
          <cell r="F1421" t="str">
            <v>214B</v>
          </cell>
          <cell r="G1421" t="str">
            <v>musa</v>
          </cell>
          <cell r="AA1421" t="str">
            <v>SCHNEIDER STOCK</v>
          </cell>
        </row>
        <row r="1422">
          <cell r="A1422" t="str">
            <v>LRD4367</v>
          </cell>
          <cell r="B1422" t="str">
            <v>TeSys D overload relay 95-120A class 10</v>
          </cell>
          <cell r="C1422">
            <v>0</v>
          </cell>
          <cell r="E1422" t="str">
            <v>PCS</v>
          </cell>
          <cell r="G1422" t="str">
            <v>musa</v>
          </cell>
          <cell r="AA1422" t="str">
            <v>SCHNEIDER STOCK</v>
          </cell>
        </row>
        <row r="1423">
          <cell r="A1423" t="str">
            <v>LRD4369</v>
          </cell>
          <cell r="B1423" t="str">
            <v>OVERLOAD RELAY 110-140A</v>
          </cell>
          <cell r="C1423">
            <v>6</v>
          </cell>
          <cell r="E1423" t="str">
            <v>PCS</v>
          </cell>
          <cell r="F1423" t="str">
            <v>214B</v>
          </cell>
          <cell r="G1423" t="str">
            <v>musa</v>
          </cell>
          <cell r="AA1423" t="str">
            <v>SCHNEIDER STOCK</v>
          </cell>
        </row>
        <row r="1424">
          <cell r="A1424" t="str">
            <v>LV429338</v>
          </cell>
          <cell r="B1424" t="str">
            <v>cvs400f ets 2.3 400a 3p3d</v>
          </cell>
          <cell r="C1424">
            <v>25</v>
          </cell>
          <cell r="E1424" t="str">
            <v>PCS</v>
          </cell>
          <cell r="F1424" t="str">
            <v>232B</v>
          </cell>
          <cell r="G1424" t="str">
            <v>musa</v>
          </cell>
          <cell r="AA1424" t="str">
            <v>SCHNEIDER STOCK</v>
          </cell>
        </row>
        <row r="1425">
          <cell r="A1425" t="str">
            <v>LV429387</v>
          </cell>
          <cell r="B1425" t="str">
            <v>CVS400F TM400D 3P3D; EasyPact CVS
circui</v>
          </cell>
          <cell r="C1425">
            <v>7</v>
          </cell>
          <cell r="E1425" t="str">
            <v>PCS</v>
          </cell>
          <cell r="F1425" t="str">
            <v>217B,221A</v>
          </cell>
          <cell r="G1425" t="str">
            <v>musa</v>
          </cell>
          <cell r="AA1425" t="str">
            <v>SCHNEIDER STOCK</v>
          </cell>
        </row>
        <row r="1426">
          <cell r="A1426" t="str">
            <v>LV429407</v>
          </cell>
          <cell r="B1426" t="str">
            <v>MOD CONT  3NO 63A 250V AC7a 220VAC COIL</v>
          </cell>
          <cell r="C1426">
            <v>90</v>
          </cell>
          <cell r="E1426" t="str">
            <v>PCS</v>
          </cell>
          <cell r="F1426" t="str">
            <v>216A,217B</v>
          </cell>
          <cell r="G1426" t="str">
            <v>musa</v>
          </cell>
          <cell r="AA1426" t="str">
            <v>SCHNEIDER STOCK</v>
          </cell>
        </row>
        <row r="1427">
          <cell r="A1427" t="str">
            <v>LV429434</v>
          </cell>
          <cell r="B1427" t="str">
            <v>MT100/160, 220-277VAC, 60HZ</v>
          </cell>
          <cell r="C1427">
            <v>15</v>
          </cell>
          <cell r="E1427" t="str">
            <v>PCS</v>
          </cell>
          <cell r="F1427" t="str">
            <v>216A,217A</v>
          </cell>
          <cell r="G1427" t="str">
            <v>musa</v>
          </cell>
          <cell r="AA1427" t="str">
            <v>SCHNEIDER STOCK</v>
          </cell>
        </row>
        <row r="1428">
          <cell r="A1428" t="str">
            <v>LV429489</v>
          </cell>
          <cell r="B1428" t="str">
            <v>Vigi 200-440V 4P for NSX100/160</v>
          </cell>
          <cell r="C1428">
            <v>9</v>
          </cell>
          <cell r="E1428" t="str">
            <v>PCS</v>
          </cell>
          <cell r="F1428" t="str">
            <v>216A,217A</v>
          </cell>
          <cell r="G1428" t="str">
            <v>musa</v>
          </cell>
          <cell r="AA1428" t="str">
            <v>SCHNEIDER STOCK</v>
          </cell>
        </row>
        <row r="1429">
          <cell r="A1429" t="str">
            <v>LV429493</v>
          </cell>
          <cell r="B1429" t="str">
            <v>Vigi 200-440V 4P for NSX250</v>
          </cell>
          <cell r="C1429">
            <v>16</v>
          </cell>
          <cell r="E1429" t="str">
            <v>PCS</v>
          </cell>
          <cell r="F1429" t="str">
            <v>218A</v>
          </cell>
          <cell r="G1429" t="str">
            <v>musa</v>
          </cell>
          <cell r="AA1429" t="str">
            <v>SCHNEIDER STOCK</v>
          </cell>
        </row>
        <row r="1430">
          <cell r="A1430" t="str">
            <v>LV525607</v>
          </cell>
          <cell r="B1430" t="str">
            <v>CVS160F TM125D 3P3D; EasyPact CVS
circui</v>
          </cell>
          <cell r="C1430">
            <v>35</v>
          </cell>
          <cell r="E1430" t="str">
            <v>PCS</v>
          </cell>
          <cell r="F1430" t="str">
            <v>215A,218B</v>
          </cell>
          <cell r="G1430" t="str">
            <v>musa</v>
          </cell>
          <cell r="AA1430" t="str">
            <v>SCHNEIDER STOCK</v>
          </cell>
        </row>
        <row r="1431">
          <cell r="A1431" t="str">
            <v>LV525608</v>
          </cell>
          <cell r="B1431" t="str">
            <v>CVS160F TM160D 3P3D; EasyPact CVS
circui</v>
          </cell>
          <cell r="C1431">
            <v>32</v>
          </cell>
          <cell r="E1431" t="str">
            <v>PCS</v>
          </cell>
          <cell r="F1431" t="str">
            <v>215A,218B</v>
          </cell>
          <cell r="G1431" t="str">
            <v>musa</v>
          </cell>
          <cell r="AA1431" t="str">
            <v>SCHNEIDER STOCK</v>
          </cell>
        </row>
        <row r="1432">
          <cell r="A1432" t="str">
            <v>LV525623</v>
          </cell>
          <cell r="B1432" t="str">
            <v>CVS250B TM200D 3P3D; EasyPact CVS
circui</v>
          </cell>
          <cell r="C1432">
            <v>15</v>
          </cell>
          <cell r="E1432" t="str">
            <v>PCS</v>
          </cell>
          <cell r="F1432" t="str">
            <v>217A</v>
          </cell>
          <cell r="G1432" t="str">
            <v>musa</v>
          </cell>
          <cell r="AA1432" t="str">
            <v>SCHNEIDER STOCK</v>
          </cell>
        </row>
        <row r="1433">
          <cell r="A1433" t="str">
            <v>LV540406</v>
          </cell>
          <cell r="B1433" t="str">
            <v>MOD CONT  2NO 25A 250V AC7a 220VAC COIL</v>
          </cell>
          <cell r="C1433">
            <v>145</v>
          </cell>
          <cell r="E1433" t="str">
            <v>PCS</v>
          </cell>
          <cell r="F1433" t="str">
            <v>216B,216B,242C</v>
          </cell>
          <cell r="G1433" t="str">
            <v>musa</v>
          </cell>
          <cell r="AA1433" t="str">
            <v>SCHNEIDER STOCK</v>
          </cell>
        </row>
        <row r="1434">
          <cell r="A1434" t="str">
            <v>LV563406</v>
          </cell>
          <cell r="B1434" t="str">
            <v>MOD CONT  2NO 40A 250V AC7a 220VAC COIL</v>
          </cell>
          <cell r="C1434">
            <v>160</v>
          </cell>
          <cell r="E1434" t="str">
            <v>PCS</v>
          </cell>
          <cell r="F1434" t="str">
            <v>216A,210A,221A,222A,247B</v>
          </cell>
          <cell r="G1434" t="str">
            <v>musa</v>
          </cell>
          <cell r="AA1434" t="str">
            <v>SCHNEIDER STOCK</v>
          </cell>
        </row>
        <row r="1435">
          <cell r="A1435" t="str">
            <v>MVS16N3MF2L</v>
          </cell>
          <cell r="B1435" t="str">
            <v>EXT. ROT. HANDLE FOR NSX100-250</v>
          </cell>
          <cell r="C1435">
            <v>8</v>
          </cell>
          <cell r="E1435" t="str">
            <v>PCS</v>
          </cell>
          <cell r="F1435" t="str">
            <v>260C</v>
          </cell>
          <cell r="G1435" t="str">
            <v>musa</v>
          </cell>
          <cell r="AA1435" t="str">
            <v>SCHNEIDER STOCK</v>
          </cell>
        </row>
        <row r="1436">
          <cell r="A1436" t="str">
            <v>MVS25N3MF2L</v>
          </cell>
          <cell r="B1436" t="str">
            <v>EP MVS CB 2000A 50KA 3P MF ET2 FIXED MAN</v>
          </cell>
          <cell r="C1436">
            <v>0</v>
          </cell>
          <cell r="E1436" t="str">
            <v>PCS</v>
          </cell>
          <cell r="G1436" t="str">
            <v>musa</v>
          </cell>
          <cell r="AA1436" t="str">
            <v>SCHNEIDER STOCK</v>
          </cell>
        </row>
        <row r="1437">
          <cell r="A1437" t="str">
            <v>MVS32N3MF2L</v>
          </cell>
          <cell r="B1437" t="str">
            <v>EP MVS CB 2500A 50kA 3P EF 240VAC
ET2 fi</v>
          </cell>
          <cell r="C1437">
            <v>0</v>
          </cell>
          <cell r="E1437" t="str">
            <v>PCS</v>
          </cell>
          <cell r="G1437" t="str">
            <v>musa</v>
          </cell>
          <cell r="AA1437" t="str">
            <v>SCHNEIDER STOCK</v>
          </cell>
        </row>
        <row r="1438">
          <cell r="A1438" t="str">
            <v>MVS20N3MF2L</v>
          </cell>
          <cell r="B1438" t="str">
            <v>EP MVS CB 1600A 50kA 3P EF 240VAC
ET2 fi</v>
          </cell>
          <cell r="C1438">
            <v>2</v>
          </cell>
          <cell r="E1438" t="str">
            <v>PCS</v>
          </cell>
          <cell r="F1438" t="str">
            <v>260C</v>
          </cell>
          <cell r="G1438" t="str">
            <v>musa</v>
          </cell>
          <cell r="AA1438" t="str">
            <v>SCHNEIDER STOCK</v>
          </cell>
        </row>
        <row r="1439">
          <cell r="A1439" t="str">
            <v>MVS12N3MF2L</v>
          </cell>
          <cell r="B1439" t="str">
            <v>EP MVS CB 1600A 50kA 3P MF ET2 fixed
man</v>
          </cell>
          <cell r="C1439">
            <v>3</v>
          </cell>
          <cell r="E1439" t="str">
            <v>PCS</v>
          </cell>
          <cell r="G1439" t="str">
            <v>musa</v>
          </cell>
          <cell r="AA1439" t="str">
            <v>SCHNEIDER STOCK</v>
          </cell>
        </row>
        <row r="1440">
          <cell r="A1440" t="str">
            <v>LV516648</v>
          </cell>
          <cell r="B1440" t="str">
            <v>CVS160B TM125D 4P4D; EasyPact CVS
circui</v>
          </cell>
          <cell r="C1440">
            <v>2</v>
          </cell>
          <cell r="E1440" t="str">
            <v>PCS</v>
          </cell>
          <cell r="F1440" t="str">
            <v>234B</v>
          </cell>
          <cell r="G1440" t="str">
            <v>musa</v>
          </cell>
          <cell r="AA1440" t="str">
            <v>SCHNEIDER STOCK</v>
          </cell>
        </row>
        <row r="1441">
          <cell r="A1441" t="str">
            <v>LV516632</v>
          </cell>
          <cell r="B1441" t="str">
            <v>CVS100B TM63D 3P3D; EasyPact CVS
circuit</v>
          </cell>
          <cell r="C1441">
            <v>5</v>
          </cell>
          <cell r="E1441" t="str">
            <v>PCS</v>
          </cell>
          <cell r="F1441" t="str">
            <v>234B</v>
          </cell>
          <cell r="G1441" t="str">
            <v>musa</v>
          </cell>
          <cell r="AA1441" t="str">
            <v>SCHNEIDER STOCK</v>
          </cell>
        </row>
        <row r="1442">
          <cell r="A1442" t="str">
            <v>LV525632</v>
          </cell>
          <cell r="B1442" t="str">
            <v>CVS250B TM250D 3P3D; EasyPact CVS
circui</v>
          </cell>
          <cell r="C1442">
            <v>5</v>
          </cell>
          <cell r="E1442" t="str">
            <v>PCS</v>
          </cell>
          <cell r="F1442" t="str">
            <v>234B</v>
          </cell>
          <cell r="G1442" t="str">
            <v>musa</v>
          </cell>
          <cell r="AA1442" t="str">
            <v>SCHNEIDER STOCK</v>
          </cell>
        </row>
        <row r="1443">
          <cell r="A1443" t="str">
            <v>LV540412</v>
          </cell>
          <cell r="B1443" t="str">
            <v>CVS630F TM600D 3P3D; EasyPact CVS
circui</v>
          </cell>
          <cell r="C1443">
            <v>5</v>
          </cell>
          <cell r="E1443" t="str">
            <v>PCS</v>
          </cell>
          <cell r="F1443" t="str">
            <v>234B</v>
          </cell>
          <cell r="G1443" t="str">
            <v>musa</v>
          </cell>
          <cell r="AA1443" t="str">
            <v>SCHNEIDER STOCK</v>
          </cell>
        </row>
        <row r="1444">
          <cell r="A1444" t="str">
            <v>ACAC10039</v>
          </cell>
          <cell r="B1444" t="str">
            <v>Condensate Pump CCC/CE</v>
          </cell>
          <cell r="C1444">
            <v>0</v>
          </cell>
          <cell r="E1444" t="str">
            <v>PCS</v>
          </cell>
          <cell r="G1444" t="str">
            <v>musa</v>
          </cell>
          <cell r="AA1444" t="str">
            <v>SCHNEIDER STOCK</v>
          </cell>
        </row>
        <row r="1445">
          <cell r="A1445" t="str">
            <v>ARFS600</v>
          </cell>
          <cell r="B1445" t="str">
            <v>Rackmount Fire Detection Suppression System (2U)</v>
          </cell>
          <cell r="C1445">
            <v>0</v>
          </cell>
          <cell r="E1445" t="str">
            <v>PCS</v>
          </cell>
          <cell r="G1445" t="str">
            <v>musa</v>
          </cell>
          <cell r="AA1445" t="str">
            <v>SCHNEIDER STOCK</v>
          </cell>
        </row>
        <row r="1446">
          <cell r="A1446" t="str">
            <v>MDC43UBCSI</v>
          </cell>
          <cell r="B1446" t="str">
            <v>43U C SERIESMICRO DC 6KVA EASY UPS Consisting of     1*AR4340IX500, 1*SRVRK1, 1*SRVSMB001, 1*SRV011,  1*AP8853, 1*ACRMD4KI-1, 1*ACRMD4KI-2, 1*SRV240RLBP-9A, 1*SRVPM6KRIL</v>
          </cell>
          <cell r="C1446">
            <v>0</v>
          </cell>
          <cell r="E1446" t="str">
            <v>PCS</v>
          </cell>
          <cell r="G1446" t="str">
            <v>musa</v>
          </cell>
          <cell r="AA1446" t="str">
            <v>SCHNEIDER STOCK</v>
          </cell>
        </row>
        <row r="1447">
          <cell r="A1447" t="str">
            <v>Sub Part number</v>
          </cell>
          <cell r="B1447" t="str">
            <v>AR4340IX500</v>
          </cell>
          <cell r="C1447">
            <v>1</v>
          </cell>
          <cell r="E1447" t="str">
            <v>PCS</v>
          </cell>
          <cell r="G1447" t="str">
            <v>musa</v>
          </cell>
          <cell r="AA1447" t="str">
            <v>SCHNEIDER STOCK</v>
          </cell>
        </row>
        <row r="1448">
          <cell r="A1448" t="str">
            <v>Sub Part number</v>
          </cell>
          <cell r="B1448" t="str">
            <v>SRVRK1</v>
          </cell>
          <cell r="C1448">
            <v>1</v>
          </cell>
          <cell r="E1448" t="str">
            <v>PCS</v>
          </cell>
          <cell r="G1448" t="str">
            <v>musa</v>
          </cell>
          <cell r="AA1448" t="str">
            <v>SCHNEIDER STOCK</v>
          </cell>
        </row>
        <row r="1449">
          <cell r="A1449" t="str">
            <v>Sub Part number</v>
          </cell>
          <cell r="B1449" t="str">
            <v>RVSMB001</v>
          </cell>
          <cell r="C1449">
            <v>1</v>
          </cell>
          <cell r="E1449" t="str">
            <v>PCS</v>
          </cell>
          <cell r="G1449" t="str">
            <v>musa</v>
          </cell>
          <cell r="AA1449" t="str">
            <v>SCHNEIDER STOCK</v>
          </cell>
        </row>
        <row r="1450">
          <cell r="A1450" t="str">
            <v>Sub Part number</v>
          </cell>
          <cell r="B1450" t="str">
            <v>SRV011</v>
          </cell>
          <cell r="C1450">
            <v>1</v>
          </cell>
          <cell r="E1450" t="str">
            <v>PCS</v>
          </cell>
          <cell r="G1450" t="str">
            <v>musa</v>
          </cell>
          <cell r="AA1450" t="str">
            <v>SCHNEIDER STOCK</v>
          </cell>
        </row>
        <row r="1451">
          <cell r="A1451" t="str">
            <v>Sub Part number</v>
          </cell>
          <cell r="B1451" t="str">
            <v>AP8853</v>
          </cell>
          <cell r="C1451">
            <v>1</v>
          </cell>
          <cell r="E1451" t="str">
            <v>PCS</v>
          </cell>
          <cell r="G1451" t="str">
            <v>musa</v>
          </cell>
          <cell r="AA1451" t="str">
            <v>SCHNEIDER STOCK</v>
          </cell>
        </row>
        <row r="1452">
          <cell r="A1452" t="str">
            <v>Sub Part number</v>
          </cell>
          <cell r="B1452" t="str">
            <v>ACRMD4KI-1</v>
          </cell>
          <cell r="C1452">
            <v>1</v>
          </cell>
          <cell r="E1452" t="str">
            <v>PCS</v>
          </cell>
          <cell r="G1452" t="str">
            <v>musa</v>
          </cell>
          <cell r="AA1452" t="str">
            <v>SCHNEIDER STOCK</v>
          </cell>
        </row>
        <row r="1453">
          <cell r="A1453" t="str">
            <v>Sub Part number</v>
          </cell>
          <cell r="B1453" t="str">
            <v>ACRMD4KI-2</v>
          </cell>
          <cell r="C1453">
            <v>1</v>
          </cell>
          <cell r="E1453" t="str">
            <v>PCS</v>
          </cell>
          <cell r="G1453" t="str">
            <v>musa</v>
          </cell>
          <cell r="AA1453" t="str">
            <v>SCHNEIDER STOCK</v>
          </cell>
        </row>
        <row r="1454">
          <cell r="A1454" t="str">
            <v>Sub Part number</v>
          </cell>
          <cell r="B1454" t="str">
            <v>SRV240RLBP-9A</v>
          </cell>
          <cell r="C1454">
            <v>1</v>
          </cell>
          <cell r="E1454" t="str">
            <v>PCS</v>
          </cell>
          <cell r="G1454" t="str">
            <v>musa</v>
          </cell>
          <cell r="AA1454" t="str">
            <v>SCHNEIDER STOCK</v>
          </cell>
        </row>
        <row r="1455">
          <cell r="A1455" t="str">
            <v>Sub Part number</v>
          </cell>
          <cell r="B1455" t="str">
            <v>SRVPM6KRIL</v>
          </cell>
          <cell r="C1455">
            <v>1</v>
          </cell>
          <cell r="E1455" t="str">
            <v>PCS</v>
          </cell>
          <cell r="G1455" t="str">
            <v>musa</v>
          </cell>
          <cell r="AA1455" t="str">
            <v>SCHNEIDER STOCK</v>
          </cell>
        </row>
        <row r="1456">
          <cell r="A1456" t="str">
            <v>NSAC2603</v>
          </cell>
          <cell r="B1456" t="str">
            <v>Interior Connector x8 Black</v>
          </cell>
          <cell r="C1456">
            <v>0</v>
          </cell>
          <cell r="E1456" t="str">
            <v>PCS</v>
          </cell>
          <cell r="G1456" t="str">
            <v>musa</v>
          </cell>
          <cell r="AA1456" t="str">
            <v>SCHNEIDER STOCK</v>
          </cell>
        </row>
        <row r="1457">
          <cell r="A1457" t="str">
            <v>PDM3516IEC-980</v>
          </cell>
          <cell r="B1457" t="str">
            <v>APC IT Power Distribution Module3 Pole 5 Wire 16A  IEC309 980cm</v>
          </cell>
          <cell r="C1457">
            <v>0</v>
          </cell>
          <cell r="E1457" t="str">
            <v>PCS</v>
          </cell>
          <cell r="G1457" t="str">
            <v>musa</v>
          </cell>
          <cell r="AA1457" t="str">
            <v>SCHNEIDER STOCK</v>
          </cell>
        </row>
        <row r="1458">
          <cell r="A1458" t="str">
            <v>PDM3516IEC-920</v>
          </cell>
          <cell r="B1458" t="str">
            <v>APC IT Power Distribution Module3 Pole 5 Wire 16A  IEC309 920cm</v>
          </cell>
          <cell r="C1458">
            <v>0</v>
          </cell>
          <cell r="E1458" t="str">
            <v>PCS</v>
          </cell>
          <cell r="G1458" t="str">
            <v>musa</v>
          </cell>
          <cell r="AA1458" t="str">
            <v>SCHNEIDER STOCK</v>
          </cell>
        </row>
        <row r="1459">
          <cell r="A1459" t="str">
            <v>E3MUPS80KHS</v>
          </cell>
          <cell r="B1459" t="str">
            <v>Easy UPS 3M 80KVA 400V 3.3 UPSfor external batteries start-up 5*8 Consisting of E3MUPS80KH</v>
          </cell>
          <cell r="C1459">
            <v>0</v>
          </cell>
          <cell r="E1459" t="str">
            <v>PCS</v>
          </cell>
          <cell r="G1459" t="str">
            <v>musa</v>
          </cell>
          <cell r="AA1459" t="str">
            <v>SCHNEIDER STOCK</v>
          </cell>
        </row>
        <row r="1460">
          <cell r="A1460" t="str">
            <v>E3MBPAR60K200H</v>
          </cell>
          <cell r="B1460" t="str">
            <v>EASY UPS 3M System aintenance Bypass  Panel</v>
          </cell>
          <cell r="C1460">
            <v>0</v>
          </cell>
          <cell r="E1460" t="str">
            <v>PCS</v>
          </cell>
          <cell r="G1460" t="str">
            <v>musa</v>
          </cell>
          <cell r="AA1460" t="str">
            <v>SCHNEIDER STOCK</v>
          </cell>
        </row>
        <row r="1461">
          <cell r="A1461" t="str">
            <v>E3MOPT001</v>
          </cell>
          <cell r="B1461" t="str">
            <v>EASY UPS 3M Parallel Kit for 60-200 KVA</v>
          </cell>
          <cell r="C1461">
            <v>2</v>
          </cell>
          <cell r="E1461" t="str">
            <v>PCS</v>
          </cell>
          <cell r="G1461" t="str">
            <v>musa</v>
          </cell>
          <cell r="AA1461" t="str">
            <v>SCHNEIDER STOCK</v>
          </cell>
        </row>
        <row r="1462">
          <cell r="A1462" t="str">
            <v>E3MBBK60K80H</v>
          </cell>
          <cell r="B1462" t="str">
            <v>EASY UPS 3M Battery Breaker Kit 60-80KVA 400v</v>
          </cell>
          <cell r="C1462">
            <v>1</v>
          </cell>
          <cell r="E1462" t="str">
            <v>PCS</v>
          </cell>
          <cell r="F1462" t="str">
            <v>276A,271A,249A</v>
          </cell>
          <cell r="G1462" t="str">
            <v>musa</v>
          </cell>
          <cell r="AA1462" t="str">
            <v>SCHNEIDER STOCK</v>
          </cell>
        </row>
        <row r="1463">
          <cell r="A1463" t="str">
            <v>EPW9</v>
          </cell>
          <cell r="B1463" t="str">
            <v>World Wide Emergency Power off Nine Circuit System</v>
          </cell>
          <cell r="C1463">
            <v>0</v>
          </cell>
          <cell r="E1463" t="str">
            <v>PCS</v>
          </cell>
          <cell r="G1463" t="str">
            <v>musa</v>
          </cell>
          <cell r="AA1463" t="str">
            <v>SCHNEIDER STOCK</v>
          </cell>
        </row>
        <row r="1464">
          <cell r="A1464" t="str">
            <v>AP8716S</v>
          </cell>
          <cell r="B1464" t="str">
            <v>Power Cord Kit (6 ea) Locking C 19 to C20 1.8m</v>
          </cell>
          <cell r="C1464">
            <v>0</v>
          </cell>
          <cell r="E1464" t="str">
            <v>PCS</v>
          </cell>
          <cell r="G1464" t="str">
            <v>musa</v>
          </cell>
          <cell r="AA1464" t="str">
            <v>SCHNEIDER STOCK</v>
          </cell>
        </row>
        <row r="1465">
          <cell r="A1465" t="str">
            <v>GVL300K500DS</v>
          </cell>
          <cell r="B1465" t="str">
            <v>Galaxy VL UPS 300 scalable to 500 KW 400/48V Start-up 5*8 Consisting of 2*GVPM50KD, 1*GVLFRM200K500D</v>
          </cell>
          <cell r="C1465">
            <v>0</v>
          </cell>
          <cell r="E1465" t="str">
            <v>PCS</v>
          </cell>
          <cell r="G1465" t="str">
            <v>musa</v>
          </cell>
          <cell r="AA1465" t="str">
            <v>SCHNEIDER STOCK</v>
          </cell>
        </row>
        <row r="1466">
          <cell r="A1466" t="str">
            <v>SMX1500RMI2U</v>
          </cell>
          <cell r="B1466" t="str">
            <v>APC Smart-UPS X 1500VA Rack/Tower LCD 230V</v>
          </cell>
          <cell r="C1466">
            <v>0</v>
          </cell>
          <cell r="E1466" t="str">
            <v>PCS</v>
          </cell>
          <cell r="F1466" t="str">
            <v>431B</v>
          </cell>
          <cell r="G1466" t="str">
            <v>musa</v>
          </cell>
          <cell r="AA1466" t="str">
            <v>SCHNEIDER STOCK</v>
          </cell>
        </row>
        <row r="1467">
          <cell r="A1467" t="str">
            <v>SRTGPK01</v>
          </cell>
          <cell r="B1467" t="str">
            <v>APC Smart Accessories SRTG Parallel Kit for 15/20KVA</v>
          </cell>
          <cell r="C1467">
            <v>1</v>
          </cell>
          <cell r="E1467" t="str">
            <v>PCS</v>
          </cell>
          <cell r="F1467" t="str">
            <v>250B</v>
          </cell>
          <cell r="G1467" t="str">
            <v>musa</v>
          </cell>
          <cell r="AA1467" t="str">
            <v>SCHNEIDER STOCK</v>
          </cell>
        </row>
        <row r="1468">
          <cell r="A1468" t="str">
            <v>SMX48RMBP2U</v>
          </cell>
          <cell r="B1468" t="str">
            <v>APC Smart-UPS X-Series 48V External Battery Pack Rack/Tower</v>
          </cell>
          <cell r="C1468">
            <v>2</v>
          </cell>
          <cell r="E1468" t="str">
            <v>PCS</v>
          </cell>
          <cell r="F1468" t="str">
            <v>434B</v>
          </cell>
          <cell r="G1468" t="str">
            <v>musa</v>
          </cell>
          <cell r="AA1468" t="str">
            <v>SCHNEIDER STOCK</v>
          </cell>
        </row>
        <row r="1469">
          <cell r="A1469" t="str">
            <v>J07ATBC30600J5XC</v>
          </cell>
          <cell r="B1469" t="str">
            <v>J07ATBC30600J5XC,72EE2,97S,135L,142</v>
          </cell>
          <cell r="C1469">
            <v>0</v>
          </cell>
          <cell r="E1469" t="str">
            <v>PCS</v>
          </cell>
          <cell r="G1469" t="str">
            <v>musa</v>
          </cell>
          <cell r="AA1469" t="str">
            <v>SCHNEIDER STOCK</v>
          </cell>
        </row>
        <row r="1470">
          <cell r="A1470" t="str">
            <v>APCRBC155</v>
          </cell>
          <cell r="B1470" t="str">
            <v>APC Replacement Battery Cartridge #115</v>
          </cell>
          <cell r="C1470">
            <v>0</v>
          </cell>
          <cell r="E1470" t="str">
            <v>PCS</v>
          </cell>
          <cell r="G1470" t="str">
            <v>musa</v>
          </cell>
          <cell r="AA1470" t="str">
            <v>SCHNEIDER STOCK</v>
          </cell>
        </row>
        <row r="1471">
          <cell r="A1471" t="str">
            <v>NSAC2401</v>
          </cell>
          <cell r="B1471" t="str">
            <v>DUAL SLIDING DOOR</v>
          </cell>
          <cell r="C1471">
            <v>0</v>
          </cell>
          <cell r="E1471" t="str">
            <v>PCS</v>
          </cell>
          <cell r="G1471" t="str">
            <v>musa</v>
          </cell>
          <cell r="AA1471" t="str">
            <v>SCHNEIDER STOCK</v>
          </cell>
        </row>
        <row r="1472">
          <cell r="A1472" t="str">
            <v>E3MUPS80KHB2S</v>
          </cell>
          <cell r="B1472" t="str">
            <v>EASY UPS 3M 80kVA 400V 3:3 UPS with internal batteries-16 minutes runtime Start-up 5x8 Consisting of  1 x E3MUPS80KHB 24 x E3SBTHU</v>
          </cell>
          <cell r="C1472">
            <v>0</v>
          </cell>
          <cell r="E1472" t="str">
            <v>PCS</v>
          </cell>
          <cell r="G1472" t="str">
            <v>musa</v>
          </cell>
          <cell r="AA1472" t="str">
            <v>SCHNEIDER STOCK</v>
          </cell>
        </row>
        <row r="1473">
          <cell r="A1473" t="str">
            <v>NBHN4340</v>
          </cell>
          <cell r="B1473" t="str">
            <v>NetBotz handle accessory for AR4340</v>
          </cell>
          <cell r="C1473">
            <v>0</v>
          </cell>
          <cell r="E1473" t="str">
            <v>PCS</v>
          </cell>
          <cell r="G1473" t="str">
            <v>musa</v>
          </cell>
          <cell r="AA1473" t="str">
            <v>SCHNEIDER STOCK</v>
          </cell>
        </row>
        <row r="1474">
          <cell r="A1474" t="str">
            <v>NSAC2653</v>
          </cell>
          <cell r="B1474" t="str">
            <v>SUPPORTING RODS 1500MMx8 ZINC</v>
          </cell>
          <cell r="C1474">
            <v>0</v>
          </cell>
          <cell r="E1474" t="str">
            <v>PCS</v>
          </cell>
          <cell r="G1474" t="str">
            <v>musa</v>
          </cell>
          <cell r="AA1474" t="str">
            <v>SCHNEIDER STOCK</v>
          </cell>
        </row>
        <row r="1475">
          <cell r="A1475" t="str">
            <v>AR112</v>
          </cell>
          <cell r="B1475" t="str">
            <v>NetShelter WX 12U Wall Mount Cabinet</v>
          </cell>
          <cell r="C1475">
            <v>10</v>
          </cell>
          <cell r="E1475" t="str">
            <v>PCS</v>
          </cell>
          <cell r="F1475" t="str">
            <v>266C</v>
          </cell>
          <cell r="G1475" t="str">
            <v>musa</v>
          </cell>
          <cell r="AA1475" t="str">
            <v>SCHNEIDER STOCK</v>
          </cell>
        </row>
        <row r="1476">
          <cell r="A1476" t="str">
            <v>NSAC2121</v>
          </cell>
          <cell r="B1476" t="str">
            <v>LED MODULE 3M X 2</v>
          </cell>
          <cell r="C1476">
            <v>0</v>
          </cell>
          <cell r="E1476" t="str">
            <v>PCS</v>
          </cell>
          <cell r="G1476" t="str">
            <v>musa</v>
          </cell>
          <cell r="AA1476" t="str">
            <v>SCHNEIDER STOCK</v>
          </cell>
        </row>
        <row r="1477">
          <cell r="A1477" t="str">
            <v>NSAC2606</v>
          </cell>
          <cell r="B1477" t="str">
            <v>RIGHT ANGLE CONNECTOR X4 BLACK</v>
          </cell>
          <cell r="C1477">
            <v>0</v>
          </cell>
          <cell r="E1477" t="str">
            <v>PCS</v>
          </cell>
          <cell r="G1477" t="str">
            <v>musa</v>
          </cell>
          <cell r="AA1477" t="str">
            <v>SCHNEIDER STOCK</v>
          </cell>
        </row>
        <row r="1478">
          <cell r="A1478" t="str">
            <v>ACAC10040</v>
          </cell>
          <cell r="B1478" t="str">
            <v>Low temp kit (-35C)</v>
          </cell>
          <cell r="C1478">
            <v>0</v>
          </cell>
          <cell r="E1478" t="str">
            <v>PCS</v>
          </cell>
          <cell r="G1478" t="str">
            <v>musa</v>
          </cell>
          <cell r="AA1478" t="str">
            <v>SCHNEIDER STOCK</v>
          </cell>
        </row>
        <row r="1479">
          <cell r="A1479" t="str">
            <v>SRV36RLBP-9A</v>
          </cell>
          <cell r="B1479" t="str">
            <v>APC Easy UPS ONLINE SRV RM 36V Battery Pack for 1 kVA Ext. Runtime Model</v>
          </cell>
          <cell r="C1479">
            <v>10</v>
          </cell>
          <cell r="E1479" t="str">
            <v>PCS</v>
          </cell>
          <cell r="F1479" t="str">
            <v>259A,435B,241B</v>
          </cell>
          <cell r="G1479" t="str">
            <v>musa</v>
          </cell>
          <cell r="AA1479" t="str">
            <v>SCHNEIDER STOCK</v>
          </cell>
        </row>
        <row r="1480">
          <cell r="A1480" t="str">
            <v>EASYBATOGNB#103256540 (BATTXP12V3000GNB=138PC)</v>
          </cell>
          <cell r="B1480" t="str">
            <v>Easy UPS Specific EXIDE Backup Time 06 *EASYBATOGNB#103256540</v>
          </cell>
          <cell r="C1480">
            <v>0</v>
          </cell>
          <cell r="E1480" t="str">
            <v>PCS</v>
          </cell>
          <cell r="G1480" t="str">
            <v>musa</v>
          </cell>
          <cell r="AA1480" t="str">
            <v>SCHNEIDER STOCK</v>
          </cell>
        </row>
        <row r="1481">
          <cell r="A1481" t="str">
            <v>EASYBATOGNB#103256542 (BATTXP12V3000GNB=138PC)</v>
          </cell>
          <cell r="B1481" t="str">
            <v>Easy UPS Specific EXIDE Backup Time 06 *EASYBATOGNB#103256542</v>
          </cell>
          <cell r="C1481">
            <v>0</v>
          </cell>
          <cell r="E1481" t="str">
            <v>PCS</v>
          </cell>
          <cell r="G1481" t="str">
            <v>musa</v>
          </cell>
          <cell r="AA1481" t="str">
            <v>SCHNEIDER STOCK</v>
          </cell>
        </row>
        <row r="1482">
          <cell r="A1482" t="str">
            <v>R3EPGL43920GNB</v>
          </cell>
          <cell r="B1482" t="str">
            <v>3N4R 3920mm Exide Battery Rack</v>
          </cell>
          <cell r="C1482">
            <v>0</v>
          </cell>
          <cell r="E1482" t="str">
            <v>PCS</v>
          </cell>
          <cell r="G1482" t="str">
            <v>musa</v>
          </cell>
          <cell r="AA1482" t="str">
            <v>SCHNEIDER STOCK</v>
          </cell>
        </row>
        <row r="1483">
          <cell r="A1483" t="str">
            <v>E3MUPS80KHBS</v>
          </cell>
          <cell r="B1483" t="str">
            <v>Easy UPS 3M 80kVA 400V 3:3 UPS for inter</v>
          </cell>
          <cell r="C1483">
            <v>1</v>
          </cell>
          <cell r="E1483" t="str">
            <v>PCS</v>
          </cell>
          <cell r="G1483" t="str">
            <v>musa</v>
          </cell>
          <cell r="AA1483" t="str">
            <v>SCHNEIDER STOCK</v>
          </cell>
        </row>
        <row r="1484">
          <cell r="A1484" t="str">
            <v>NBWL0755</v>
          </cell>
          <cell r="B1484" t="str">
            <v>Wall Mount, Security and Environmental A</v>
          </cell>
          <cell r="C1484">
            <v>0</v>
          </cell>
          <cell r="E1484" t="str">
            <v>PCS</v>
          </cell>
          <cell r="G1484" t="str">
            <v>musa</v>
          </cell>
          <cell r="AA1484" t="str">
            <v>SCHNEIDER STOCK</v>
          </cell>
        </row>
        <row r="1485">
          <cell r="A1485" t="str">
            <v>SRVL3KRILRK</v>
          </cell>
          <cell r="B1485" t="str">
            <v>APC Easy UPS On-Line Li-Ion SRVL RT Ext.Runtime 3000VA 230V with Rail Kit consisting of 1*SRVLPM3KRIL  1*SRVL48RMBP2U   2*SRVRK1</v>
          </cell>
          <cell r="C1485">
            <v>5</v>
          </cell>
          <cell r="E1485" t="str">
            <v>3PN</v>
          </cell>
          <cell r="G1485" t="str">
            <v>musa</v>
          </cell>
          <cell r="AA1485" t="str">
            <v>SCHNEIDER STOCK</v>
          </cell>
        </row>
        <row r="1486">
          <cell r="A1486" t="str">
            <v>Sub Part number</v>
          </cell>
          <cell r="B1486" t="str">
            <v>SRVLPM3KRIL</v>
          </cell>
          <cell r="C1486">
            <v>0</v>
          </cell>
          <cell r="G1486" t="str">
            <v>musa</v>
          </cell>
          <cell r="AA1486" t="str">
            <v>SCHNEIDER STOCK</v>
          </cell>
        </row>
        <row r="1487">
          <cell r="A1487" t="str">
            <v>Sub Part number</v>
          </cell>
          <cell r="B1487" t="str">
            <v>SRVL48RMBP2U</v>
          </cell>
          <cell r="C1487">
            <v>0</v>
          </cell>
          <cell r="G1487" t="str">
            <v>musa</v>
          </cell>
          <cell r="AA1487" t="str">
            <v>SCHNEIDER STOCK</v>
          </cell>
        </row>
        <row r="1488">
          <cell r="A1488" t="str">
            <v>Sub Part number</v>
          </cell>
          <cell r="B1488" t="str">
            <v>SRVRK1</v>
          </cell>
          <cell r="C1488">
            <v>0</v>
          </cell>
          <cell r="G1488" t="str">
            <v>musa</v>
          </cell>
          <cell r="AA1488" t="str">
            <v>SCHNEIDER STOCK</v>
          </cell>
        </row>
        <row r="1489">
          <cell r="A1489" t="str">
            <v>SMX1000I</v>
          </cell>
          <cell r="B1489" t="str">
            <v>APC Smart-UPS  X 1000VA Rack/Tower LCD 230V</v>
          </cell>
          <cell r="C1489">
            <v>0</v>
          </cell>
          <cell r="E1489" t="str">
            <v>PCS</v>
          </cell>
          <cell r="G1489" t="str">
            <v>musa</v>
          </cell>
          <cell r="AA1489" t="str">
            <v>SCHNEIDER STOCK</v>
          </cell>
        </row>
        <row r="1490">
          <cell r="A1490" t="str">
            <v>SMC1000IC</v>
          </cell>
          <cell r="B1490" t="str">
            <v>APC Smart-UPS  C 1000VA  LCD 230V with SmartConnect</v>
          </cell>
          <cell r="C1490">
            <v>10</v>
          </cell>
          <cell r="E1490" t="str">
            <v>PCS</v>
          </cell>
          <cell r="G1490" t="str">
            <v>musa</v>
          </cell>
          <cell r="AA1490" t="str">
            <v>SCHNEIDER STOCK</v>
          </cell>
        </row>
        <row r="1491">
          <cell r="A1491" t="str">
            <v>SMT1500I</v>
          </cell>
          <cell r="B1491" t="str">
            <v xml:space="preserve">APC Smart -UPS  1500VA LCD 230V </v>
          </cell>
          <cell r="C1491">
            <v>0</v>
          </cell>
          <cell r="E1491" t="str">
            <v>PCS</v>
          </cell>
          <cell r="G1491" t="str">
            <v>musa</v>
          </cell>
          <cell r="AA1491" t="str">
            <v>SCHNEIDER STOCK</v>
          </cell>
        </row>
        <row r="1492">
          <cell r="A1492" t="str">
            <v>SMT3000RMI2U</v>
          </cell>
          <cell r="B1492" t="str">
            <v>APC Smart-UPS 3000VA LCD RM 2U 230V with SmartConnect</v>
          </cell>
          <cell r="C1492">
            <v>23</v>
          </cell>
          <cell r="E1492" t="str">
            <v>PCS</v>
          </cell>
          <cell r="F1492" t="str">
            <v>241C,244C,221C,242A</v>
          </cell>
          <cell r="G1492" t="str">
            <v>musa</v>
          </cell>
          <cell r="AA1492" t="str">
            <v>SCHNEIDER STOCK</v>
          </cell>
        </row>
        <row r="1493">
          <cell r="A1493" t="str">
            <v>AR8125</v>
          </cell>
          <cell r="B1493" t="str">
            <v>SHELF ADJUSTABLE 18-25 250 ib Black</v>
          </cell>
          <cell r="C1493">
            <v>0</v>
          </cell>
          <cell r="E1493" t="str">
            <v>PCS</v>
          </cell>
          <cell r="G1493" t="str">
            <v>musa</v>
          </cell>
          <cell r="AA1493" t="str">
            <v>SCHNEIDER STOCK</v>
          </cell>
        </row>
        <row r="1494">
          <cell r="A1494" t="str">
            <v>SRVL48RMBP2U</v>
          </cell>
          <cell r="B1494" t="str">
            <v>APC Easy SRVL Li-Ion 50AH External Battery Pack</v>
          </cell>
          <cell r="C1494">
            <v>2</v>
          </cell>
          <cell r="E1494" t="str">
            <v>PCS</v>
          </cell>
          <cell r="F1494" t="str">
            <v>258C</v>
          </cell>
          <cell r="G1494" t="str">
            <v>musa</v>
          </cell>
          <cell r="AA1494" t="str">
            <v>SCHNEIDER STOCK</v>
          </cell>
        </row>
        <row r="1495">
          <cell r="A1495" t="str">
            <v>AP9565</v>
          </cell>
          <cell r="B1495" t="str">
            <v>RACK PDU BASIC 1U 16A 208/230V (12) C13</v>
          </cell>
          <cell r="C1495">
            <v>0</v>
          </cell>
          <cell r="E1495" t="str">
            <v>PCS</v>
          </cell>
          <cell r="F1495" t="str">
            <v>236A</v>
          </cell>
          <cell r="G1495" t="str">
            <v>musa</v>
          </cell>
          <cell r="AA1495" t="str">
            <v>SCHNEIDER STOCK</v>
          </cell>
        </row>
        <row r="1496">
          <cell r="A1496" t="str">
            <v>EPDU1016B</v>
          </cell>
          <cell r="B1496" t="str">
            <v>Easy PDU Basic 1U 16A 230V (8)C13</v>
          </cell>
          <cell r="C1496">
            <v>0</v>
          </cell>
          <cell r="E1496" t="str">
            <v>PCS</v>
          </cell>
          <cell r="G1496" t="str">
            <v>musa</v>
          </cell>
          <cell r="AA1496" t="str">
            <v>SCHNEIDER STOCK</v>
          </cell>
        </row>
        <row r="1497">
          <cell r="A1497" t="str">
            <v>SRTL8KRM4UI</v>
          </cell>
          <cell r="B1497" t="str">
            <v>APC Smart-UPS Ultra On-Line Lithium ion, 8KVA/8KW, 4U Rack/Tower, 230V</v>
          </cell>
          <cell r="C1497">
            <v>0</v>
          </cell>
          <cell r="E1497" t="str">
            <v>PCS</v>
          </cell>
          <cell r="G1497" t="str">
            <v>musa</v>
          </cell>
          <cell r="AA1497" t="str">
            <v>SCHNEIDER STOCK</v>
          </cell>
        </row>
        <row r="1498">
          <cell r="A1498" t="str">
            <v>E83T727V_DG</v>
          </cell>
          <cell r="B1498" t="str">
            <v>115/240V 20VA Uni Ver Shaver, DG</v>
          </cell>
          <cell r="C1498">
            <v>13</v>
          </cell>
          <cell r="E1498" t="str">
            <v>PCS</v>
          </cell>
          <cell r="G1498" t="str">
            <v>musa</v>
          </cell>
          <cell r="AA1498" t="str">
            <v>SCHNEIDER STOCK</v>
          </cell>
        </row>
        <row r="1499">
          <cell r="A1499" t="str">
            <v>E8333L2_DG</v>
          </cell>
          <cell r="B1499" t="str">
            <v>16AX 250V 3G 2W Sw, DG</v>
          </cell>
          <cell r="C1499">
            <v>0</v>
          </cell>
          <cell r="E1499" t="str">
            <v>PCS</v>
          </cell>
          <cell r="G1499" t="str">
            <v>musa</v>
          </cell>
          <cell r="AA1499" t="str">
            <v>SCHNEIDER STOCK</v>
          </cell>
        </row>
        <row r="1500">
          <cell r="A1500" t="str">
            <v>E8331L2_DG</v>
          </cell>
          <cell r="B1500" t="str">
            <v>16AX 250V 1G 2W Sw, DG</v>
          </cell>
          <cell r="C1500">
            <v>0</v>
          </cell>
          <cell r="E1500" t="str">
            <v>PCS</v>
          </cell>
          <cell r="G1500" t="str">
            <v>musa</v>
          </cell>
          <cell r="AA1500" t="str">
            <v>SCHNEIDER STOCK</v>
          </cell>
        </row>
        <row r="1501">
          <cell r="A1501" t="str">
            <v>E8331M_DG</v>
          </cell>
          <cell r="B1501" t="str">
            <v>16AX 250V 1G Intermediate Sw, DG</v>
          </cell>
          <cell r="C1501">
            <v>2</v>
          </cell>
          <cell r="E1501" t="str">
            <v>PCS</v>
          </cell>
          <cell r="G1501" t="str">
            <v>musa</v>
          </cell>
          <cell r="AA1501" t="str">
            <v>SCHNEIDER STOCK</v>
          </cell>
        </row>
        <row r="1502">
          <cell r="A1502" t="str">
            <v>E8331RJS_DG</v>
          </cell>
          <cell r="B1502" t="str">
            <v>1G S Keystone Wallplate (w/o Mod) DG</v>
          </cell>
          <cell r="C1502">
            <v>10</v>
          </cell>
          <cell r="E1502" t="str">
            <v>PCS</v>
          </cell>
          <cell r="G1502" t="str">
            <v>musa</v>
          </cell>
          <cell r="AA1502" t="str">
            <v>SCHNEIDER STOCK</v>
          </cell>
        </row>
        <row r="1503">
          <cell r="A1503" t="str">
            <v>ES 55-12</v>
          </cell>
          <cell r="B1503" t="str">
            <v>EnerRocket SMF VRLA  12 V, 55 Ah</v>
          </cell>
          <cell r="C1503">
            <v>0</v>
          </cell>
          <cell r="E1503" t="str">
            <v>PCS</v>
          </cell>
          <cell r="G1503" t="str">
            <v>musa</v>
          </cell>
          <cell r="AA1503" t="str">
            <v>SCHNEIDER STOCK</v>
          </cell>
        </row>
        <row r="1504">
          <cell r="A1504" t="str">
            <v>E8332L2_DG</v>
          </cell>
          <cell r="B1504" t="str">
            <v>16AX 250V 2G 2W Sw, DG</v>
          </cell>
          <cell r="C1504">
            <v>0</v>
          </cell>
          <cell r="E1504" t="str">
            <v>PCS</v>
          </cell>
          <cell r="G1504" t="str">
            <v>musa</v>
          </cell>
          <cell r="AA1504" t="str">
            <v>SCHNEIDER STOCK</v>
          </cell>
        </row>
        <row r="1505">
          <cell r="A1505" t="str">
            <v>A9H324MNS63FD</v>
          </cell>
          <cell r="B1505" t="str">
            <v>DISBO 3P 24W NS 63A FLAT FLUSH</v>
          </cell>
          <cell r="C1505">
            <v>0</v>
          </cell>
          <cell r="E1505" t="str">
            <v>PCS</v>
          </cell>
          <cell r="F1505" t="str">
            <v>239B</v>
          </cell>
          <cell r="G1505" t="str">
            <v>musa</v>
          </cell>
          <cell r="AA1505" t="str">
            <v>SCHNEIDER STOCK</v>
          </cell>
        </row>
        <row r="1506">
          <cell r="A1506" t="str">
            <v>GV2ME06</v>
          </cell>
          <cell r="B1506" t="str">
            <v>ACTI9 IC60N 1P 2A C MCB</v>
          </cell>
          <cell r="C1506">
            <v>20</v>
          </cell>
          <cell r="E1506" t="str">
            <v>PCS</v>
          </cell>
          <cell r="G1506" t="str">
            <v>musa</v>
          </cell>
          <cell r="AA1506" t="str">
            <v>SCHNEIDER STOCK</v>
          </cell>
        </row>
        <row r="1507">
          <cell r="A1507" t="str">
            <v>LC1DT25M7</v>
          </cell>
          <cell r="B1507" t="str">
            <v>ACTI9 IC60N 3P 32A C MCB</v>
          </cell>
          <cell r="C1507">
            <v>33</v>
          </cell>
          <cell r="E1507" t="str">
            <v>PCS</v>
          </cell>
          <cell r="G1507" t="str">
            <v>musa</v>
          </cell>
          <cell r="AA1507" t="str">
            <v>SCHNEIDER STOCK</v>
          </cell>
        </row>
        <row r="1508">
          <cell r="A1508" t="str">
            <v>LC1D50ABD</v>
          </cell>
          <cell r="B1508" t="str">
            <v>EASY9 MCB 2P 10A C 6000A 230V MINIATURE</v>
          </cell>
          <cell r="C1508">
            <v>9</v>
          </cell>
          <cell r="E1508" t="str">
            <v>PCS</v>
          </cell>
          <cell r="G1508" t="str">
            <v>musa</v>
          </cell>
          <cell r="AA1508" t="str">
            <v>SCHNEIDER STOCK</v>
          </cell>
        </row>
        <row r="1509">
          <cell r="A1509" t="str">
            <v>LC1K1210B7</v>
          </cell>
          <cell r="B1509" t="str">
            <v>ACTI9 IC60N 2P 50A C MCB</v>
          </cell>
          <cell r="C1509">
            <v>14</v>
          </cell>
          <cell r="E1509" t="str">
            <v>PCS</v>
          </cell>
          <cell r="G1509" t="str">
            <v>musa</v>
          </cell>
          <cell r="AA1509" t="str">
            <v>SCHNEIDER STOCK</v>
          </cell>
        </row>
        <row r="1510">
          <cell r="A1510" t="str">
            <v>LC1D18E7</v>
          </cell>
          <cell r="B1510" t="str">
            <v>EASY9 MCB 1P 32A C 6000A 230V MINIATURE</v>
          </cell>
          <cell r="C1510">
            <v>22</v>
          </cell>
          <cell r="E1510" t="str">
            <v>PCS</v>
          </cell>
          <cell r="G1510" t="str">
            <v>musa</v>
          </cell>
          <cell r="AA1510" t="str">
            <v>SCHNEIDER STOCK</v>
          </cell>
        </row>
        <row r="1511">
          <cell r="A1511" t="str">
            <v>CA2KN22M7</v>
          </cell>
          <cell r="B1511" t="str">
            <v>ACTI9 IC60N 2P 32A C MCB</v>
          </cell>
          <cell r="C1511">
            <v>30</v>
          </cell>
          <cell r="E1511" t="str">
            <v>PCS</v>
          </cell>
          <cell r="G1511" t="str">
            <v>musa</v>
          </cell>
          <cell r="AA1511" t="str">
            <v>SCHNEIDER STOCK</v>
          </cell>
        </row>
        <row r="1512">
          <cell r="A1512" t="str">
            <v>LC1DT25F7</v>
          </cell>
          <cell r="B1512" t="str">
            <v>ACTI9 IC60N 3P 40A C MCB</v>
          </cell>
          <cell r="C1512">
            <v>20</v>
          </cell>
          <cell r="E1512" t="str">
            <v>PCS</v>
          </cell>
          <cell r="G1512" t="str">
            <v>musa</v>
          </cell>
          <cell r="AA1512" t="str">
            <v>SCHNEIDER STOCK</v>
          </cell>
        </row>
        <row r="1513">
          <cell r="A1513" t="str">
            <v>LC1DT25E7</v>
          </cell>
          <cell r="B1513" t="str">
            <v>ACTI9 IC60N 3P 50A C MCB</v>
          </cell>
          <cell r="C1513">
            <v>13</v>
          </cell>
          <cell r="E1513" t="str">
            <v>PCS</v>
          </cell>
          <cell r="G1513" t="str">
            <v>musa</v>
          </cell>
          <cell r="AA1513" t="str">
            <v>SCHNEIDER STOCK</v>
          </cell>
        </row>
        <row r="1514">
          <cell r="A1514" t="str">
            <v>LADN11</v>
          </cell>
          <cell r="B1514" t="str">
            <v>ACTI9 IC60N 2P 3A C MCB</v>
          </cell>
          <cell r="C1514">
            <v>130</v>
          </cell>
          <cell r="E1514" t="str">
            <v>PCS</v>
          </cell>
          <cell r="G1514" t="str">
            <v>musa</v>
          </cell>
          <cell r="AA1514" t="str">
            <v>SCHNEIDER STOCK</v>
          </cell>
        </row>
        <row r="1515">
          <cell r="A1515" t="str">
            <v>LC1D65ABD</v>
          </cell>
          <cell r="B1515" t="str">
            <v>EASY9 MCB 2P 20A C 6000A 230V MINIATURE</v>
          </cell>
          <cell r="C1515">
            <v>4</v>
          </cell>
          <cell r="E1515" t="str">
            <v>PCS</v>
          </cell>
          <cell r="G1515" t="str">
            <v>musa</v>
          </cell>
          <cell r="AA1515" t="str">
            <v>SCHNEIDER STOCK</v>
          </cell>
        </row>
        <row r="1516">
          <cell r="A1516" t="str">
            <v>LC1D40ABD</v>
          </cell>
          <cell r="B1516" t="str">
            <v>Easy9 MCB 1P 63A C 6000A 230V</v>
          </cell>
          <cell r="C1516">
            <v>9</v>
          </cell>
          <cell r="E1516" t="str">
            <v>PCS</v>
          </cell>
          <cell r="G1516" t="str">
            <v>musa</v>
          </cell>
          <cell r="AA1516" t="str">
            <v>SCHNEIDER STOCK</v>
          </cell>
        </row>
        <row r="1517">
          <cell r="A1517" t="str">
            <v>CA2KN22B7</v>
          </cell>
          <cell r="B1517" t="str">
            <v>ACTI9 IC60N 2P 25A C MCB</v>
          </cell>
          <cell r="C1517">
            <v>14</v>
          </cell>
          <cell r="E1517" t="str">
            <v>PCS</v>
          </cell>
          <cell r="G1517" t="str">
            <v>musa</v>
          </cell>
          <cell r="AA1517" t="str">
            <v>SCHNEIDER STOCK</v>
          </cell>
        </row>
        <row r="1518">
          <cell r="A1518" t="str">
            <v>A9H318MNS63FD</v>
          </cell>
          <cell r="B1518" t="str">
            <v>DISBO 3P 18W NS 63A FLAT FLUSH</v>
          </cell>
          <cell r="C1518">
            <v>0</v>
          </cell>
          <cell r="E1518" t="str">
            <v>PCS</v>
          </cell>
          <cell r="F1518" t="str">
            <v>421B</v>
          </cell>
          <cell r="G1518" t="str">
            <v>musa</v>
          </cell>
          <cell r="AA1518" t="str">
            <v>SCHNEIDER STOCK</v>
          </cell>
        </row>
        <row r="1519">
          <cell r="A1519" t="str">
            <v>A9H336MNS100FD</v>
          </cell>
          <cell r="B1519" t="str">
            <v>DISBO 3P 36W NS 100A FLAT FLUSH</v>
          </cell>
          <cell r="C1519">
            <v>0</v>
          </cell>
          <cell r="E1519" t="str">
            <v>PCS</v>
          </cell>
          <cell r="G1519" t="str">
            <v>musa</v>
          </cell>
          <cell r="AA1519" t="str">
            <v>SCHNEIDER STOCK</v>
          </cell>
        </row>
        <row r="1520">
          <cell r="A1520" t="str">
            <v>LC1G400KUEN</v>
          </cell>
          <cell r="B1520" t="str">
            <v>Contactor TeSys LC1G 400A 440V 3P AC3 st</v>
          </cell>
          <cell r="C1520">
            <v>3</v>
          </cell>
          <cell r="E1520" t="str">
            <v>PCS</v>
          </cell>
          <cell r="G1520" t="str">
            <v>musa</v>
          </cell>
          <cell r="AA1520" t="str">
            <v>SCHNEIDER STOCK</v>
          </cell>
        </row>
        <row r="1521">
          <cell r="A1521" t="str">
            <v>LC1D25F7</v>
          </cell>
          <cell r="B1521" t="str">
            <v>CONT 25A AC3 11KW 1NO 1NC 110VAC COIL</v>
          </cell>
          <cell r="C1521">
            <v>85</v>
          </cell>
          <cell r="E1521" t="str">
            <v>PCS</v>
          </cell>
          <cell r="G1521" t="str">
            <v>musa</v>
          </cell>
          <cell r="AA1521" t="str">
            <v>SCHNEIDER STOCK</v>
          </cell>
        </row>
        <row r="1522">
          <cell r="A1522" t="str">
            <v>GVAD1010</v>
          </cell>
          <cell r="B1522" t="str">
            <v>ACTI9 IC60N 2P 1A C MCB</v>
          </cell>
          <cell r="C1522">
            <v>0</v>
          </cell>
          <cell r="E1522" t="str">
            <v>PCS</v>
          </cell>
          <cell r="G1522" t="str">
            <v>musa</v>
          </cell>
          <cell r="AA1522" t="str">
            <v>SCHNEIDER STOCK</v>
          </cell>
        </row>
        <row r="1523">
          <cell r="A1523" t="str">
            <v>A9H336MEZ100FD</v>
          </cell>
          <cell r="B1523" t="str">
            <v>DISBO 3P 36W EASYPACT 100A FLAT FLUSH</v>
          </cell>
          <cell r="C1523">
            <v>15</v>
          </cell>
          <cell r="E1523" t="str">
            <v>PCS</v>
          </cell>
          <cell r="F1523" t="str">
            <v>423C,450C</v>
          </cell>
          <cell r="G1523" t="str">
            <v>musa</v>
          </cell>
          <cell r="AA1523" t="str">
            <v>SCHNEIDER STOCK</v>
          </cell>
        </row>
        <row r="1524">
          <cell r="A1524" t="str">
            <v>C10F3TM050C</v>
          </cell>
          <cell r="B1524" t="str">
            <v>Vigi 200-440V 4P for NSX250</v>
          </cell>
          <cell r="C1524">
            <v>18</v>
          </cell>
          <cell r="E1524" t="str">
            <v>PCS</v>
          </cell>
          <cell r="G1524" t="str">
            <v>musa</v>
          </cell>
          <cell r="AA1524" t="str">
            <v>SCHNEIDER STOCK</v>
          </cell>
        </row>
        <row r="1525">
          <cell r="A1525" t="str">
            <v>C10F3TM080C</v>
          </cell>
          <cell r="B1525" t="str">
            <v>STI 1P 10,3X38 500V</v>
          </cell>
          <cell r="C1525">
            <v>27</v>
          </cell>
          <cell r="E1525" t="str">
            <v>PCS</v>
          </cell>
          <cell r="G1525" t="str">
            <v>musa</v>
          </cell>
          <cell r="AA1525" t="str">
            <v>SCHNEIDER STOCK</v>
          </cell>
        </row>
        <row r="1526">
          <cell r="A1526" t="str">
            <v>LV431541</v>
          </cell>
          <cell r="B1526" t="str">
            <v>MT250, 220-277VAC, 60HZ</v>
          </cell>
          <cell r="C1526">
            <v>9</v>
          </cell>
          <cell r="E1526" t="str">
            <v>PCS</v>
          </cell>
          <cell r="G1526" t="str">
            <v>musa</v>
          </cell>
          <cell r="AA1526" t="str">
            <v>SCHNEIDER STOCK</v>
          </cell>
        </row>
        <row r="1527">
          <cell r="A1527" t="str">
            <v>LV432641</v>
          </cell>
          <cell r="B1527" t="str">
            <v>MT400-630, 220-277VAC, 60HZ</v>
          </cell>
          <cell r="C1527">
            <v>7</v>
          </cell>
          <cell r="E1527" t="str">
            <v>PCS</v>
          </cell>
          <cell r="G1527" t="str">
            <v>musa</v>
          </cell>
          <cell r="AA1527" t="str">
            <v>SCHNEIDER STOCK</v>
          </cell>
        </row>
        <row r="1528">
          <cell r="A1528" t="str">
            <v>A9H330MEZ100FD</v>
          </cell>
          <cell r="B1528" t="str">
            <v>DISBO 3P 30W EASYPACT 100A FLAT FLUSH</v>
          </cell>
          <cell r="C1528">
            <v>9</v>
          </cell>
          <cell r="E1528" t="str">
            <v>PCS</v>
          </cell>
          <cell r="F1528" t="str">
            <v>239C</v>
          </cell>
          <cell r="G1528" t="str">
            <v>musa</v>
          </cell>
          <cell r="AA1528" t="str">
            <v>SCHNEIDER STOCK</v>
          </cell>
        </row>
        <row r="1529">
          <cell r="A1529" t="str">
            <v>C10F3TM025C</v>
          </cell>
          <cell r="B1529" t="str">
            <v>MT250, 220-277VAC, 60HZ</v>
          </cell>
          <cell r="C1529">
            <v>0</v>
          </cell>
          <cell r="E1529" t="str">
            <v>PCS</v>
          </cell>
          <cell r="G1529" t="str">
            <v>musa</v>
          </cell>
          <cell r="AA1529" t="str">
            <v>SCHNEIDER STOCK</v>
          </cell>
        </row>
        <row r="1530">
          <cell r="A1530" t="str">
            <v>A9H324MNS100FD</v>
          </cell>
          <cell r="B1530" t="str">
            <v>DISBO 3P 24W NS 100A FLAT FLUSH</v>
          </cell>
          <cell r="C1530">
            <v>1</v>
          </cell>
          <cell r="E1530" t="str">
            <v>PCS</v>
          </cell>
          <cell r="F1530" t="str">
            <v>420C</v>
          </cell>
          <cell r="G1530" t="str">
            <v>musa</v>
          </cell>
          <cell r="AA1530" t="str">
            <v>SCHNEIDER STOCK</v>
          </cell>
        </row>
        <row r="1531">
          <cell r="A1531" t="str">
            <v>A9H342MEZ100FD</v>
          </cell>
          <cell r="B1531" t="str">
            <v>DISBO 3P 42W EASYPACT 100A FLAT FLUSH</v>
          </cell>
          <cell r="C1531">
            <v>31</v>
          </cell>
          <cell r="E1531" t="str">
            <v>PCS</v>
          </cell>
          <cell r="G1531" t="str">
            <v>musa</v>
          </cell>
          <cell r="AA1531" t="str">
            <v>SCHNEIDER STOCK</v>
          </cell>
        </row>
        <row r="1532">
          <cell r="A1532" t="str">
            <v>AR3307</v>
          </cell>
          <cell r="B1532" t="str">
            <v>NetShelter SX 48U/600mm/1200mm Deep Enclosure with  Sides Black</v>
          </cell>
          <cell r="C1532">
            <v>0</v>
          </cell>
          <cell r="E1532" t="str">
            <v>PCS</v>
          </cell>
          <cell r="G1532" t="str">
            <v>musa</v>
          </cell>
          <cell r="AA1532" t="str">
            <v>SCHNEIDER STOCK</v>
          </cell>
        </row>
        <row r="1533">
          <cell r="A1533" t="str">
            <v>KB31BPB_AS</v>
          </cell>
          <cell r="B1533" t="str">
            <v>10A 250V BELL PRESS SW, AS</v>
          </cell>
          <cell r="C1533">
            <v>0</v>
          </cell>
          <cell r="E1533" t="str">
            <v>PCS</v>
          </cell>
          <cell r="G1533" t="str">
            <v>musa</v>
          </cell>
          <cell r="AA1533" t="str">
            <v>SCHNEIDER STOCK</v>
          </cell>
        </row>
        <row r="1534">
          <cell r="A1534" t="str">
            <v>KB15D_AS</v>
          </cell>
          <cell r="B1534" t="str">
            <v>1G 13A DP Switched Socket Small Dolly AS</v>
          </cell>
          <cell r="C1534">
            <v>0</v>
          </cell>
          <cell r="E1534" t="str">
            <v>PCS</v>
          </cell>
          <cell r="G1534" t="str">
            <v>musa</v>
          </cell>
          <cell r="AA1534" t="str">
            <v>SCHNEIDER STOCK</v>
          </cell>
        </row>
        <row r="1535">
          <cell r="A1535" t="str">
            <v>KB33_1_AS</v>
          </cell>
          <cell r="B1535" t="str">
            <v>16AX 250V 3G 1 WAY SW, AS</v>
          </cell>
          <cell r="C1535">
            <v>0</v>
          </cell>
          <cell r="E1535" t="str">
            <v>PCS</v>
          </cell>
          <cell r="G1535" t="str">
            <v>musa</v>
          </cell>
          <cell r="AA1535" t="str">
            <v>SCHNEIDER STOCK</v>
          </cell>
        </row>
        <row r="1536">
          <cell r="A1536" t="str">
            <v>KB31_AS</v>
          </cell>
          <cell r="B1536" t="str">
            <v>16AX 250V 1G 2 WAY SW,  AS</v>
          </cell>
          <cell r="C1536">
            <v>0</v>
          </cell>
          <cell r="E1536" t="str">
            <v>PCS</v>
          </cell>
          <cell r="G1536" t="str">
            <v>musa</v>
          </cell>
          <cell r="AA1536" t="str">
            <v>SCHNEIDER STOCK</v>
          </cell>
        </row>
        <row r="1537">
          <cell r="A1537" t="str">
            <v>KB31DR45N_AS</v>
          </cell>
          <cell r="B1537" t="str">
            <v>45A 250V 1G DP SW W/ NE, AS</v>
          </cell>
          <cell r="C1537">
            <v>0</v>
          </cell>
          <cell r="E1537" t="str">
            <v>PCS</v>
          </cell>
          <cell r="G1537" t="str">
            <v>musa</v>
          </cell>
          <cell r="AA1537" t="str">
            <v>SCHNEIDER STOCK</v>
          </cell>
        </row>
        <row r="1538">
          <cell r="A1538" t="str">
            <v>KB31TVF_AS</v>
          </cell>
          <cell r="B1538" t="str">
            <v>1G CABLE TVF CONNECTOR, AS</v>
          </cell>
          <cell r="C1538">
            <v>0</v>
          </cell>
          <cell r="E1538" t="str">
            <v>PCS</v>
          </cell>
          <cell r="G1538" t="str">
            <v>musa</v>
          </cell>
          <cell r="AA1538" t="str">
            <v>SCHNEIDER STOCK</v>
          </cell>
        </row>
        <row r="1539">
          <cell r="A1539" t="str">
            <v>E82554_AS_G1</v>
          </cell>
          <cell r="B1539" t="str">
            <v>45A 250V 1 Gang Connection Unit</v>
          </cell>
          <cell r="C1539">
            <v>0</v>
          </cell>
          <cell r="E1539" t="str">
            <v>PCS</v>
          </cell>
          <cell r="G1539" t="str">
            <v>musa</v>
          </cell>
          <cell r="AA1539" t="str">
            <v>SCHNEIDER STOCK</v>
          </cell>
        </row>
        <row r="1540">
          <cell r="A1540" t="str">
            <v>FS-AC-1001-U</v>
          </cell>
          <cell r="B1540" t="str">
            <v>HyperPod Accessory - Air Sealing Kit</v>
          </cell>
          <cell r="C1540">
            <v>0</v>
          </cell>
          <cell r="E1540" t="str">
            <v>PCS</v>
          </cell>
          <cell r="G1540" t="str">
            <v>musa</v>
          </cell>
          <cell r="AA1540" t="str">
            <v>SCHNEIDER STOCK</v>
          </cell>
        </row>
        <row r="1541">
          <cell r="A1541" t="str">
            <v>KB32_1_AS</v>
          </cell>
          <cell r="B1541" t="str">
            <v>Vivace 2G 1W Switch  Aluminium</v>
          </cell>
          <cell r="C1541">
            <v>658</v>
          </cell>
          <cell r="E1541" t="str">
            <v>PCS</v>
          </cell>
          <cell r="G1541" t="str">
            <v>musa</v>
          </cell>
          <cell r="AA1541" t="str">
            <v>SCHNEIDER STOCK</v>
          </cell>
        </row>
        <row r="1542">
          <cell r="A1542" t="str">
            <v>KB32_AS</v>
          </cell>
          <cell r="B1542" t="str">
            <v>Vivace 2G 2W Switch Aluminium</v>
          </cell>
          <cell r="C1542">
            <v>28</v>
          </cell>
          <cell r="E1542" t="str">
            <v>PCS</v>
          </cell>
          <cell r="G1542" t="str">
            <v>musa</v>
          </cell>
          <cell r="AA1542" t="str">
            <v>SCHNEIDER STOCK</v>
          </cell>
        </row>
        <row r="1543">
          <cell r="A1543" t="str">
            <v>METSEPM2230</v>
          </cell>
          <cell r="B1543" t="str">
            <v>METSEPM2230 ENERGY ANALYSER</v>
          </cell>
          <cell r="C1543">
            <v>0</v>
          </cell>
          <cell r="E1543" t="str">
            <v>PCS</v>
          </cell>
          <cell r="G1543" t="str">
            <v>musa</v>
          </cell>
          <cell r="AA1543" t="str">
            <v>SCHNEIDER STOCK</v>
          </cell>
        </row>
        <row r="1544">
          <cell r="A1544" t="str">
            <v>KB25D_AS</v>
          </cell>
          <cell r="B1544" t="str">
            <v>2G 13A DP Switched Socket Small Dolly AS</v>
          </cell>
          <cell r="C1544">
            <v>0</v>
          </cell>
          <cell r="E1544" t="str">
            <v>PCS</v>
          </cell>
          <cell r="G1544" t="str">
            <v>musa</v>
          </cell>
          <cell r="AA1544" t="str">
            <v>SCHNEIDER STOCK</v>
          </cell>
        </row>
        <row r="1545">
          <cell r="A1545" t="str">
            <v>AP7822B</v>
          </cell>
          <cell r="B1545" t="str">
            <v>RACK PDU METERED 2U 32A 230V (12) C13 &amp; (4) C19</v>
          </cell>
          <cell r="C1545">
            <v>0</v>
          </cell>
          <cell r="E1545" t="str">
            <v>PCS</v>
          </cell>
          <cell r="G1545" t="str">
            <v>musa</v>
          </cell>
          <cell r="AA1545" t="str">
            <v>SCHNEIDER STOCK</v>
          </cell>
        </row>
        <row r="1546">
          <cell r="A1546" t="str">
            <v>SRTL10KRM4UI</v>
          </cell>
          <cell r="B1546" t="str">
            <v>APC SMART-UPS ULTRA ON-LINE LITHIUM ION, 10KVA/10KW,4U RACK/TOWER,230V</v>
          </cell>
          <cell r="C1546">
            <v>0</v>
          </cell>
          <cell r="E1546" t="str">
            <v>PCS</v>
          </cell>
          <cell r="G1546" t="str">
            <v>musa</v>
          </cell>
          <cell r="AA1546" t="str">
            <v>SCHNEIDER STOCK</v>
          </cell>
        </row>
        <row r="1547">
          <cell r="A1547" t="str">
            <v>AP9559</v>
          </cell>
          <cell r="B1547" t="str">
            <v>RACK PDUBASIC1U16A208&amp;230V (10)C13 &amp; (2)C19</v>
          </cell>
          <cell r="C1547">
            <v>0</v>
          </cell>
          <cell r="E1547" t="str">
            <v>PCS</v>
          </cell>
          <cell r="G1547" t="str">
            <v>musa</v>
          </cell>
          <cell r="AA1547" t="str">
            <v>SCHNEIDER STOCK</v>
          </cell>
        </row>
        <row r="1548">
          <cell r="A1548" t="str">
            <v>AR8426A</v>
          </cell>
          <cell r="B1548" t="str">
            <v>Horizontal Cable Organizer 2U</v>
          </cell>
          <cell r="C1548">
            <v>0</v>
          </cell>
          <cell r="E1548" t="str">
            <v>PCS</v>
          </cell>
          <cell r="G1548" t="str">
            <v>musa</v>
          </cell>
          <cell r="AA1548" t="str">
            <v>SCHNEIDER STOCK</v>
          </cell>
        </row>
        <row r="1549">
          <cell r="A1549" t="str">
            <v>EPDU1216B</v>
          </cell>
          <cell r="B1549" t="str">
            <v>Easy PDU Basic Zero U 11 kW 230V (36) C13 &amp; (6) C19?IEC309</v>
          </cell>
          <cell r="C1549">
            <v>2</v>
          </cell>
          <cell r="E1549" t="str">
            <v>PCS</v>
          </cell>
          <cell r="G1549" t="str">
            <v>musa</v>
          </cell>
          <cell r="AA1549" t="str">
            <v>SCHNEIDER STOCK</v>
          </cell>
        </row>
        <row r="1550">
          <cell r="A1550" t="str">
            <v>QBATT-QHMA70206-00</v>
          </cell>
          <cell r="B1550" t="str">
            <v>PRODUCT 3RD PARTY HARDWARE OTHER YUASA BATTERY ENL480 2 TOTAL QUANTITY 48 BLOCK ALONG WITH ACCESSORI,N/A</v>
          </cell>
          <cell r="C1550">
            <v>0</v>
          </cell>
          <cell r="E1550" t="str">
            <v>PCS</v>
          </cell>
          <cell r="G1550" t="str">
            <v>musa</v>
          </cell>
          <cell r="AA1550" t="str">
            <v>SCHNEIDER STOCK</v>
          </cell>
        </row>
        <row r="1551">
          <cell r="A1551" t="str">
            <v>SUA5000RMI5U</v>
          </cell>
          <cell r="B1551" t="str">
            <v>APC SMART - UPS 5000VA 230V</v>
          </cell>
          <cell r="C1551">
            <v>8</v>
          </cell>
          <cell r="E1551" t="str">
            <v>PCS</v>
          </cell>
          <cell r="F1551" t="str">
            <v>272C,271B,272B,242B,207C</v>
          </cell>
          <cell r="G1551" t="str">
            <v>musa</v>
          </cell>
          <cell r="AA1551" t="str">
            <v>SCHNEIDER STOCK</v>
          </cell>
        </row>
        <row r="1552">
          <cell r="A1552" t="str">
            <v>EPDU1116B</v>
          </cell>
          <cell r="B1552" t="str">
            <v>Easy PDUBasicZeroU16A230V(20)C13 &amp; (4)C19 IEC309</v>
          </cell>
          <cell r="C1552">
            <v>11</v>
          </cell>
          <cell r="E1552" t="str">
            <v>PCS</v>
          </cell>
          <cell r="F1552" t="str">
            <v>260A</v>
          </cell>
          <cell r="G1552" t="str">
            <v>musa</v>
          </cell>
          <cell r="AA1552" t="str">
            <v>SCHNEIDER STOCK</v>
          </cell>
        </row>
        <row r="1553">
          <cell r="A1553" t="str">
            <v>AR7706</v>
          </cell>
          <cell r="B1553" t="str">
            <v>APC NETSHELTER SX 750MM MOUNTING RAIL</v>
          </cell>
          <cell r="C1553">
            <v>0</v>
          </cell>
          <cell r="E1553" t="str">
            <v>PCS</v>
          </cell>
          <cell r="G1553" t="str">
            <v>musa</v>
          </cell>
          <cell r="AA1553" t="str">
            <v>SCHNEIDER STOCK</v>
          </cell>
        </row>
        <row r="1554">
          <cell r="A1554" t="str">
            <v>QBATT-QRRA92958-00</v>
          </cell>
          <cell r="B1554" t="str">
            <v>PRODUCT 3RD PARTY HARDWARE OTHER
BATTERY MANAGEMENT SYSTEM FOR 2 SYSTEMS OF 2 X 40 X 12V MONOBLOCKS,N/A</v>
          </cell>
          <cell r="C1554">
            <v>0</v>
          </cell>
          <cell r="E1554" t="str">
            <v>PCS</v>
          </cell>
          <cell r="G1554" t="str">
            <v>musa</v>
          </cell>
          <cell r="AA1554" t="str">
            <v>SCHNEIDER STOCK</v>
          </cell>
        </row>
        <row r="1555">
          <cell r="A1555" t="str">
            <v>GVXBBQ-QATE67547-13</v>
          </cell>
          <cell r="B1555" t="str">
            <v>PRODUCT GALAXY VX 1250KVA QSKU MAKE DC BREAKER NW40 IN CABINET H1972MM
QVE RAL9003 TOP AND OR BOTTOM,N/A</v>
          </cell>
          <cell r="C1555">
            <v>0</v>
          </cell>
          <cell r="E1555" t="str">
            <v>PCS</v>
          </cell>
          <cell r="G1555" t="str">
            <v>musa</v>
          </cell>
          <cell r="AA1555" t="str">
            <v>SCHNEIDER STOCK</v>
          </cell>
        </row>
        <row r="1556">
          <cell r="A1556" t="str">
            <v>E3MUPS200KHS</v>
          </cell>
          <cell r="B1556" t="str">
            <v>Easy UPS 3M 200kVA 400V 3:3 UPS for external
batteries, Start-up 5x8</v>
          </cell>
          <cell r="C1556">
            <v>0</v>
          </cell>
          <cell r="E1556" t="str">
            <v>PCS</v>
          </cell>
          <cell r="G1556" t="str">
            <v>musa</v>
          </cell>
          <cell r="AA1556" t="str">
            <v>SCHNEIDER STOCK</v>
          </cell>
        </row>
        <row r="1557">
          <cell r="A1557" t="str">
            <v>E3MUPS120KHS</v>
          </cell>
          <cell r="B1557" t="str">
            <v>Easy UPS 3M 120kVA 400V 3:3 UPS for external
batteries, Start-up 5x8</v>
          </cell>
          <cell r="C1557">
            <v>0</v>
          </cell>
          <cell r="E1557" t="str">
            <v>PCS</v>
          </cell>
          <cell r="G1557" t="str">
            <v>musa</v>
          </cell>
          <cell r="AA1557" t="str">
            <v>SCHNEIDER STOCK</v>
          </cell>
        </row>
        <row r="1558">
          <cell r="A1558" t="str">
            <v>BATTXP12V2500GNB</v>
          </cell>
          <cell r="B1558" t="str">
            <v>XP12V2500 Exide 12V VRLA Battery</v>
          </cell>
          <cell r="C1558">
            <v>0</v>
          </cell>
          <cell r="E1558" t="str">
            <v>PCS</v>
          </cell>
          <cell r="G1558" t="str">
            <v>musa</v>
          </cell>
          <cell r="AA1558" t="str">
            <v>SCHNEIDER STOCK</v>
          </cell>
        </row>
        <row r="1559">
          <cell r="A1559" t="str">
            <v>0M-BATTSTRING</v>
          </cell>
          <cell r="B1559" t="str">
            <v>NUMBER OF BATTERY STRINGS</v>
          </cell>
          <cell r="C1559">
            <v>0</v>
          </cell>
          <cell r="E1559" t="str">
            <v>PCS</v>
          </cell>
          <cell r="G1559" t="str">
            <v>musa</v>
          </cell>
          <cell r="AA1559" t="str">
            <v>SCHNEIDER STOCK</v>
          </cell>
        </row>
        <row r="1560">
          <cell r="A1560" t="str">
            <v>0M-BATTUPSKVA</v>
          </cell>
          <cell r="B1560" t="str">
            <v>UPS POWER CONCERNED IN KVA</v>
          </cell>
          <cell r="C1560">
            <v>0</v>
          </cell>
          <cell r="E1560" t="str">
            <v>PCS</v>
          </cell>
          <cell r="G1560" t="str">
            <v>musa</v>
          </cell>
          <cell r="AA1560" t="str">
            <v>SCHNEIDER STOCK</v>
          </cell>
        </row>
        <row r="1561">
          <cell r="A1561" t="str">
            <v>0M-BATTRUNTIME</v>
          </cell>
          <cell r="B1561" t="str">
            <v>BATTERY RUNTIME REQUESTED IN MN</v>
          </cell>
          <cell r="C1561">
            <v>0</v>
          </cell>
          <cell r="E1561" t="str">
            <v>PCS</v>
          </cell>
          <cell r="G1561" t="str">
            <v>musa</v>
          </cell>
          <cell r="AA1561" t="str">
            <v>SCHNEIDER STOCK</v>
          </cell>
        </row>
        <row r="1562">
          <cell r="A1562" t="str">
            <v>0M-BATTSYSTPF9</v>
          </cell>
          <cell r="B1562" t="str">
            <v>BATTERY SYSTEM POWER FACTOR 0.9</v>
          </cell>
          <cell r="C1562">
            <v>0</v>
          </cell>
          <cell r="E1562" t="str">
            <v>PCS</v>
          </cell>
          <cell r="G1562" t="str">
            <v>musa</v>
          </cell>
          <cell r="AA1562" t="str">
            <v>SCHNEIDER STOCK</v>
          </cell>
        </row>
        <row r="1563">
          <cell r="A1563" t="str">
            <v>EASYBATOGNB</v>
          </cell>
          <cell r="B1563" t="str">
            <v>Easy UPS Specific EXIDE backup time</v>
          </cell>
          <cell r="C1563">
            <v>0</v>
          </cell>
          <cell r="E1563" t="str">
            <v>PCS</v>
          </cell>
          <cell r="G1563" t="str">
            <v>musa</v>
          </cell>
          <cell r="AA1563" t="str">
            <v>SCHNEIDER STOCK</v>
          </cell>
        </row>
        <row r="1564">
          <cell r="A1564" t="str">
            <v>GVX1250K1500HS</v>
          </cell>
          <cell r="B1564" t="str">
            <v>Galaxy VX 1250kVA Scalable to 1500kVA 400V,(GVXP250KD =5 &amp; GVXI1500KD  =1)
Start up 5x8</v>
          </cell>
          <cell r="C1564">
            <v>1</v>
          </cell>
          <cell r="E1564" t="str">
            <v>PCS</v>
          </cell>
          <cell r="F1564" t="str">
            <v>ZONE A</v>
          </cell>
          <cell r="G1564" t="str">
            <v>musa</v>
          </cell>
          <cell r="AA1564" t="str">
            <v>SCHNEIDER STOCK</v>
          </cell>
        </row>
        <row r="1565">
          <cell r="A1565" t="str">
            <v>GVX1000K1500HS</v>
          </cell>
          <cell r="B1565" t="str">
            <v>Galaxy VX 1000kVA Scalable to 1500kVA 400V,
Start up 5x8</v>
          </cell>
          <cell r="C1565">
            <v>0</v>
          </cell>
          <cell r="E1565" t="str">
            <v>PCS</v>
          </cell>
          <cell r="G1565" t="str">
            <v>musa</v>
          </cell>
          <cell r="AA1565" t="str">
            <v>SCHNEIDER STOCK</v>
          </cell>
        </row>
        <row r="1566">
          <cell r="A1566" t="str">
            <v>GVSBPSU80K1 20H</v>
          </cell>
          <cell r="B1566" t="str">
            <v>Maintenance Bypass Panel, single unit, 80- 120kW 400V wallmount, for Galaxy VS and Easy
UPS 3S/3M</v>
          </cell>
          <cell r="C1566">
            <v>0</v>
          </cell>
          <cell r="E1566" t="str">
            <v>PCS</v>
          </cell>
          <cell r="G1566" t="str">
            <v>musa</v>
          </cell>
          <cell r="AA1566" t="str">
            <v>SCHNEIDER STOCK</v>
          </cell>
        </row>
        <row r="1567">
          <cell r="A1567" t="str">
            <v>SYOPT008</v>
          </cell>
          <cell r="B1567" t="str">
            <v>APC Symmetra PX250/500 Paralleling Cable</v>
          </cell>
          <cell r="C1567">
            <v>0</v>
          </cell>
          <cell r="E1567" t="str">
            <v>PCS</v>
          </cell>
          <cell r="G1567" t="str">
            <v>musa</v>
          </cell>
          <cell r="AA1567" t="str">
            <v>SCHNEIDER STOCK</v>
          </cell>
        </row>
        <row r="1568">
          <cell r="A1568" t="str">
            <v>R4EPGL41670GNB</v>
          </cell>
          <cell r="B1568" t="str">
            <v>4N4R 1670mm Exide Battery Rack</v>
          </cell>
          <cell r="C1568">
            <v>0</v>
          </cell>
          <cell r="E1568" t="str">
            <v>PCS</v>
          </cell>
          <cell r="G1568" t="str">
            <v>musa</v>
          </cell>
          <cell r="AA1568" t="str">
            <v>SCHNEIDER STOCK</v>
          </cell>
        </row>
        <row r="1569">
          <cell r="A1569" t="str">
            <v>R3EPGL41670GNB</v>
          </cell>
          <cell r="B1569" t="str">
            <v>3N4R 1670mm Exide Battery Rack</v>
          </cell>
          <cell r="C1569">
            <v>0</v>
          </cell>
          <cell r="E1569" t="str">
            <v>PCS</v>
          </cell>
          <cell r="G1569" t="str">
            <v>musa</v>
          </cell>
          <cell r="AA1569" t="str">
            <v>SCHNEIDER STOCK</v>
          </cell>
        </row>
        <row r="1570">
          <cell r="A1570" t="str">
            <v>AP9635</v>
          </cell>
          <cell r="B1570" t="str">
            <v>UPS Network Management Card 2 w/
Environmental Monitoring, Out of Band Access and Modbus</v>
          </cell>
          <cell r="C1570">
            <v>0</v>
          </cell>
          <cell r="E1570" t="str">
            <v>PCS</v>
          </cell>
          <cell r="G1570" t="str">
            <v>musa</v>
          </cell>
          <cell r="AA1570" t="str">
            <v>SCHNEIDER STOCK</v>
          </cell>
        </row>
        <row r="1571">
          <cell r="A1571" t="str">
            <v>E3MOPT005</v>
          </cell>
          <cell r="B1571" t="str">
            <v>Cold start kits for E3M(60kVA/80kVA/100kVA/120kVA/160kVA/200
kVA) (button+cable+ package)</v>
          </cell>
          <cell r="C1571">
            <v>0</v>
          </cell>
          <cell r="E1571" t="str">
            <v>PCS</v>
          </cell>
          <cell r="G1571" t="str">
            <v>musa</v>
          </cell>
          <cell r="AA1571" t="str">
            <v>SCHNEIDER STOCK</v>
          </cell>
        </row>
        <row r="1572">
          <cell r="A1572" t="str">
            <v>EASFAT1PC</v>
          </cell>
          <cell r="B1572" t="str">
            <v>E3S &amp; E3M FACTORY ACCEPTANCE TEST 1
POWER CABINET</v>
          </cell>
          <cell r="C1572">
            <v>0</v>
          </cell>
          <cell r="E1572" t="str">
            <v>PCS</v>
          </cell>
          <cell r="G1572" t="str">
            <v>musa</v>
          </cell>
          <cell r="AA1572" t="str">
            <v>SCHNEIDER STOCK</v>
          </cell>
        </row>
        <row r="1573">
          <cell r="A1573" t="str">
            <v>LIBSESMG17IEC</v>
          </cell>
          <cell r="B1573" t="str">
            <v>Galaxy Li-Ion Battery Cabinet IEC with 17 x 2.04 kWh battery modules</v>
          </cell>
          <cell r="C1573">
            <v>0</v>
          </cell>
          <cell r="E1573" t="str">
            <v>PCS</v>
          </cell>
          <cell r="G1573" t="str">
            <v>musa</v>
          </cell>
          <cell r="AA1573" t="str">
            <v>SCHNEIDER STOCK</v>
          </cell>
        </row>
        <row r="1574">
          <cell r="A1574" t="str">
            <v>ACAC10045</v>
          </cell>
          <cell r="B1574" t="str">
            <v>User display</v>
          </cell>
          <cell r="C1574">
            <v>0</v>
          </cell>
          <cell r="E1574" t="str">
            <v>PCS</v>
          </cell>
          <cell r="G1574" t="str">
            <v>musa</v>
          </cell>
          <cell r="AA1574" t="str">
            <v>SCHNEIDER STOCK</v>
          </cell>
        </row>
        <row r="1575">
          <cell r="A1575" t="str">
            <v>APCRBC110</v>
          </cell>
          <cell r="B1575" t="str">
            <v>APC Replacement Battery Cartridge #110</v>
          </cell>
          <cell r="C1575">
            <v>0</v>
          </cell>
          <cell r="E1575" t="str">
            <v>PCS</v>
          </cell>
          <cell r="G1575" t="str">
            <v>musa</v>
          </cell>
          <cell r="AA1575" t="str">
            <v>SCHNEIDER STOCK</v>
          </cell>
        </row>
        <row r="1576">
          <cell r="A1576" t="str">
            <v>E3MUPS100KHS</v>
          </cell>
          <cell r="B1576" t="str">
            <v>Easy UPS 3M 100kVA 400V 3:3 UPS for external batteries Start-up 5x8 Consisting of  1 x E3MUPS100KH</v>
          </cell>
          <cell r="C1576">
            <v>2</v>
          </cell>
          <cell r="E1576" t="str">
            <v>PCS</v>
          </cell>
          <cell r="G1576" t="str">
            <v>musa</v>
          </cell>
          <cell r="AA1576" t="str">
            <v>SCHNEIDER STOCK</v>
          </cell>
        </row>
        <row r="1577">
          <cell r="A1577" t="str">
            <v>EPDU1216M</v>
          </cell>
          <cell r="B1577" t="str">
            <v>Easy POU Metered Zero U 11 kW 230V (21) C13 &amp; (3) C191EC309</v>
          </cell>
          <cell r="C1577">
            <v>0</v>
          </cell>
          <cell r="E1577" t="str">
            <v>PCS</v>
          </cell>
          <cell r="G1577" t="str">
            <v>musa</v>
          </cell>
          <cell r="AA1577" t="str">
            <v>SCHNEIDER STOCK</v>
          </cell>
        </row>
        <row r="1578">
          <cell r="A1578" t="str">
            <v>RBC23</v>
          </cell>
          <cell r="B1578" t="str">
            <v>APC REPLACEMENT BATTERY CARTRIDGE# 23</v>
          </cell>
          <cell r="C1578">
            <v>2</v>
          </cell>
          <cell r="E1578" t="str">
            <v>PCS</v>
          </cell>
          <cell r="F1578" t="str">
            <v>243B,246B</v>
          </cell>
          <cell r="G1578" t="str">
            <v>musa</v>
          </cell>
          <cell r="AA1578" t="str">
            <v>SCHNEIDER STOCK</v>
          </cell>
        </row>
        <row r="1579">
          <cell r="A1579" t="str">
            <v>LBF31409AB31MRDYR</v>
          </cell>
          <cell r="B1579" t="str">
            <v>32A 4Pole, 380 - 440 Volts, 60Hz Load Break Switch (LBS) with Aluminium Enclosure IP65</v>
          </cell>
          <cell r="C1579">
            <v>0</v>
          </cell>
          <cell r="E1579" t="str">
            <v>PCS</v>
          </cell>
          <cell r="G1579" t="str">
            <v>musa</v>
          </cell>
          <cell r="AA1579" t="str">
            <v>SCHNEIDER STOCK</v>
          </cell>
        </row>
        <row r="1580">
          <cell r="A1580" t="str">
            <v>LBD31409AB31SRDYR</v>
          </cell>
          <cell r="B1580" t="str">
            <v>20A 4Pole, 380 - 440 Volts, 60Hz Load Break Switch (LBS) with Aluminium Enclosure IP65</v>
          </cell>
          <cell r="C1580">
            <v>0</v>
          </cell>
          <cell r="E1580" t="str">
            <v>PCS</v>
          </cell>
          <cell r="G1580" t="str">
            <v>musa</v>
          </cell>
          <cell r="AA1580" t="str">
            <v>SCHNEIDER STOCK</v>
          </cell>
        </row>
        <row r="1581">
          <cell r="A1581" t="str">
            <v>LBG31409AB31MRDYR</v>
          </cell>
          <cell r="B1581" t="str">
            <v>40A 4Pole, 380 - 440 Volts, 60Hz Load Break Switch (LBS) with Aluminium Enclosure IP65</v>
          </cell>
          <cell r="C1581">
            <v>0</v>
          </cell>
          <cell r="E1581" t="str">
            <v>PCS</v>
          </cell>
          <cell r="G1581" t="str">
            <v>musa</v>
          </cell>
          <cell r="AA1581" t="str">
            <v>SCHNEIDER STOCK</v>
          </cell>
        </row>
        <row r="1582">
          <cell r="A1582" t="str">
            <v>AP6120A</v>
          </cell>
          <cell r="B1582" t="str">
            <v>Rack POU Basic 0U/1U 100-240v/20A 220-240V/16A (7) C13 (2) C19</v>
          </cell>
          <cell r="C1582">
            <v>3</v>
          </cell>
          <cell r="E1582" t="str">
            <v>PCS</v>
          </cell>
          <cell r="F1582" t="str">
            <v>420B</v>
          </cell>
          <cell r="G1582" t="str">
            <v>musa</v>
          </cell>
          <cell r="AA1582" t="str">
            <v>SCHNEIDER STOCK</v>
          </cell>
        </row>
        <row r="1583">
          <cell r="A1583" t="str">
            <v>ACDC2301</v>
          </cell>
          <cell r="B1583" t="str">
            <v>Duct Mounting Rail - (Expansion)</v>
          </cell>
          <cell r="C1583">
            <v>0</v>
          </cell>
          <cell r="E1583" t="str">
            <v>PCS</v>
          </cell>
          <cell r="G1583" t="str">
            <v>musa</v>
          </cell>
          <cell r="AA1583" t="str">
            <v>SCHNEIDER STOCK</v>
          </cell>
        </row>
        <row r="1584">
          <cell r="A1584" t="str">
            <v>ACDC2302</v>
          </cell>
          <cell r="B1584" t="str">
            <v>Mounting Support - Duct Lighting (w/o lights)</v>
          </cell>
          <cell r="C1584">
            <v>0</v>
          </cell>
          <cell r="E1584" t="str">
            <v>PCS</v>
          </cell>
          <cell r="G1584" t="str">
            <v>musa</v>
          </cell>
          <cell r="AA1584" t="str">
            <v>SCHNEIDER STOCK</v>
          </cell>
        </row>
        <row r="1585">
          <cell r="A1585" t="str">
            <v>ACDC2311</v>
          </cell>
          <cell r="B1585" t="str">
            <v>Duct Frame Extension - End of Aisle 1200 - 1800mm (48 - 72in)</v>
          </cell>
          <cell r="C1585">
            <v>0</v>
          </cell>
          <cell r="E1585" t="str">
            <v>PCS</v>
          </cell>
          <cell r="G1585" t="str">
            <v>musa</v>
          </cell>
          <cell r="AA1585" t="str">
            <v>SCHNEIDER STOCK</v>
          </cell>
        </row>
        <row r="1586">
          <cell r="A1586" t="str">
            <v>ACDC2307</v>
          </cell>
          <cell r="B1586" t="str">
            <v>Duct Panel - 1012mm (40in) W x up to 1270mm (50in) H</v>
          </cell>
          <cell r="C1586">
            <v>0</v>
          </cell>
          <cell r="E1586" t="str">
            <v>PCS</v>
          </cell>
          <cell r="G1586" t="str">
            <v>musa</v>
          </cell>
          <cell r="AA1586" t="str">
            <v>SCHNEIDER STOCK</v>
          </cell>
        </row>
        <row r="1587">
          <cell r="A1587" t="str">
            <v>SRTL180RM2UBP</v>
          </cell>
          <cell r="B1587" t="str">
            <v>APC SMART-UPS ULTRA ON-LINE LITHIUM ION XBP 180V 2U RACK/TOWER</v>
          </cell>
          <cell r="C1587">
            <v>0</v>
          </cell>
          <cell r="E1587" t="str">
            <v>PCS</v>
          </cell>
          <cell r="G1587" t="str">
            <v>musa</v>
          </cell>
          <cell r="AA1587" t="str">
            <v>SCHNEIDER STOCK</v>
          </cell>
        </row>
        <row r="1588">
          <cell r="A1588" t="str">
            <v>SCL500RMI1UNC</v>
          </cell>
          <cell r="B1588" t="str">
            <v>APC Smart-UPS C Lithium Ion Short Depth 500VA 230V with Network Card</v>
          </cell>
          <cell r="C1588">
            <v>1</v>
          </cell>
          <cell r="E1588" t="str">
            <v>PCS</v>
          </cell>
          <cell r="F1588" t="str">
            <v>259B</v>
          </cell>
          <cell r="G1588" t="str">
            <v>musa</v>
          </cell>
          <cell r="AA1588" t="str">
            <v>SCHNEIDER STOCK</v>
          </cell>
        </row>
        <row r="1589">
          <cell r="A1589" t="str">
            <v>QBATE3M-QBSU04074</v>
          </cell>
          <cell r="B1589" t="str">
            <v>Product EASY UPS 3M 80KVA BATTERY  AT 64KW 60MIN RUNTIME, N/A (QBATE3M--QBSU04074-00)</v>
          </cell>
          <cell r="C1589">
            <v>0</v>
          </cell>
          <cell r="E1589" t="str">
            <v>PCS</v>
          </cell>
          <cell r="G1589" t="str">
            <v>musa</v>
          </cell>
          <cell r="AA1589" t="str">
            <v>SCHNEIDER STOCK</v>
          </cell>
        </row>
        <row r="1590">
          <cell r="A1590" t="str">
            <v>0J-0N-10810</v>
          </cell>
          <cell r="B1590" t="str">
            <v>ASSY FAN BOX AGILIS PM</v>
          </cell>
          <cell r="C1590">
            <v>0</v>
          </cell>
          <cell r="E1590" t="str">
            <v>PCS</v>
          </cell>
          <cell r="G1590" t="str">
            <v>musa</v>
          </cell>
          <cell r="AA1590" t="str">
            <v>SCHNEIDER STOCK</v>
          </cell>
        </row>
        <row r="1591">
          <cell r="A1591" t="str">
            <v>0J-0N-87703</v>
          </cell>
          <cell r="B1591" t="str">
            <v>ASSY DISPLAY FOR GVS 100</v>
          </cell>
          <cell r="C1591">
            <v>0</v>
          </cell>
          <cell r="E1591" t="str">
            <v>PCS</v>
          </cell>
          <cell r="G1591" t="str">
            <v>musa</v>
          </cell>
          <cell r="AA1591" t="str">
            <v>SCHNEIDER STOCK</v>
          </cell>
        </row>
        <row r="1592">
          <cell r="A1592" t="str">
            <v>0J-0P4841AL</v>
          </cell>
          <cell r="B1592" t="str">
            <v>PCB ASSY SYS PSU AGILIS</v>
          </cell>
          <cell r="C1592">
            <v>0</v>
          </cell>
          <cell r="E1592" t="str">
            <v>PCS</v>
          </cell>
          <cell r="G1592" t="str">
            <v>musa</v>
          </cell>
          <cell r="AA1592" t="str">
            <v>SCHNEIDER STOCK</v>
          </cell>
        </row>
        <row r="1593">
          <cell r="A1593" t="str">
            <v>0J-0P4842AD</v>
          </cell>
          <cell r="B1593" t="str">
            <v>PCB ASSY SYSTEM CONNECTION BOARD ALPHA</v>
          </cell>
          <cell r="C1593">
            <v>0</v>
          </cell>
          <cell r="E1593" t="str">
            <v>PCS</v>
          </cell>
          <cell r="G1593" t="str">
            <v>musa</v>
          </cell>
          <cell r="AA1593" t="str">
            <v>SCHNEIDER STOCK</v>
          </cell>
        </row>
        <row r="1594">
          <cell r="A1594" t="str">
            <v>0J-515-1080-Z</v>
          </cell>
          <cell r="B1594" t="str">
            <v>FUSE FAST 80 AMP 500VDC/690VAC ROHS</v>
          </cell>
          <cell r="C1594">
            <v>0</v>
          </cell>
          <cell r="E1594" t="str">
            <v>PCS</v>
          </cell>
          <cell r="G1594" t="str">
            <v>musa</v>
          </cell>
          <cell r="AA1594" t="str">
            <v>SCHNEIDER STOCK</v>
          </cell>
        </row>
        <row r="1595">
          <cell r="A1595" t="str">
            <v>0J-HUA45505</v>
          </cell>
          <cell r="B1595" t="str">
            <v>FUS 160A AR SCW DIN80,000</v>
          </cell>
          <cell r="C1595">
            <v>0</v>
          </cell>
          <cell r="E1595" t="str">
            <v>PCS</v>
          </cell>
          <cell r="G1595" t="str">
            <v>musa</v>
          </cell>
          <cell r="AA1595" t="str">
            <v>SCHNEIDER STOCK</v>
          </cell>
        </row>
        <row r="1596">
          <cell r="A1596" t="str">
            <v>0J-TME00059</v>
          </cell>
          <cell r="B1596" t="str">
            <v>FUS 80A GR (URS) BLT 17 MM X 49 MM</v>
          </cell>
          <cell r="C1596">
            <v>0</v>
          </cell>
          <cell r="E1596" t="str">
            <v>PCS</v>
          </cell>
          <cell r="G1596" t="str">
            <v>musa</v>
          </cell>
          <cell r="AA1596" t="str">
            <v>SCHNEIDER STOCK</v>
          </cell>
        </row>
        <row r="1597">
          <cell r="A1597" t="str">
            <v>0J-TME00338</v>
          </cell>
          <cell r="B1597" t="str">
            <v>FUS 400A AR SCW DIN80,000</v>
          </cell>
          <cell r="C1597">
            <v>0</v>
          </cell>
          <cell r="E1597" t="str">
            <v>PCS</v>
          </cell>
          <cell r="G1597" t="str">
            <v>musa</v>
          </cell>
          <cell r="AA1597" t="str">
            <v>SCHNEIDER STOCK</v>
          </cell>
        </row>
        <row r="1598">
          <cell r="A1598" t="str">
            <v>0J-TME00373</v>
          </cell>
          <cell r="B1598" t="str">
            <v>FUS 315A AR BLT MOUNTED SZ 000 DIN80</v>
          </cell>
          <cell r="C1598">
            <v>0</v>
          </cell>
          <cell r="E1598" t="str">
            <v>PCS</v>
          </cell>
          <cell r="G1598" t="str">
            <v>musa</v>
          </cell>
          <cell r="AA1598" t="str">
            <v>SCHNEIDER STOCK</v>
          </cell>
        </row>
        <row r="1599">
          <cell r="A1599" t="str">
            <v>KB31IA_AS</v>
          </cell>
          <cell r="B1599" t="str">
            <v>Vivace Intermediate Sw. Aluminium</v>
          </cell>
          <cell r="C1599">
            <v>56</v>
          </cell>
          <cell r="E1599" t="str">
            <v>PCS</v>
          </cell>
          <cell r="G1599" t="str">
            <v>musa</v>
          </cell>
          <cell r="AA1599" t="str">
            <v>SCHNEIDER STOCK</v>
          </cell>
        </row>
        <row r="1600">
          <cell r="A1600" t="str">
            <v>KB31_1_AS</v>
          </cell>
          <cell r="B1600" t="str">
            <v>16AX 250V 1G 1 WAY SW,  AS</v>
          </cell>
          <cell r="C1600">
            <v>713</v>
          </cell>
          <cell r="E1600" t="str">
            <v>PCS</v>
          </cell>
          <cell r="G1600" t="str">
            <v>musa</v>
          </cell>
          <cell r="AA1600" t="str">
            <v>SCHNEIDER STOCK</v>
          </cell>
        </row>
        <row r="1601">
          <cell r="A1601" t="str">
            <v>KB31D20NE_AS</v>
          </cell>
          <cell r="B1601" t="str">
            <v>20A 250V 1G DP SW W/ NE &amp; E, AS</v>
          </cell>
          <cell r="C1601">
            <v>316</v>
          </cell>
          <cell r="E1601" t="str">
            <v>PCS</v>
          </cell>
          <cell r="G1601" t="str">
            <v>musa</v>
          </cell>
          <cell r="AA1601" t="str">
            <v>SCHNEIDER STOCK</v>
          </cell>
        </row>
        <row r="1602">
          <cell r="A1602" t="str">
            <v>ES9-12</v>
          </cell>
          <cell r="B1602" t="str">
            <v>EnerRocket SMF VRLA Rechargeable</v>
          </cell>
          <cell r="C1602">
            <v>0</v>
          </cell>
          <cell r="E1602" t="str">
            <v>PCS</v>
          </cell>
          <cell r="G1602" t="str">
            <v>musa</v>
          </cell>
          <cell r="AA1602" t="str">
            <v>SCHNEIDER STOCK</v>
          </cell>
        </row>
        <row r="1603">
          <cell r="A1603" t="str">
            <v>0J-0N-96783</v>
          </cell>
          <cell r="B1603" t="str">
            <v>ASSY UC-SLC BOX</v>
          </cell>
          <cell r="C1603">
            <v>0</v>
          </cell>
          <cell r="E1603" t="str">
            <v>PCS</v>
          </cell>
          <cell r="G1603" t="str">
            <v>musa</v>
          </cell>
          <cell r="AA1603" t="str">
            <v>SCHNEIDER STOCK</v>
          </cell>
        </row>
        <row r="1604">
          <cell r="A1604" t="str">
            <v>GVSOPT001</v>
          </cell>
          <cell r="B1604" t="str">
            <v>Galaxy VS Air Filter Kit for 521mm wide</v>
          </cell>
          <cell r="C1604">
            <v>0</v>
          </cell>
          <cell r="E1604" t="str">
            <v>PCS</v>
          </cell>
          <cell r="G1604" t="str">
            <v>musa</v>
          </cell>
          <cell r="AA1604" t="str">
            <v>SCHNEIDER STOCK</v>
          </cell>
        </row>
        <row r="1605">
          <cell r="A1605" t="str">
            <v>GVSOPT015</v>
          </cell>
          <cell r="B1605" t="str">
            <v>Galaxy VS Air Filter Kit for 350mm (13.8</v>
          </cell>
          <cell r="C1605">
            <v>0</v>
          </cell>
          <cell r="E1605" t="str">
            <v>PCS</v>
          </cell>
          <cell r="G1605" t="str">
            <v>musa</v>
          </cell>
          <cell r="AA1605" t="str">
            <v>SCHNEIDER STOCK</v>
          </cell>
        </row>
        <row r="1606">
          <cell r="A1606" t="str">
            <v>RBC17</v>
          </cell>
          <cell r="B1606" t="str">
            <v>APC REPLACEMENT BATTERY CARTRIDGE#17</v>
          </cell>
          <cell r="C1606">
            <v>0</v>
          </cell>
          <cell r="E1606" t="str">
            <v>PCS</v>
          </cell>
          <cell r="G1606" t="str">
            <v>musa</v>
          </cell>
          <cell r="AA1606" t="str">
            <v>SCHNEIDER STOCK</v>
          </cell>
        </row>
        <row r="1607">
          <cell r="A1607" t="str">
            <v>GVSUPS30KHS</v>
          </cell>
          <cell r="B1607" t="str">
            <v>Galaxy VS UPS 30kW 400V for External Batteries Start-up 5x8 Consisting of  1 x GVSUPS30KH</v>
          </cell>
          <cell r="C1607">
            <v>0</v>
          </cell>
          <cell r="E1607" t="str">
            <v>PCS</v>
          </cell>
          <cell r="G1607" t="str">
            <v>musa</v>
          </cell>
          <cell r="AA1607" t="str">
            <v>SCHNEIDER STOCK</v>
          </cell>
        </row>
        <row r="1608">
          <cell r="A1608" t="str">
            <v>SRVL6KRILRK</v>
          </cell>
          <cell r="B1608" t="str">
            <v>APC Easy UPS On-Line Li-Ion SRVL RT Ext. Runtime 6000VA 230V with Rail Kit Consisting of  1 x SRVL48RMBP3U  1 x SRVLPM6KRIL  1 x SRVRK2  1 x SRVRK1</v>
          </cell>
          <cell r="C1608">
            <v>10</v>
          </cell>
          <cell r="E1608" t="str">
            <v>PCS</v>
          </cell>
          <cell r="G1608" t="str">
            <v>musa</v>
          </cell>
          <cell r="AA1608" t="str">
            <v>SCHNEIDER STOCK</v>
          </cell>
        </row>
        <row r="1609">
          <cell r="A1609" t="str">
            <v>NSAC2122</v>
          </cell>
          <cell r="B1609" t="str">
            <v>LIGHTING CONTROL BOX</v>
          </cell>
          <cell r="C1609">
            <v>0</v>
          </cell>
          <cell r="E1609" t="str">
            <v>PCS</v>
          </cell>
          <cell r="G1609" t="str">
            <v>musa</v>
          </cell>
          <cell r="AA1609" t="str">
            <v>SCHNEIDER STOCK</v>
          </cell>
        </row>
        <row r="1610">
          <cell r="A1610" t="str">
            <v>SRVL48RMBP3U</v>
          </cell>
          <cell r="B1610" t="str">
            <v>APC Easy SRVL Li-on 100AH External Battery Pack</v>
          </cell>
          <cell r="C1610">
            <v>0</v>
          </cell>
          <cell r="E1610" t="str">
            <v>PCS</v>
          </cell>
          <cell r="F1610" t="str">
            <v>264B</v>
          </cell>
          <cell r="G1610" t="str">
            <v>musa</v>
          </cell>
          <cell r="AA1610" t="str">
            <v>SCHNEIDER STOCK</v>
          </cell>
        </row>
        <row r="1611">
          <cell r="A1611" t="str">
            <v>SRT192RMBP</v>
          </cell>
          <cell r="B1611" t="str">
            <v>APC Smart-UPS SRT 192V 5kVA and 6kVA RM Battery Pack</v>
          </cell>
          <cell r="C1611">
            <v>0</v>
          </cell>
          <cell r="E1611" t="str">
            <v>PCS</v>
          </cell>
          <cell r="G1611" t="str">
            <v>musa</v>
          </cell>
          <cell r="AA1611" t="str">
            <v>SCHNEIDER STOCK</v>
          </cell>
        </row>
        <row r="1612">
          <cell r="A1612" t="str">
            <v>SRT6KRMXLI</v>
          </cell>
          <cell r="B1612" t="str">
            <v>APC Smart-UPS SRT 6000VA RM 230V</v>
          </cell>
          <cell r="C1612">
            <v>0</v>
          </cell>
          <cell r="E1612" t="str">
            <v>PCS</v>
          </cell>
          <cell r="G1612" t="str">
            <v>musa</v>
          </cell>
          <cell r="AA1612" t="str">
            <v>SCHNEIDER STOCK</v>
          </cell>
        </row>
        <row r="1613">
          <cell r="A1613" t="str">
            <v>AR7581A</v>
          </cell>
          <cell r="B1613" t="str">
            <v>Hinged Covers for NetShelter SX 750mm Wi</v>
          </cell>
          <cell r="C1613">
            <v>0</v>
          </cell>
          <cell r="E1613" t="str">
            <v>PCS</v>
          </cell>
          <cell r="G1613" t="str">
            <v>musa</v>
          </cell>
          <cell r="AA1613" t="str">
            <v>SCHNEIDER STOCK</v>
          </cell>
        </row>
        <row r="1614">
          <cell r="A1614" t="str">
            <v>SBP16KP</v>
          </cell>
          <cell r="B1614" t="str">
            <v>APC service bypass panel 200/208/240V 100A MBB HARDWIRE INPUT/OUT</v>
          </cell>
          <cell r="C1614">
            <v>0</v>
          </cell>
          <cell r="E1614" t="str">
            <v>PCS</v>
          </cell>
          <cell r="G1614" t="str">
            <v>musa</v>
          </cell>
          <cell r="AA1614" t="str">
            <v>SCHNEIDER STOCK</v>
          </cell>
        </row>
        <row r="1615">
          <cell r="A1615" t="str">
            <v>AR4340IX500</v>
          </cell>
          <cell r="B1615" t="str">
            <v>Base Enclosure Config (42U rack netbotz power panel power meter HMI Fans Lighting)</v>
          </cell>
          <cell r="C1615">
            <v>0</v>
          </cell>
          <cell r="E1615" t="str">
            <v>PCS</v>
          </cell>
          <cell r="G1615" t="str">
            <v>musa</v>
          </cell>
          <cell r="AA1615" t="str">
            <v>SCHNEIDER STOCK</v>
          </cell>
        </row>
        <row r="1616">
          <cell r="A1616" t="str">
            <v>A9H354MNS250FD</v>
          </cell>
          <cell r="B1616" t="str">
            <v>DISBO 3P 54W NS 250A FLAT FLUSH</v>
          </cell>
          <cell r="C1616">
            <v>5</v>
          </cell>
          <cell r="E1616" t="str">
            <v>PCS</v>
          </cell>
          <cell r="F1616" t="str">
            <v>401C,403C</v>
          </cell>
          <cell r="G1616" t="str">
            <v>musa</v>
          </cell>
          <cell r="AA1616" t="str">
            <v>SCHNEIDER STOCK</v>
          </cell>
        </row>
        <row r="1617">
          <cell r="A1617" t="str">
            <v>A9H354MEZ200FD</v>
          </cell>
          <cell r="B1617" t="str">
            <v>DISBO 3P 48W EASYPACT 100A  FLAT FLUSH</v>
          </cell>
          <cell r="C1617">
            <v>29</v>
          </cell>
          <cell r="E1617" t="str">
            <v>PCS</v>
          </cell>
          <cell r="F1617" t="str">
            <v>453B,423C</v>
          </cell>
          <cell r="G1617" t="str">
            <v>musa</v>
          </cell>
          <cell r="AA1617" t="str">
            <v>SCHNEIDER STOCK</v>
          </cell>
        </row>
        <row r="1618">
          <cell r="A1618" t="str">
            <v>E8332RJS_DG</v>
          </cell>
          <cell r="B1618" t="str">
            <v>2G S Keystone Wallplate (w/o Mod) DG  Keystone 2G DG</v>
          </cell>
          <cell r="C1618">
            <v>0</v>
          </cell>
          <cell r="E1618" t="str">
            <v>PCS</v>
          </cell>
          <cell r="G1618" t="str">
            <v>musa</v>
          </cell>
          <cell r="AA1618" t="str">
            <v>SCHNEIDER STOCK</v>
          </cell>
        </row>
        <row r="1619">
          <cell r="A1619" t="str">
            <v>E8331L1_DG</v>
          </cell>
          <cell r="B1619" t="str">
            <v>16AX 250V 1G 1W Sw, DG
  DG</v>
          </cell>
          <cell r="C1619">
            <v>0</v>
          </cell>
          <cell r="E1619" t="str">
            <v>PCS</v>
          </cell>
          <cell r="G1619" t="str">
            <v>musa</v>
          </cell>
          <cell r="AA1619" t="str">
            <v>SCHNEIDER STOCK</v>
          </cell>
        </row>
        <row r="1620">
          <cell r="A1620" t="str">
            <v>E8332L1_DG</v>
          </cell>
          <cell r="B1620" t="str">
            <v>16AX 250V 2G 1W Sw, DG
  DG</v>
          </cell>
          <cell r="C1620">
            <v>0</v>
          </cell>
          <cell r="E1620" t="str">
            <v>PCS</v>
          </cell>
          <cell r="G1620" t="str">
            <v>musa</v>
          </cell>
          <cell r="AA1620" t="str">
            <v>SCHNEIDER STOCK</v>
          </cell>
        </row>
        <row r="1621">
          <cell r="A1621" t="str">
            <v>E8333L1_DG</v>
          </cell>
          <cell r="B1621" t="str">
            <v xml:space="preserve">16AX 250V 3G 1W Sw, DG
</v>
          </cell>
          <cell r="C1621">
            <v>0</v>
          </cell>
          <cell r="E1621" t="str">
            <v>PCS</v>
          </cell>
          <cell r="G1621" t="str">
            <v>musa</v>
          </cell>
          <cell r="AA1621" t="str">
            <v>SCHNEIDER STOCK</v>
          </cell>
        </row>
        <row r="1622">
          <cell r="A1622" t="str">
            <v>A9H354MEZ100FD</v>
          </cell>
          <cell r="B1622" t="str">
            <v>DISBO 3P 42W EASYPACT250 200A FLAT FLUSH</v>
          </cell>
          <cell r="C1622">
            <v>31</v>
          </cell>
          <cell r="E1622" t="str">
            <v>PCS</v>
          </cell>
          <cell r="F1622" t="str">
            <v>207A,403C,439B</v>
          </cell>
          <cell r="G1622" t="str">
            <v>musa</v>
          </cell>
          <cell r="AA1622" t="str">
            <v>SCHNEIDER STOCK</v>
          </cell>
        </row>
        <row r="1623">
          <cell r="A1623" t="str">
            <v>AP9876</v>
          </cell>
          <cell r="B1623" t="str">
            <v>POWER CORD 16A 230V C19 TO IEC 309</v>
          </cell>
          <cell r="C1623">
            <v>0</v>
          </cell>
          <cell r="E1623" t="str">
            <v>PCS</v>
          </cell>
          <cell r="G1623" t="str">
            <v>musa</v>
          </cell>
          <cell r="AA1623" t="str">
            <v>SCHNEIDER STOCK</v>
          </cell>
        </row>
        <row r="1624">
          <cell r="A1624" t="str">
            <v>AP9878</v>
          </cell>
          <cell r="B1624" t="str">
            <v>Power Cord, C19 to C14, 2.0m</v>
          </cell>
          <cell r="C1624">
            <v>0</v>
          </cell>
          <cell r="E1624" t="str">
            <v>PCS</v>
          </cell>
          <cell r="G1624" t="str">
            <v>musa</v>
          </cell>
          <cell r="AA1624" t="str">
            <v>SCHNEIDER STOCK</v>
          </cell>
        </row>
        <row r="1625">
          <cell r="A1625" t="str">
            <v>AR100</v>
          </cell>
          <cell r="B1625" t="str">
            <v>APC NETSHELTER WALL MOUNT</v>
          </cell>
          <cell r="C1625">
            <v>4</v>
          </cell>
          <cell r="E1625" t="str">
            <v>PCS</v>
          </cell>
          <cell r="F1625" t="str">
            <v>254C,226C,266A</v>
          </cell>
          <cell r="G1625" t="str">
            <v>musa</v>
          </cell>
          <cell r="AA1625" t="str">
            <v>SCHNEIDER STOCK</v>
          </cell>
        </row>
        <row r="1626">
          <cell r="A1626" t="str">
            <v>A9V41463</v>
          </cell>
          <cell r="B1626" t="str">
            <v>Vigi iC60 4P 63A 30MA AC</v>
          </cell>
          <cell r="C1626">
            <v>0</v>
          </cell>
          <cell r="E1626" t="str">
            <v>PCS</v>
          </cell>
          <cell r="G1626" t="str">
            <v>musa</v>
          </cell>
          <cell r="AA1626" t="str">
            <v>SCHNEIDER STOCK</v>
          </cell>
        </row>
        <row r="1627">
          <cell r="A1627" t="str">
            <v>A9R12491</v>
          </cell>
          <cell r="B1627" t="str">
            <v>iID 4P 100A 100mA AC</v>
          </cell>
          <cell r="C1627">
            <v>0</v>
          </cell>
          <cell r="E1627" t="str">
            <v>PCS</v>
          </cell>
          <cell r="G1627" t="str">
            <v>musa</v>
          </cell>
          <cell r="AA1627" t="str">
            <v>SCHNEIDER STOCK</v>
          </cell>
        </row>
        <row r="1628">
          <cell r="A1628" t="str">
            <v>METSEPM5320</v>
          </cell>
          <cell r="B1628" t="str">
            <v>OWERLOGIC PM5320 POWER &amp; ENERGY METERS</v>
          </cell>
          <cell r="C1628">
            <v>0</v>
          </cell>
          <cell r="E1628" t="str">
            <v>PCS</v>
          </cell>
          <cell r="G1628" t="str">
            <v>musa</v>
          </cell>
          <cell r="AA1628" t="str">
            <v>SCHNEIDER STOCK</v>
          </cell>
        </row>
        <row r="1629">
          <cell r="A1629" t="str">
            <v>GV3L65</v>
          </cell>
          <cell r="B1629" t="str">
            <v>TeSys GV3 - magnetic circuit breaker 65A</v>
          </cell>
          <cell r="C1629">
            <v>0</v>
          </cell>
          <cell r="E1629" t="str">
            <v>PCS</v>
          </cell>
          <cell r="G1629" t="str">
            <v>musa</v>
          </cell>
          <cell r="AA1629" t="str">
            <v>SCHNEIDER STOCK</v>
          </cell>
        </row>
        <row r="1630">
          <cell r="A1630" t="str">
            <v>A9F94332</v>
          </cell>
          <cell r="B1630" t="str">
            <v>iC60L 3P 32A C</v>
          </cell>
          <cell r="C1630">
            <v>0</v>
          </cell>
          <cell r="E1630" t="str">
            <v>PCS</v>
          </cell>
          <cell r="G1630" t="str">
            <v>musa</v>
          </cell>
          <cell r="AA1630" t="str">
            <v>SCHNEIDER STOCK</v>
          </cell>
        </row>
        <row r="1631">
          <cell r="A1631" t="str">
            <v>A9F54320</v>
          </cell>
          <cell r="B1631" t="str">
            <v>ACTI9 IC60H 3P 20A C MCB</v>
          </cell>
          <cell r="C1631">
            <v>0</v>
          </cell>
          <cell r="E1631" t="str">
            <v>PCS</v>
          </cell>
          <cell r="G1631" t="str">
            <v>musa</v>
          </cell>
          <cell r="AA1631" t="str">
            <v>SCHNEIDER STOCK</v>
          </cell>
        </row>
        <row r="1632">
          <cell r="A1632" t="str">
            <v>A9F94120</v>
          </cell>
          <cell r="B1632" t="str">
            <v>ACTI9 IC60L 1P 20A C MINIATURE CIRCUIT B</v>
          </cell>
          <cell r="C1632">
            <v>0</v>
          </cell>
          <cell r="E1632" t="str">
            <v>PCS</v>
          </cell>
          <cell r="G1632" t="str">
            <v>musa</v>
          </cell>
          <cell r="AA1632" t="str">
            <v>SCHNEIDER STOCK</v>
          </cell>
        </row>
        <row r="1633">
          <cell r="A1633" t="str">
            <v>GV3L40</v>
          </cell>
          <cell r="B1633" t="str">
            <v>GV3L MOTOR CB MAGNETIC 40A EVERLINK</v>
          </cell>
          <cell r="C1633">
            <v>0</v>
          </cell>
          <cell r="E1633" t="str">
            <v>PCS</v>
          </cell>
          <cell r="G1633" t="str">
            <v>musa</v>
          </cell>
          <cell r="AA1633" t="str">
            <v>SCHNEIDER STOCK</v>
          </cell>
        </row>
        <row r="1634">
          <cell r="A1634" t="str">
            <v>GV3L50</v>
          </cell>
          <cell r="B1634" t="str">
            <v>TeSys GV3 - magnetic circuit breaker 50A</v>
          </cell>
          <cell r="C1634">
            <v>0</v>
          </cell>
          <cell r="E1634" t="str">
            <v>PCS</v>
          </cell>
          <cell r="G1634" t="str">
            <v>musa</v>
          </cell>
          <cell r="AA1634" t="str">
            <v>SCHNEIDER STOCK</v>
          </cell>
        </row>
        <row r="1635">
          <cell r="A1635" t="str">
            <v>A9L40600</v>
          </cell>
          <cell r="B1635" t="str">
            <v>iPRD40 3P+N</v>
          </cell>
          <cell r="C1635">
            <v>0</v>
          </cell>
          <cell r="E1635" t="str">
            <v>PCS</v>
          </cell>
          <cell r="G1635" t="str">
            <v>musa</v>
          </cell>
          <cell r="AA1635" t="str">
            <v>SCHNEIDER STOCK</v>
          </cell>
        </row>
        <row r="1636">
          <cell r="A1636" t="str">
            <v>A9V41440</v>
          </cell>
          <cell r="B1636" t="str">
            <v>ACTI9 VIGI IC60 4P 40A 30MA AC-TYPE ADD-</v>
          </cell>
          <cell r="C1636">
            <v>0</v>
          </cell>
          <cell r="E1636" t="str">
            <v>PCS</v>
          </cell>
          <cell r="G1636" t="str">
            <v>musa</v>
          </cell>
          <cell r="AA1636" t="str">
            <v>SCHNEIDER STOCK</v>
          </cell>
        </row>
        <row r="1637">
          <cell r="A1637" t="str">
            <v>A9D12832</v>
          </cell>
          <cell r="B1637" t="str">
            <v>IC60H 1PNS 32A C 100MA 10000A A TYPE RCB</v>
          </cell>
          <cell r="C1637">
            <v>0</v>
          </cell>
          <cell r="E1637" t="str">
            <v>PCS</v>
          </cell>
          <cell r="G1637" t="str">
            <v>musa</v>
          </cell>
          <cell r="AA1637" t="str">
            <v>SCHNEIDER STOCK</v>
          </cell>
        </row>
        <row r="1638">
          <cell r="A1638" t="str">
            <v>A9D12820</v>
          </cell>
          <cell r="B1638" t="str">
            <v>IC60H RCBO 1PPNS 20A C 100MA A 230V</v>
          </cell>
          <cell r="C1638">
            <v>0</v>
          </cell>
          <cell r="E1638" t="str">
            <v>PCS</v>
          </cell>
          <cell r="G1638" t="str">
            <v>musa</v>
          </cell>
          <cell r="AA1638" t="str">
            <v>SCHNEIDER STOCK</v>
          </cell>
        </row>
        <row r="1639">
          <cell r="A1639" t="str">
            <v>A9R71425</v>
          </cell>
          <cell r="B1639" t="str">
            <v>ACTI9 IID 4P 25A 30MA AC-TYPE RESIDUAL C</v>
          </cell>
          <cell r="C1639">
            <v>0</v>
          </cell>
          <cell r="E1639" t="str">
            <v>PCS</v>
          </cell>
          <cell r="G1639" t="str">
            <v>musa</v>
          </cell>
          <cell r="AA1639" t="str">
            <v>SCHNEIDER STOCK</v>
          </cell>
        </row>
        <row r="1640">
          <cell r="A1640" t="str">
            <v>A9R12463</v>
          </cell>
          <cell r="B1640" t="str">
            <v>ACTI9 IID 4P 63A 100MA AC-TYPE RESIDUAL</v>
          </cell>
          <cell r="C1640">
            <v>0</v>
          </cell>
          <cell r="E1640" t="str">
            <v>PCS</v>
          </cell>
          <cell r="G1640" t="str">
            <v>musa</v>
          </cell>
          <cell r="AA1640" t="str">
            <v>SCHNEIDER STOCK</v>
          </cell>
        </row>
        <row r="1641">
          <cell r="A1641" t="str">
            <v>A9L40601</v>
          </cell>
          <cell r="B1641" t="str">
            <v>IPRD 40R 40 KA 350V</v>
          </cell>
          <cell r="C1641">
            <v>0</v>
          </cell>
          <cell r="E1641" t="str">
            <v>PCS</v>
          </cell>
          <cell r="G1641" t="str">
            <v>musa</v>
          </cell>
          <cell r="AA1641" t="str">
            <v>SCHNEIDER STOCK</v>
          </cell>
        </row>
        <row r="1642">
          <cell r="A1642" t="str">
            <v>AP9614</v>
          </cell>
          <cell r="B1642" t="str">
            <v>APC DRY CONTACT I/O SMARTSLOT CARD</v>
          </cell>
          <cell r="C1642">
            <v>0</v>
          </cell>
          <cell r="E1642" t="str">
            <v>PCS</v>
          </cell>
          <cell r="G1642" t="str">
            <v>musa</v>
          </cell>
          <cell r="AA1642" t="str">
            <v>SCHNEIDER STOCK</v>
          </cell>
        </row>
        <row r="1643">
          <cell r="A1643" t="str">
            <v>BATTP12V875GNB</v>
          </cell>
          <cell r="B1643" t="str">
            <v>EASY UPS SPECIFIC EXIDE BACKUP TIME (EASYBATOGNB#109995566)</v>
          </cell>
          <cell r="C1643">
            <v>2</v>
          </cell>
          <cell r="E1643" t="str">
            <v>PCS</v>
          </cell>
          <cell r="G1643" t="str">
            <v>musa</v>
          </cell>
          <cell r="AA1643" t="str">
            <v>SCHNEIDER STOCK</v>
          </cell>
        </row>
        <row r="1644">
          <cell r="A1644" t="str">
            <v>R3EPGL4920GNB</v>
          </cell>
          <cell r="B1644" t="str">
            <v>EASY UPS SPECIFIC EXIDE BACKUP TIME</v>
          </cell>
          <cell r="C1644">
            <v>2</v>
          </cell>
          <cell r="E1644" t="str">
            <v>PCS</v>
          </cell>
          <cell r="F1644" t="str">
            <v>255A</v>
          </cell>
          <cell r="G1644" t="str">
            <v>musa</v>
          </cell>
          <cell r="AA1644" t="str">
            <v>SCHNEIDER STOCK</v>
          </cell>
        </row>
        <row r="1645">
          <cell r="A1645" t="str">
            <v>AR3157</v>
          </cell>
          <cell r="B1645" t="str">
            <v>APC Netshelter SX 48U</v>
          </cell>
          <cell r="C1645">
            <v>0</v>
          </cell>
          <cell r="E1645" t="str">
            <v>PCS</v>
          </cell>
          <cell r="G1645" t="str">
            <v>musa</v>
          </cell>
          <cell r="AA1645" t="str">
            <v>SCHNEIDER STOCK</v>
          </cell>
        </row>
        <row r="1646">
          <cell r="A1646" t="str">
            <v>WBEXTWAR1YR-AC-04</v>
          </cell>
          <cell r="B1646" t="str">
            <v>Service Pack 1 Year Warranty Extension for Accessories</v>
          </cell>
          <cell r="C1646">
            <v>0</v>
          </cell>
          <cell r="E1646" t="str">
            <v>PCS</v>
          </cell>
          <cell r="G1646" t="str">
            <v>musa</v>
          </cell>
          <cell r="AA1646" t="str">
            <v>SCHNEIDER STOCK</v>
          </cell>
        </row>
        <row r="1647">
          <cell r="A1647" t="str">
            <v>AP9470</v>
          </cell>
          <cell r="B1647" t="str">
            <v>Infra StruXure Central Standard</v>
          </cell>
          <cell r="C1647">
            <v>2</v>
          </cell>
          <cell r="E1647" t="str">
            <v>PCS</v>
          </cell>
          <cell r="G1647" t="str">
            <v>musa</v>
          </cell>
          <cell r="AA1647" t="str">
            <v>SCHNEIDER STOCK</v>
          </cell>
        </row>
        <row r="1648">
          <cell r="A1648" t="str">
            <v>GVSBT4</v>
          </cell>
          <cell r="B1648" t="str">
            <v>Galaxy VS 7Ah Smart Modular Battery String Consisting of 4 x GVSBTU</v>
          </cell>
          <cell r="C1648">
            <v>0</v>
          </cell>
          <cell r="E1648" t="str">
            <v>PCS</v>
          </cell>
          <cell r="G1648" t="str">
            <v>musa</v>
          </cell>
          <cell r="AA1648" t="str">
            <v>SCHNEIDER STOCK</v>
          </cell>
        </row>
        <row r="1649">
          <cell r="A1649" t="str">
            <v>GVSOPT036</v>
          </cell>
          <cell r="B1649" t="str">
            <v>Galaxy VS Remote Alarm Panel</v>
          </cell>
          <cell r="C1649">
            <v>0</v>
          </cell>
          <cell r="E1649" t="str">
            <v>PCS</v>
          </cell>
          <cell r="G1649" t="str">
            <v>musa</v>
          </cell>
          <cell r="AA1649" t="str">
            <v>SCHNEIDER STOCK</v>
          </cell>
        </row>
        <row r="1650">
          <cell r="A1650" t="str">
            <v>APCRBC117</v>
          </cell>
          <cell r="B1650" t="str">
            <v>APC Replacement Battery Cartridge #117</v>
          </cell>
          <cell r="C1650">
            <v>0</v>
          </cell>
          <cell r="E1650" t="str">
            <v>PCS</v>
          </cell>
          <cell r="G1650" t="str">
            <v>musa</v>
          </cell>
          <cell r="AA1650" t="str">
            <v>SCHNEIDER STOCK</v>
          </cell>
        </row>
        <row r="1651">
          <cell r="A1651" t="str">
            <v>ER6802</v>
          </cell>
          <cell r="B1651" t="str">
            <v>Easy Rack 600mm/48U/1000mm with Roof side panel castors feet and 4 brackets No Bottom Black</v>
          </cell>
          <cell r="C1651">
            <v>0</v>
          </cell>
          <cell r="E1651" t="str">
            <v>PCS</v>
          </cell>
          <cell r="G1651" t="str">
            <v>musa</v>
          </cell>
          <cell r="AA1651" t="str">
            <v>SCHNEIDER STOCK</v>
          </cell>
        </row>
        <row r="1652">
          <cell r="A1652" t="str">
            <v>A9F54216</v>
          </cell>
          <cell r="B1652" t="str">
            <v>ACTI9 IC60H 2P 16A C MCB</v>
          </cell>
          <cell r="C1652">
            <v>0</v>
          </cell>
          <cell r="E1652" t="str">
            <v>PCS</v>
          </cell>
          <cell r="G1652" t="str">
            <v>musa</v>
          </cell>
          <cell r="AA1652" t="str">
            <v>SCHNEIDER STOCK</v>
          </cell>
        </row>
        <row r="1653">
          <cell r="A1653" t="str">
            <v>A9F94116</v>
          </cell>
          <cell r="B1653" t="str">
            <v>iC60L 1P 16A C</v>
          </cell>
          <cell r="C1653">
            <v>0</v>
          </cell>
          <cell r="E1653" t="str">
            <v>PCS</v>
          </cell>
          <cell r="G1653" t="str">
            <v>musa</v>
          </cell>
          <cell r="AA1653" t="str">
            <v>SCHNEIDER STOCK</v>
          </cell>
        </row>
        <row r="1654">
          <cell r="A1654" t="str">
            <v>A9F94132</v>
          </cell>
          <cell r="B1654" t="str">
            <v>iC60L 1P 32A C</v>
          </cell>
          <cell r="C1654">
            <v>0</v>
          </cell>
          <cell r="E1654" t="str">
            <v>PCS</v>
          </cell>
          <cell r="G1654" t="str">
            <v>musa</v>
          </cell>
          <cell r="AA1654" t="str">
            <v>SCHNEIDER STOCK</v>
          </cell>
        </row>
        <row r="1655">
          <cell r="A1655" t="str">
            <v>A9N26924</v>
          </cell>
          <cell r="B1655" t="str">
            <v>OF 240-415VAC 24-130VDC OC CONTACT</v>
          </cell>
          <cell r="C1655">
            <v>0</v>
          </cell>
          <cell r="E1655" t="str">
            <v>PCS</v>
          </cell>
          <cell r="G1655" t="str">
            <v>musa</v>
          </cell>
          <cell r="AA1655" t="str">
            <v>SCHNEIDER STOCK</v>
          </cell>
        </row>
        <row r="1656">
          <cell r="A1656" t="str">
            <v>A9F54120</v>
          </cell>
          <cell r="B1656" t="str">
            <v>ACTI9 IC60H 1P 20A C MCB</v>
          </cell>
          <cell r="C1656">
            <v>0</v>
          </cell>
          <cell r="E1656" t="str">
            <v>PCS</v>
          </cell>
          <cell r="G1656" t="str">
            <v>musa</v>
          </cell>
          <cell r="AA1656" t="str">
            <v>SCHNEIDER STOCK</v>
          </cell>
        </row>
        <row r="1657">
          <cell r="A1657" t="str">
            <v>A9F54340</v>
          </cell>
          <cell r="B1657" t="str">
            <v>ACTI9 IC60H 3P 40A C MCB</v>
          </cell>
          <cell r="C1657">
            <v>0</v>
          </cell>
          <cell r="E1657" t="str">
            <v>PCS</v>
          </cell>
          <cell r="G1657" t="str">
            <v>musa</v>
          </cell>
          <cell r="AA1657" t="str">
            <v>SCHNEIDER STOCK</v>
          </cell>
        </row>
        <row r="1658">
          <cell r="A1658" t="str">
            <v>A9F54240</v>
          </cell>
          <cell r="B1658" t="str">
            <v>ACTI9 IC60H 2P 40A C MCB</v>
          </cell>
          <cell r="C1658">
            <v>0</v>
          </cell>
          <cell r="E1658" t="str">
            <v>PCS</v>
          </cell>
          <cell r="G1658" t="str">
            <v>musa</v>
          </cell>
          <cell r="AA1658" t="str">
            <v>SCHNEIDER STOCK</v>
          </cell>
        </row>
        <row r="1659">
          <cell r="A1659" t="str">
            <v>A9F94232</v>
          </cell>
          <cell r="B1659" t="str">
            <v>ACTI 9  iC60L 2P 32A 15kA  MINYATUR DEVR</v>
          </cell>
          <cell r="C1659">
            <v>0</v>
          </cell>
          <cell r="E1659" t="str">
            <v>PCS</v>
          </cell>
          <cell r="G1659" t="str">
            <v>musa</v>
          </cell>
          <cell r="AA1659" t="str">
            <v>SCHNEIDER STOCK</v>
          </cell>
        </row>
        <row r="1660">
          <cell r="A1660" t="str">
            <v>KB31RJ6_AS</v>
          </cell>
          <cell r="B1660" t="str">
            <v>1G CAT 6 DATA OUTLET W/ SHUTTER, AS (KB31RJ6)</v>
          </cell>
          <cell r="C1660">
            <v>720</v>
          </cell>
          <cell r="E1660" t="str">
            <v>PCS</v>
          </cell>
          <cell r="G1660" t="str">
            <v>musa</v>
          </cell>
          <cell r="AA1660" t="str">
            <v>SCHNEIDER STOCK</v>
          </cell>
        </row>
        <row r="1661">
          <cell r="A1661" t="str">
            <v>A9F54116</v>
          </cell>
          <cell r="B1661" t="str">
            <v>ACTI9 IC60H 1P 16A C MCB</v>
          </cell>
          <cell r="C1661">
            <v>0</v>
          </cell>
          <cell r="E1661" t="str">
            <v>PCS</v>
          </cell>
          <cell r="G1661" t="str">
            <v>musa</v>
          </cell>
          <cell r="AA1661" t="str">
            <v>SCHNEIDER STOCK</v>
          </cell>
        </row>
        <row r="1662">
          <cell r="A1662" t="str">
            <v>A9R11491</v>
          </cell>
          <cell r="B1662" t="str">
            <v>iID 4P 100A 30mA AC</v>
          </cell>
          <cell r="C1662">
            <v>0</v>
          </cell>
          <cell r="E1662" t="str">
            <v>PCS</v>
          </cell>
          <cell r="G1662" t="str">
            <v>musa</v>
          </cell>
          <cell r="AA1662" t="str">
            <v>SCHNEIDER STOCK</v>
          </cell>
        </row>
        <row r="1663">
          <cell r="A1663" t="str">
            <v>KB31TB_AS</v>
          </cell>
          <cell r="B1663" t="str">
            <v>25A 250V CONNECTION UNIT, AS</v>
          </cell>
          <cell r="C1663">
            <v>100</v>
          </cell>
          <cell r="E1663" t="str">
            <v>PCS</v>
          </cell>
          <cell r="G1663" t="str">
            <v>musa</v>
          </cell>
          <cell r="AA1663" t="str">
            <v>SCHNEIDER STOCK</v>
          </cell>
        </row>
        <row r="1664">
          <cell r="A1664" t="str">
            <v>A9H342MNS160FD</v>
          </cell>
          <cell r="B1664" t="str">
            <v>DISBO 3P 42W NS 160A FLAT FLUSH</v>
          </cell>
          <cell r="C1664">
            <v>0</v>
          </cell>
          <cell r="E1664" t="str">
            <v>PCS</v>
          </cell>
          <cell r="G1664" t="str">
            <v>musa</v>
          </cell>
          <cell r="AA1664" t="str">
            <v>SCHNEIDER STOCK</v>
          </cell>
        </row>
        <row r="1665">
          <cell r="A1665" t="str">
            <v>A9R12440</v>
          </cell>
          <cell r="B1665" t="str">
            <v>iID 4P 40A 100mA AC</v>
          </cell>
          <cell r="C1665">
            <v>0</v>
          </cell>
          <cell r="E1665" t="str">
            <v>PCS</v>
          </cell>
          <cell r="G1665" t="str">
            <v>musa</v>
          </cell>
          <cell r="AA1665" t="str">
            <v>SCHNEIDER STOCK</v>
          </cell>
        </row>
        <row r="1666">
          <cell r="A1666" t="str">
            <v>A9F54232</v>
          </cell>
          <cell r="B1666" t="str">
            <v>ACTI9 IC60H 2P 32A C MCB</v>
          </cell>
          <cell r="C1666">
            <v>42</v>
          </cell>
          <cell r="E1666" t="str">
            <v>PCS</v>
          </cell>
          <cell r="F1666" t="str">
            <v>215B</v>
          </cell>
          <cell r="G1666" t="str">
            <v>musa</v>
          </cell>
          <cell r="AA1666" t="str">
            <v>SCHNEIDER STOCK</v>
          </cell>
        </row>
        <row r="1667">
          <cell r="A1667" t="str">
            <v>A9V41425</v>
          </cell>
          <cell r="B1667" t="str">
            <v>ACTI9 VIGI IC60 4P 25A 30MA AC-TYPE ADD-</v>
          </cell>
          <cell r="C1667">
            <v>0</v>
          </cell>
          <cell r="E1667" t="str">
            <v>PCS</v>
          </cell>
          <cell r="G1667" t="str">
            <v>musa</v>
          </cell>
          <cell r="AA1667" t="str">
            <v>SCHNEIDER STOCK</v>
          </cell>
        </row>
        <row r="1668">
          <cell r="A1668" t="str">
            <v>A9F94220</v>
          </cell>
          <cell r="B1668" t="str">
            <v>iC60L 2P 20A C</v>
          </cell>
          <cell r="C1668">
            <v>0</v>
          </cell>
          <cell r="E1668" t="str">
            <v>PCS</v>
          </cell>
          <cell r="G1668" t="str">
            <v>musa</v>
          </cell>
          <cell r="AA1668" t="str">
            <v>SCHNEIDER STOCK</v>
          </cell>
        </row>
        <row r="1669">
          <cell r="A1669" t="str">
            <v>A9F54150</v>
          </cell>
          <cell r="B1669" t="str">
            <v>ACTI9 IC60H 1P 50A C MCB</v>
          </cell>
          <cell r="C1669">
            <v>0</v>
          </cell>
          <cell r="E1669" t="str">
            <v>PCS</v>
          </cell>
          <cell r="G1669" t="str">
            <v>musa</v>
          </cell>
          <cell r="AA1669" t="str">
            <v>SCHNEIDER STOCK</v>
          </cell>
        </row>
        <row r="1670">
          <cell r="A1670" t="str">
            <v>GVSUPS120KHS</v>
          </cell>
          <cell r="B1670" t="str">
            <v>Galaxy VS UPS 120kW 400V for External Batteries Start-up 5x8 Consisting of 1 x GVPM20KD 1 x GVPM50KD 1 Xgvsups120kh</v>
          </cell>
          <cell r="C1670">
            <v>0</v>
          </cell>
          <cell r="E1670" t="str">
            <v>PCS</v>
          </cell>
          <cell r="G1670" t="str">
            <v>musa</v>
          </cell>
          <cell r="AA1670" t="str">
            <v>SCHNEIDER STOCK</v>
          </cell>
        </row>
        <row r="1671">
          <cell r="A1671" t="str">
            <v>GVSUPS15KB2HS</v>
          </cell>
          <cell r="B1671" t="str">
            <v>Galaxy VS UPS 15kW 400V 1 internal 7Ah smart modular battery string expandable to 2 Start-up 5x8 Consisting of  1 x
GVSUPS15KB2H</v>
          </cell>
          <cell r="C1671">
            <v>0</v>
          </cell>
          <cell r="E1671" t="str">
            <v>PCS</v>
          </cell>
          <cell r="G1671" t="str">
            <v>musa</v>
          </cell>
          <cell r="AA1671" t="str">
            <v>SCHNEIDER STOCK</v>
          </cell>
        </row>
        <row r="1672">
          <cell r="A1672" t="str">
            <v>MDC42UR2KACI</v>
          </cell>
          <cell r="B1672" t="str">
            <v>MDC 42U RACK,2K SIDE AC,230V,50Hz,2100Hx1130Wx1200D mm INTL</v>
          </cell>
          <cell r="C1672">
            <v>0</v>
          </cell>
          <cell r="E1672" t="str">
            <v>PCS</v>
          </cell>
          <cell r="G1672" t="str">
            <v>musa</v>
          </cell>
          <cell r="AA1672" t="str">
            <v>SCHNEIDER STOCK</v>
          </cell>
        </row>
        <row r="1673">
          <cell r="A1673" t="str">
            <v>NBES0301</v>
          </cell>
          <cell r="B1673" t="str">
            <v>NetBotz Spot Fluid Sensor - 15 ft.</v>
          </cell>
          <cell r="C1673">
            <v>0</v>
          </cell>
          <cell r="E1673" t="str">
            <v>PCS</v>
          </cell>
          <cell r="G1673" t="str">
            <v>musa</v>
          </cell>
          <cell r="AA1673" t="str">
            <v>SCHNEIDER STOCK</v>
          </cell>
        </row>
        <row r="1674">
          <cell r="A1674" t="str">
            <v>ER7HCM</v>
          </cell>
          <cell r="B1674" t="str">
            <v>Easy Rack Horizontal Cable Manager1U</v>
          </cell>
          <cell r="C1674">
            <v>20</v>
          </cell>
          <cell r="E1674" t="str">
            <v>PCS</v>
          </cell>
          <cell r="G1674" t="str">
            <v>musa</v>
          </cell>
          <cell r="AA1674" t="str">
            <v>SCHNEIDER STOCK</v>
          </cell>
        </row>
        <row r="1675">
          <cell r="A1675" t="str">
            <v>AP9525</v>
          </cell>
          <cell r="B1675" t="str">
            <v>Infra StruXure Central 25 Node License Only</v>
          </cell>
          <cell r="C1675">
            <v>0</v>
          </cell>
          <cell r="E1675" t="str">
            <v>PCS</v>
          </cell>
          <cell r="G1675" t="str">
            <v>musa</v>
          </cell>
          <cell r="AA1675" t="str">
            <v>SCHNEIDER STOCK</v>
          </cell>
        </row>
        <row r="1676">
          <cell r="A1676" t="str">
            <v>ER7SHELF</v>
          </cell>
          <cell r="B1676" t="str">
            <v>Easy Rack Adjustable shelf 50KG</v>
          </cell>
          <cell r="C1676">
            <v>0</v>
          </cell>
          <cell r="E1676" t="str">
            <v>PCS</v>
          </cell>
          <cell r="G1676" t="str">
            <v>musa</v>
          </cell>
          <cell r="AA1676" t="str">
            <v>SCHNEIDER STOCK</v>
          </cell>
        </row>
        <row r="1677">
          <cell r="A1677" t="str">
            <v>EZC100N3015</v>
          </cell>
          <cell r="B1677" t="str">
            <v>EZ100N MCCB 18KA/380V 3P 15A</v>
          </cell>
          <cell r="C1677">
            <v>0</v>
          </cell>
          <cell r="E1677" t="str">
            <v>PCS</v>
          </cell>
          <cell r="G1677" t="str">
            <v>musa</v>
          </cell>
          <cell r="AA1677" t="str">
            <v>SCHNEIDER STOCK</v>
          </cell>
        </row>
        <row r="1678">
          <cell r="A1678" t="str">
            <v>GV2P14</v>
          </cell>
          <cell r="B1678" t="str">
            <v>MOTOR CIRCUIT BREAKER</v>
          </cell>
          <cell r="C1678">
            <v>0</v>
          </cell>
          <cell r="E1678" t="str">
            <v>PCS</v>
          </cell>
          <cell r="G1678" t="str">
            <v>musa</v>
          </cell>
          <cell r="AA1678" t="str">
            <v>SCHNEIDER STOCK</v>
          </cell>
        </row>
        <row r="1679">
          <cell r="A1679" t="str">
            <v>C40H42D400</v>
          </cell>
          <cell r="B1679" t="str">
            <v>NSX400H 70kA AC 4P4D 400A 2.3</v>
          </cell>
          <cell r="C1679">
            <v>0</v>
          </cell>
          <cell r="E1679" t="str">
            <v>PCS</v>
          </cell>
          <cell r="G1679" t="str">
            <v>musa</v>
          </cell>
          <cell r="AA1679" t="str">
            <v>SCHNEIDER STOCK</v>
          </cell>
        </row>
        <row r="1680">
          <cell r="A1680" t="str">
            <v>A9H354MNS100FD</v>
          </cell>
          <cell r="B1680" t="str">
            <v>A9 VTPN 54W 100A NSX MCCB FLAT DOOR</v>
          </cell>
          <cell r="C1680">
            <v>0</v>
          </cell>
          <cell r="E1680" t="str">
            <v>PCS</v>
          </cell>
          <cell r="F1680" t="str">
            <v>212A</v>
          </cell>
          <cell r="G1680" t="str">
            <v>musa</v>
          </cell>
          <cell r="AA1680" t="str">
            <v>SCHNEIDER STOCK</v>
          </cell>
        </row>
        <row r="1681">
          <cell r="A1681" t="str">
            <v>C40F32D250</v>
          </cell>
          <cell r="B1681" t="str">
            <v>NSX400F 36kA AC 3P3D 250A 2.3</v>
          </cell>
          <cell r="C1681">
            <v>0</v>
          </cell>
          <cell r="E1681" t="str">
            <v>PCS</v>
          </cell>
          <cell r="G1681" t="str">
            <v>musa</v>
          </cell>
          <cell r="AA1681" t="str">
            <v>SCHNEIDER STOCK</v>
          </cell>
        </row>
        <row r="1682">
          <cell r="A1682" t="str">
            <v>GV2P16</v>
          </cell>
          <cell r="B1682" t="str">
            <v>MOTOR CIRCUIT BREAKER</v>
          </cell>
          <cell r="C1682">
            <v>0</v>
          </cell>
          <cell r="E1682" t="str">
            <v>PCS</v>
          </cell>
          <cell r="G1682" t="str">
            <v>musa</v>
          </cell>
          <cell r="AA1682" t="str">
            <v>SCHNEIDER STOCK</v>
          </cell>
        </row>
        <row r="1683">
          <cell r="A1683" t="str">
            <v>GV2P32</v>
          </cell>
          <cell r="B1683" t="str">
            <v>GV2P MOTOR CB THERM/MAG 24-32A  ROT HANDL</v>
          </cell>
          <cell r="C1683">
            <v>0</v>
          </cell>
          <cell r="E1683" t="str">
            <v>PCS</v>
          </cell>
          <cell r="G1683" t="str">
            <v>musa</v>
          </cell>
          <cell r="AA1683" t="str">
            <v>SCHNEIDER STOCK</v>
          </cell>
        </row>
        <row r="1684">
          <cell r="A1684" t="str">
            <v>GV2L22</v>
          </cell>
          <cell r="B1684" t="str">
            <v>MOTOR PROT CKT BKR MAGNETIC 25A ROTARY</v>
          </cell>
          <cell r="C1684">
            <v>0</v>
          </cell>
          <cell r="E1684" t="str">
            <v>PCS</v>
          </cell>
          <cell r="G1684" t="str">
            <v>musa</v>
          </cell>
          <cell r="AA1684" t="str">
            <v>SCHNEIDER STOCK</v>
          </cell>
        </row>
        <row r="1685">
          <cell r="A1685" t="str">
            <v>LADT2</v>
          </cell>
          <cell r="B1685" t="str">
            <v>CONTACTS BLOCK.</v>
          </cell>
          <cell r="C1685">
            <v>0</v>
          </cell>
          <cell r="E1685" t="str">
            <v>PCS</v>
          </cell>
          <cell r="G1685" t="str">
            <v>musa</v>
          </cell>
          <cell r="AA1685" t="str">
            <v>SCHNEIDER STOCK</v>
          </cell>
        </row>
        <row r="1686">
          <cell r="A1686" t="str">
            <v>LADS2</v>
          </cell>
          <cell r="B1686" t="str">
            <v>CONTACTS BLOCK.</v>
          </cell>
          <cell r="C1686">
            <v>0</v>
          </cell>
          <cell r="E1686" t="str">
            <v>PCS</v>
          </cell>
          <cell r="G1686" t="str">
            <v>musa</v>
          </cell>
          <cell r="AA1686" t="str">
            <v>SCHNEIDER STOCK</v>
          </cell>
        </row>
        <row r="1687">
          <cell r="A1687" t="str">
            <v>LAD9V2</v>
          </cell>
          <cell r="B1687" t="str">
            <v>MECHANICAL INTERLOCK</v>
          </cell>
          <cell r="C1687">
            <v>0</v>
          </cell>
          <cell r="E1687" t="str">
            <v>PCS</v>
          </cell>
          <cell r="G1687" t="str">
            <v>musa</v>
          </cell>
          <cell r="AA1687" t="str">
            <v>SCHNEIDER STOCK</v>
          </cell>
        </row>
        <row r="1688">
          <cell r="A1688" t="str">
            <v>GV2L20</v>
          </cell>
          <cell r="B1688" t="str">
            <v>MAGNETIC CIRCUIT BREAKER</v>
          </cell>
          <cell r="C1688">
            <v>0</v>
          </cell>
          <cell r="E1688" t="str">
            <v>PCS</v>
          </cell>
          <cell r="G1688" t="str">
            <v>musa</v>
          </cell>
          <cell r="AA1688" t="str">
            <v>SCHNEIDER STOCK</v>
          </cell>
        </row>
        <row r="1689">
          <cell r="A1689" t="str">
            <v>GV2P20</v>
          </cell>
          <cell r="B1689" t="str">
            <v>MOTOR CIRCUIT BREAKER</v>
          </cell>
          <cell r="C1689">
            <v>5</v>
          </cell>
          <cell r="E1689" t="str">
            <v>PCS</v>
          </cell>
          <cell r="F1689" t="str">
            <v>216B</v>
          </cell>
          <cell r="G1689" t="str">
            <v>musa</v>
          </cell>
          <cell r="AA1689" t="str">
            <v>SCHNEIDER STOCK</v>
          </cell>
        </row>
        <row r="1690">
          <cell r="A1690" t="str">
            <v>GV2P22</v>
          </cell>
          <cell r="B1690" t="str">
            <v>MOTOR CIRCUIT BREAKER</v>
          </cell>
          <cell r="C1690">
            <v>0</v>
          </cell>
          <cell r="E1690" t="str">
            <v>PCS</v>
          </cell>
          <cell r="G1690" t="str">
            <v>musa</v>
          </cell>
          <cell r="AA1690" t="str">
            <v>SCHNEIDER STOCK</v>
          </cell>
        </row>
        <row r="1691">
          <cell r="A1691" t="str">
            <v>GC1620M6</v>
          </cell>
          <cell r="B1691" t="str">
            <v>MOD CONT 2NO 16A 250V AC7a 220VAC COIL</v>
          </cell>
          <cell r="C1691">
            <v>0</v>
          </cell>
          <cell r="E1691" t="str">
            <v>PCS</v>
          </cell>
          <cell r="G1691" t="str">
            <v>musa</v>
          </cell>
          <cell r="AA1691" t="str">
            <v>SCHNEIDER STOCK</v>
          </cell>
        </row>
        <row r="1692">
          <cell r="A1692" t="str">
            <v>GV2P10</v>
          </cell>
          <cell r="B1692" t="str">
            <v>MOTOR CIRCUIT BREAKER</v>
          </cell>
          <cell r="C1692">
            <v>0</v>
          </cell>
          <cell r="E1692" t="str">
            <v>PCS</v>
          </cell>
          <cell r="G1692" t="str">
            <v>musa</v>
          </cell>
          <cell r="AA1692" t="str">
            <v>SCHNEIDER STOCK</v>
          </cell>
        </row>
        <row r="1693">
          <cell r="A1693" t="str">
            <v>QXFMRE3S-QCGA33158-21</v>
          </cell>
          <cell r="B1693" t="str">
            <v>PRODUCT 3RD PARTY HARDWARE OTHER 10KVA IP23 COVERED TRANSFORMER 400V TO 400V,N/A</v>
          </cell>
          <cell r="C1693">
            <v>0</v>
          </cell>
          <cell r="E1693" t="str">
            <v>PCS</v>
          </cell>
          <cell r="G1693" t="str">
            <v>musa</v>
          </cell>
          <cell r="AA1693" t="str">
            <v>SCHNEIDER STOCK</v>
          </cell>
        </row>
        <row r="1694">
          <cell r="A1694" t="str">
            <v>QXFMRG5T-QPBE36245-24</v>
          </cell>
          <cell r="B1694" t="str">
            <v>PRODUCT 3RD PARTY HARDWARE OTHER COVERED ISOLATION TRANSFORMER 25KVA 400 400 THREE</v>
          </cell>
          <cell r="C1694">
            <v>0</v>
          </cell>
          <cell r="E1694" t="str">
            <v>PCS</v>
          </cell>
          <cell r="G1694" t="str">
            <v>musa</v>
          </cell>
          <cell r="AA1694" t="str">
            <v>SCHNEIDER STOCK</v>
          </cell>
        </row>
        <row r="1695">
          <cell r="A1695" t="str">
            <v>QXFMRG5T-QPVI20609-198</v>
          </cell>
          <cell r="B1695" t="str">
            <v>PRODUCT 3RD PARTY HARDWARE OTHER BCV 100 KVA COVERED ISOLATION TRANSFOMER 400V400V REF</v>
          </cell>
          <cell r="C1695">
            <v>0</v>
          </cell>
          <cell r="E1695" t="str">
            <v>PCS</v>
          </cell>
          <cell r="G1695" t="str">
            <v>musa</v>
          </cell>
          <cell r="AA1695" t="str">
            <v>SCHNEIDER STOCK</v>
          </cell>
        </row>
        <row r="1696">
          <cell r="A1696" t="str">
            <v>QXFMRE3S-QCGA67548-38</v>
          </cell>
          <cell r="B1696" t="str">
            <v>PRODUCT 3RD PARTY HARDWARE OTHER 31 5KVA IP23 COVERED ISOLATION TRANSFORMER 400V TO 400V</v>
          </cell>
          <cell r="C1696">
            <v>0</v>
          </cell>
          <cell r="E1696" t="str">
            <v>PCS</v>
          </cell>
          <cell r="G1696" t="str">
            <v>musa</v>
          </cell>
          <cell r="AA1696" t="str">
            <v>SCHNEIDER STOCK</v>
          </cell>
        </row>
        <row r="1697">
          <cell r="A1697" t="str">
            <v>QXFMRE3S-QCGA94504-29</v>
          </cell>
          <cell r="B1697" t="str">
            <v>PRODUCT 3RD PARTY HARDWARE OTHER 16KVA IP23 COVERED TRANSFORMER 400V TO 400V,N/A</v>
          </cell>
          <cell r="C1697">
            <v>0</v>
          </cell>
          <cell r="E1697" t="str">
            <v>PCS</v>
          </cell>
          <cell r="G1697" t="str">
            <v>musa</v>
          </cell>
          <cell r="AA1697" t="str">
            <v>SCHNEIDER STOCK</v>
          </cell>
        </row>
        <row r="1698">
          <cell r="A1698" t="str">
            <v>EPDU2116SMBO</v>
          </cell>
          <cell r="B1698" t="str">
            <v>EASY PDU, 2G, METERED BY OUTLET WITH SWITCHING ZERO U 16 A 230 V (20) C13 4 C19</v>
          </cell>
          <cell r="C1698">
            <v>0</v>
          </cell>
          <cell r="E1698" t="str">
            <v>PCS</v>
          </cell>
          <cell r="G1698" t="str">
            <v>musa</v>
          </cell>
          <cell r="AA1698" t="str">
            <v>SCHNEIDER STOCK</v>
          </cell>
        </row>
        <row r="1699">
          <cell r="A1699" t="str">
            <v>AR7540</v>
          </cell>
          <cell r="B1699" t="str">
            <v>RACKS AND ENCLOSURES</v>
          </cell>
          <cell r="C1699">
            <v>0</v>
          </cell>
          <cell r="E1699" t="str">
            <v>PCS</v>
          </cell>
          <cell r="G1699" t="str">
            <v>musa</v>
          </cell>
          <cell r="AA1699" t="str">
            <v>SCHNEIDER STOCK</v>
          </cell>
        </row>
        <row r="1700">
          <cell r="A1700" t="str">
            <v>EPDU2132M</v>
          </cell>
          <cell r="B1700" t="str">
            <v>EASY PDU METERED ZERO U 32A 230V(20)c13(4)C19IEC309</v>
          </cell>
          <cell r="C1700">
            <v>4</v>
          </cell>
          <cell r="E1700" t="str">
            <v>PCS</v>
          </cell>
          <cell r="F1700" t="str">
            <v>244A</v>
          </cell>
          <cell r="G1700" t="str">
            <v>musa</v>
          </cell>
          <cell r="AA1700" t="str">
            <v>SCHNEIDER STOCK</v>
          </cell>
        </row>
        <row r="1701">
          <cell r="A1701" t="str">
            <v>SBP3000RMI</v>
          </cell>
          <cell r="B1701" t="str">
            <v>APC SERVICE BYPASS PANEL230V 16A</v>
          </cell>
          <cell r="C1701">
            <v>0</v>
          </cell>
          <cell r="E1701" t="str">
            <v>PCS</v>
          </cell>
          <cell r="G1701" t="str">
            <v>musa</v>
          </cell>
          <cell r="AA1701" t="str">
            <v>SCHNEIDER STOCK</v>
          </cell>
        </row>
        <row r="1702">
          <cell r="A1702" t="str">
            <v>C10F32D040</v>
          </cell>
          <cell r="B1702" t="str">
            <v>NSX100F 36kA AC 3P3D 40A 2.2</v>
          </cell>
          <cell r="C1702">
            <v>0</v>
          </cell>
          <cell r="E1702" t="str">
            <v>PCS</v>
          </cell>
          <cell r="G1702" t="str">
            <v>musa</v>
          </cell>
          <cell r="AA1702" t="str">
            <v>SCHNEIDER STOCK</v>
          </cell>
        </row>
        <row r="1703">
          <cell r="A1703" t="str">
            <v>C16F32D160</v>
          </cell>
          <cell r="B1703" t="str">
            <v>NSX160F 36kA AC 3P3D 160A 2.2</v>
          </cell>
          <cell r="C1703">
            <v>105</v>
          </cell>
          <cell r="E1703" t="str">
            <v>PCS</v>
          </cell>
          <cell r="G1703" t="str">
            <v>musa</v>
          </cell>
          <cell r="AA1703" t="str">
            <v>SCHNEIDER STOCK</v>
          </cell>
        </row>
        <row r="1704">
          <cell r="A1704" t="str">
            <v>C25F32D250</v>
          </cell>
          <cell r="B1704" t="str">
            <v>NSX250F 36kA AC 3P3D 250A 2.2</v>
          </cell>
          <cell r="C1704">
            <v>98</v>
          </cell>
          <cell r="E1704" t="str">
            <v>PCS</v>
          </cell>
          <cell r="G1704" t="str">
            <v>musa</v>
          </cell>
          <cell r="AA1704" t="str">
            <v>SCHNEIDER STOCK</v>
          </cell>
        </row>
        <row r="1705">
          <cell r="A1705">
            <v>48212</v>
          </cell>
          <cell r="B1705" t="str">
            <v>motormechanism MCH 200 to 240 V AC</v>
          </cell>
          <cell r="C1705">
            <v>0</v>
          </cell>
          <cell r="E1705" t="str">
            <v>PCS</v>
          </cell>
          <cell r="G1705" t="str">
            <v>musa</v>
          </cell>
          <cell r="AA1705" t="str">
            <v>SCHNEIDER STOCK</v>
          </cell>
        </row>
        <row r="1706">
          <cell r="A1706" t="str">
            <v>29450</v>
          </cell>
          <cell r="B1706" t="str">
            <v>1 AUX.SWITCH C/O CONTACT OF/SDE/SDVNS80</v>
          </cell>
          <cell r="C1706">
            <v>0</v>
          </cell>
          <cell r="E1706" t="str">
            <v>PCS</v>
          </cell>
          <cell r="G1706" t="str">
            <v>musa</v>
          </cell>
          <cell r="AA1706" t="str">
            <v>SCHNEIDER STOCK</v>
          </cell>
        </row>
        <row r="1707">
          <cell r="A1707" t="str">
            <v>AR3106</v>
          </cell>
          <cell r="B1707" t="str">
            <v>APC NetShelter SX 18U Server Rack Enclosure 600mm x 1070mm w/ Sides Black</v>
          </cell>
          <cell r="C1707">
            <v>0</v>
          </cell>
          <cell r="E1707" t="str">
            <v>PCS</v>
          </cell>
          <cell r="G1707" t="str">
            <v>musa</v>
          </cell>
          <cell r="AA1707" t="str">
            <v>SCHNEIDER STOCK</v>
          </cell>
        </row>
        <row r="1708">
          <cell r="A1708" t="str">
            <v>AR112SH6</v>
          </cell>
          <cell r="B1708" t="str">
            <v>APC NetShelter WX 12U Single Hinged Wall-mount Enclosure 600mm Deep</v>
          </cell>
          <cell r="C1708">
            <v>0</v>
          </cell>
          <cell r="E1708" t="str">
            <v>PCS</v>
          </cell>
          <cell r="G1708" t="str">
            <v>musa</v>
          </cell>
          <cell r="AA1708" t="str">
            <v>SCHNEIDER STOCK</v>
          </cell>
        </row>
        <row r="1709">
          <cell r="A1709" t="str">
            <v>EPDU-PCG0B</v>
          </cell>
          <cell r="B1709" t="str">
            <v>EPDU POWER CORD IEC309 16A TO C20 0.5M</v>
          </cell>
          <cell r="C1709">
            <v>0</v>
          </cell>
          <cell r="E1709" t="str">
            <v>PCS</v>
          </cell>
          <cell r="G1709" t="str">
            <v>musa</v>
          </cell>
          <cell r="AA1709" t="str">
            <v>SCHNEIDER STOCK</v>
          </cell>
        </row>
        <row r="1710">
          <cell r="A1710" t="str">
            <v>QBATT-QWAL54712-00</v>
          </cell>
          <cell r="B1710" t="str">
            <v>PRODUCT GALAXY VS 100KW  2 X 40 S12V2800PP EXIDE WITH BATTERY IN CABINET,N/A</v>
          </cell>
          <cell r="C1710">
            <v>1</v>
          </cell>
          <cell r="E1710" t="str">
            <v>PCS</v>
          </cell>
          <cell r="F1710" t="str">
            <v>265A,273A</v>
          </cell>
          <cell r="G1710" t="str">
            <v>musa</v>
          </cell>
          <cell r="AA1710" t="str">
            <v>SCHNEIDER STOCK</v>
          </cell>
        </row>
        <row r="1711">
          <cell r="A1711" t="str">
            <v>QBATT-QWAL57245-00</v>
          </cell>
          <cell r="B1711" t="str">
            <v>PRODUCT 3RD PARTY HARDWARE OTHER POWERSHIELD BMS FOR 2 X 40 S12V2800PP EXIDE</v>
          </cell>
          <cell r="C1711">
            <v>1</v>
          </cell>
          <cell r="E1711" t="str">
            <v>PCS</v>
          </cell>
          <cell r="F1711" t="str">
            <v>239B,269B</v>
          </cell>
          <cell r="G1711" t="str">
            <v>musa</v>
          </cell>
          <cell r="AA1711" t="str">
            <v>SCHNEIDER STOCK</v>
          </cell>
        </row>
        <row r="1712">
          <cell r="A1712" t="str">
            <v>LBF31209AB31SMRDYR</v>
          </cell>
          <cell r="B1712" t="str">
            <v>L&amp;T 32A  2Pole, ULListed, AC-23, Load Break Switch (LBS) with Aluminium Enclosure IP65</v>
          </cell>
          <cell r="C1712">
            <v>5</v>
          </cell>
          <cell r="E1712" t="str">
            <v>PCS</v>
          </cell>
          <cell r="G1712" t="str">
            <v>musa</v>
          </cell>
          <cell r="AA1712" t="str">
            <v>SCHNEIDER STOCK</v>
          </cell>
        </row>
        <row r="1713">
          <cell r="A1713" t="str">
            <v>LBD31209AB31SMRDYR</v>
          </cell>
          <cell r="B1713" t="str">
            <v>L&amp;T 20A   2Pole, Load Break Switch (LBS) in  Die-Cast Aluminium Enclosure IP65</v>
          </cell>
          <cell r="C1713">
            <v>5</v>
          </cell>
          <cell r="E1713" t="str">
            <v>PCS</v>
          </cell>
          <cell r="G1713" t="str">
            <v>musa</v>
          </cell>
          <cell r="AA1713" t="str">
            <v>SCHNEIDER STOCK</v>
          </cell>
        </row>
        <row r="1714">
          <cell r="A1714" t="str">
            <v>LBE31209AB31SMRDYR</v>
          </cell>
          <cell r="B1714" t="str">
            <v>L&amp;T 25A  2Pole, Load Break Switch (LBS) in Die-Cast Aluminium Enclosure IP65</v>
          </cell>
          <cell r="C1714">
            <v>5</v>
          </cell>
          <cell r="E1714" t="str">
            <v>PCS</v>
          </cell>
          <cell r="G1714" t="str">
            <v>musa</v>
          </cell>
          <cell r="AA1714" t="str">
            <v>SCHNEIDER STOCK</v>
          </cell>
        </row>
        <row r="1715">
          <cell r="A1715" t="str">
            <v>APDU11150SM</v>
          </cell>
          <cell r="B1715" t="str">
            <v>APC NetShelter Rack PDU Advanced Switched Metered Outlet,7.4kW, 1PH, 230V, 32A, 332P6, 40 Outlet</v>
          </cell>
          <cell r="C1715">
            <v>0</v>
          </cell>
          <cell r="E1715" t="str">
            <v>PCS</v>
          </cell>
          <cell r="G1715" t="str">
            <v>musa</v>
          </cell>
          <cell r="AA1715" t="str">
            <v>SCHNEIDER STOCK</v>
          </cell>
        </row>
        <row r="1716">
          <cell r="A1716" t="str">
            <v>AR8108BLK</v>
          </cell>
          <cell r="B1716" t="str">
            <v>1U BLANKING PANEL KIT 19 BLACK</v>
          </cell>
          <cell r="C1716">
            <v>0</v>
          </cell>
          <cell r="E1716" t="str">
            <v>PCS</v>
          </cell>
          <cell r="G1716" t="str">
            <v>musa</v>
          </cell>
          <cell r="AA1716" t="str">
            <v>SCHNEIDER STOCK</v>
          </cell>
        </row>
        <row r="1717">
          <cell r="A1717" t="str">
            <v>EPDU1016S</v>
          </cell>
          <cell r="B1717" t="str">
            <v>Easy PDU Switched 1U 16A 230V (8)C13</v>
          </cell>
          <cell r="C1717">
            <v>0</v>
          </cell>
          <cell r="E1717" t="str">
            <v>PCS</v>
          </cell>
          <cell r="G1717" t="str">
            <v>musa</v>
          </cell>
          <cell r="AA1717" t="str">
            <v>SCHNEIDER STOCK</v>
          </cell>
        </row>
        <row r="1718">
          <cell r="A1718" t="str">
            <v>C10F32D100</v>
          </cell>
          <cell r="B1718" t="str">
            <v>NSX100F 36kA AC 3P3D 100A 2.2</v>
          </cell>
          <cell r="C1718">
            <v>54</v>
          </cell>
          <cell r="E1718" t="str">
            <v>PCS</v>
          </cell>
          <cell r="G1718" t="str">
            <v>musa</v>
          </cell>
          <cell r="AA1718" t="str">
            <v>SCHNEIDER STOCK</v>
          </cell>
        </row>
        <row r="1719">
          <cell r="A1719" t="str">
            <v>SRV20KRILRK</v>
          </cell>
          <cell r="B1719" t="str">
            <v>APC Easy UPS On-Line SRV RM 20kVA 230V with Rail kit Batt pack Consisting of  2 x SRV120RLBP2-9A  1 x
SRV20KUXI-IN  3 x SRVRK2</v>
          </cell>
          <cell r="C1719">
            <v>1</v>
          </cell>
          <cell r="E1719" t="str">
            <v>PCS</v>
          </cell>
          <cell r="G1719" t="str">
            <v>musa</v>
          </cell>
          <cell r="AA1719" t="str">
            <v>SCHNEIDER STOCK</v>
          </cell>
        </row>
        <row r="1720">
          <cell r="A1720" t="str">
            <v>NBWS100H</v>
          </cell>
          <cell r="B1720" t="str">
            <v>NetBotz Wireless Temperature &amp; Humidity Sensor</v>
          </cell>
          <cell r="C1720">
            <v>25</v>
          </cell>
          <cell r="E1720" t="str">
            <v>PCS</v>
          </cell>
          <cell r="F1720" t="str">
            <v>281C</v>
          </cell>
          <cell r="G1720" t="str">
            <v>musa</v>
          </cell>
          <cell r="AA1720" t="str">
            <v>SCHNEIDER STOCK</v>
          </cell>
        </row>
        <row r="1721">
          <cell r="A1721" t="str">
            <v>ER8282</v>
          </cell>
          <cell r="B1721" t="str">
            <v>Easy Rack 800mm/42U/800mm with Roof,Sid</v>
          </cell>
          <cell r="C1721">
            <v>2</v>
          </cell>
          <cell r="E1721" t="str">
            <v>PCS</v>
          </cell>
          <cell r="G1721" t="str">
            <v>musa</v>
          </cell>
          <cell r="AA1721" t="str">
            <v>SCHNEIDER STOCK</v>
          </cell>
        </row>
        <row r="1722">
          <cell r="A1722" t="str">
            <v>AP9335T</v>
          </cell>
          <cell r="B1722" t="str">
            <v>APC Temperature Sensor</v>
          </cell>
          <cell r="C1722">
            <v>0</v>
          </cell>
          <cell r="E1722" t="str">
            <v>PCS</v>
          </cell>
          <cell r="G1722" t="str">
            <v>musa</v>
          </cell>
          <cell r="AA1722" t="str">
            <v>SCHNEIDER STOCK</v>
          </cell>
        </row>
        <row r="1723">
          <cell r="A1723" t="str">
            <v>AR8605</v>
          </cell>
          <cell r="B1723" t="str">
            <v>3U Horizontal cable manager</v>
          </cell>
          <cell r="C1723">
            <v>0</v>
          </cell>
          <cell r="E1723" t="str">
            <v>PCS</v>
          </cell>
          <cell r="G1723" t="str">
            <v>musa</v>
          </cell>
          <cell r="AA1723" t="str">
            <v>SCHNEIDER STOCK</v>
          </cell>
        </row>
        <row r="1724">
          <cell r="A1724" t="str">
            <v>BATTPS12V3400PPEXD</v>
          </cell>
          <cell r="B1724" t="str">
            <v>PS12V3400PP Exise Sprinter Pure Power 12V VRLA Battery</v>
          </cell>
          <cell r="C1724">
            <v>2</v>
          </cell>
          <cell r="E1724" t="str">
            <v>PCS</v>
          </cell>
          <cell r="F1724" t="str">
            <v>264A</v>
          </cell>
          <cell r="G1724" t="str">
            <v>musa</v>
          </cell>
          <cell r="AA1724" t="str">
            <v>SCHNEIDER STOCK</v>
          </cell>
        </row>
        <row r="1725">
          <cell r="A1725" t="str">
            <v>PDM3516IEC-1040</v>
          </cell>
          <cell r="B1725" t="str">
            <v>APC IT Power Distribution Module 3 Pole 5 Wire 16A IEC309 1040cm</v>
          </cell>
          <cell r="C1725">
            <v>0</v>
          </cell>
          <cell r="E1725" t="str">
            <v>PCS</v>
          </cell>
          <cell r="G1725" t="str">
            <v>musa</v>
          </cell>
          <cell r="AA1725" t="str">
            <v>SCHNEIDER STOCK</v>
          </cell>
        </row>
        <row r="1726">
          <cell r="A1726" t="str">
            <v>SBP20KP</v>
          </cell>
          <cell r="B1726" t="str">
            <v>APC Service Bypass Panel</v>
          </cell>
          <cell r="C1726">
            <v>0</v>
          </cell>
          <cell r="E1726" t="str">
            <v>PCS</v>
          </cell>
          <cell r="G1726" t="str">
            <v>musa</v>
          </cell>
          <cell r="AA1726" t="str">
            <v>SCHNEIDER STOCK</v>
          </cell>
        </row>
        <row r="1727">
          <cell r="A1727" t="str">
            <v>SBP5000RMI2U</v>
          </cell>
          <cell r="B1727" t="str">
            <v>APC SERVICE BYPASS PANEL-230V</v>
          </cell>
          <cell r="C1727">
            <v>3</v>
          </cell>
          <cell r="E1727" t="str">
            <v>PCS</v>
          </cell>
          <cell r="G1727" t="str">
            <v>musa</v>
          </cell>
          <cell r="AA1727" t="str">
            <v>SCHNEIDER STOCK</v>
          </cell>
        </row>
        <row r="1728">
          <cell r="A1728" t="str">
            <v>SBP10KRMI4U</v>
          </cell>
          <cell r="B1728" t="str">
            <v>APC Service Bypass Panel- 230V; 100A; MBB; Hardwire input; IEC-320 output- (8) C13 (2) C19</v>
          </cell>
          <cell r="C1728">
            <v>0</v>
          </cell>
          <cell r="E1728" t="str">
            <v>PCS</v>
          </cell>
          <cell r="G1728" t="str">
            <v>musa</v>
          </cell>
          <cell r="AA1728" t="str">
            <v>SCHNEIDER STOCK</v>
          </cell>
        </row>
        <row r="1729">
          <cell r="A1729" t="str">
            <v>QBATT-QHEL99265-01</v>
          </cell>
          <cell r="B1729" t="str">
            <v>PRODUCT GALAXY VS 100KW 15 MINUTES AUTONOMY WITH 1 X 40 X S12V3400PP WITH AN OPEN RACK AT 08PF LOAD,N/A( 03 Boxes)</v>
          </cell>
          <cell r="C1729">
            <v>1</v>
          </cell>
          <cell r="E1729" t="str">
            <v>PCS</v>
          </cell>
          <cell r="F1729" t="str">
            <v>277A</v>
          </cell>
          <cell r="G1729" t="str">
            <v>musa</v>
          </cell>
          <cell r="AA1729" t="str">
            <v>SCHNEIDER STOCK</v>
          </cell>
        </row>
        <row r="1730">
          <cell r="A1730" t="str">
            <v>QBATT-QHEL27070-01</v>
          </cell>
          <cell r="B1730" t="str">
            <v>PRODUCT GALAXY VS 120KW 15 MINUTES AUTONOMY WITH 1 X 48 X S12V3400PP WITH AN OPEN RACK AT 08PF LOAD,N/A (03 Boxes)</v>
          </cell>
          <cell r="C1730">
            <v>1</v>
          </cell>
          <cell r="E1730" t="str">
            <v>PCS</v>
          </cell>
          <cell r="F1730" t="str">
            <v>264A,265A</v>
          </cell>
          <cell r="G1730" t="str">
            <v>musa</v>
          </cell>
          <cell r="AA1730" t="str">
            <v>SCHNEIDER STOCK</v>
          </cell>
        </row>
        <row r="1731">
          <cell r="A1731" t="str">
            <v>A9A26476</v>
          </cell>
          <cell r="B1731" t="str">
            <v>iMX 100-415VAC 110-130VDC SHUNT</v>
          </cell>
          <cell r="C1731">
            <v>0</v>
          </cell>
          <cell r="E1731" t="str">
            <v>PCS</v>
          </cell>
          <cell r="G1731" t="str">
            <v>musa</v>
          </cell>
          <cell r="AA1731" t="str">
            <v>SCHNEIDER STOCK</v>
          </cell>
        </row>
        <row r="1732">
          <cell r="A1732" t="str">
            <v>A9L20600</v>
          </cell>
          <cell r="B1732" t="str">
            <v>iPRD20 3P+N</v>
          </cell>
          <cell r="C1732">
            <v>0</v>
          </cell>
          <cell r="E1732" t="str">
            <v>PCS</v>
          </cell>
          <cell r="G1732" t="str">
            <v>musa</v>
          </cell>
          <cell r="AA1732" t="str">
            <v>SCHNEIDER STOCK</v>
          </cell>
        </row>
        <row r="1733">
          <cell r="A1733" t="str">
            <v>A9L65601</v>
          </cell>
          <cell r="B1733" t="str">
            <v>iPRD65r 3P+N</v>
          </cell>
          <cell r="C1733">
            <v>0</v>
          </cell>
          <cell r="E1733" t="str">
            <v>PCS</v>
          </cell>
          <cell r="G1733" t="str">
            <v>musa</v>
          </cell>
          <cell r="AA1733" t="str">
            <v>SCHNEIDER STOCK</v>
          </cell>
        </row>
        <row r="1734">
          <cell r="A1734" t="str">
            <v>A9N26907</v>
          </cell>
          <cell r="B1734" t="str">
            <v>Auxiliary contact, Acti9 A9N, SD, 1 C/O,</v>
          </cell>
          <cell r="C1734">
            <v>88</v>
          </cell>
          <cell r="E1734" t="str">
            <v>PCS</v>
          </cell>
          <cell r="F1734" t="str">
            <v>217A</v>
          </cell>
          <cell r="G1734" t="str">
            <v>musa</v>
          </cell>
          <cell r="AA1734" t="str">
            <v>SCHNEIDER STOCK</v>
          </cell>
        </row>
        <row r="1735">
          <cell r="A1735" t="str">
            <v>A9R11480</v>
          </cell>
          <cell r="B1735" t="str">
            <v>iID 4P 80A 30mA AC</v>
          </cell>
          <cell r="C1735">
            <v>17</v>
          </cell>
          <cell r="E1735" t="str">
            <v>PCS</v>
          </cell>
          <cell r="F1735" t="str">
            <v>217A</v>
          </cell>
          <cell r="G1735" t="str">
            <v>musa</v>
          </cell>
          <cell r="AA1735" t="str">
            <v>SCHNEIDER STOCK</v>
          </cell>
        </row>
        <row r="1736">
          <cell r="A1736" t="str">
            <v>A9R12240</v>
          </cell>
          <cell r="B1736" t="str">
            <v>Acti9 iID 2P 40A 100mA AC</v>
          </cell>
          <cell r="C1736">
            <v>0</v>
          </cell>
          <cell r="E1736" t="str">
            <v>PCS</v>
          </cell>
          <cell r="G1736" t="str">
            <v>musa</v>
          </cell>
          <cell r="AA1736" t="str">
            <v>SCHNEIDER STOCK</v>
          </cell>
        </row>
        <row r="1737">
          <cell r="A1737" t="str">
            <v>A9R14480</v>
          </cell>
          <cell r="B1737" t="str">
            <v>iID 4P 80A 300mA AC</v>
          </cell>
          <cell r="C1737">
            <v>0</v>
          </cell>
          <cell r="E1737" t="str">
            <v>PCS</v>
          </cell>
          <cell r="G1737" t="str">
            <v>musa</v>
          </cell>
          <cell r="AA1737" t="str">
            <v>SCHNEIDER STOCK</v>
          </cell>
        </row>
        <row r="1738">
          <cell r="A1738" t="str">
            <v>A9R14491</v>
          </cell>
          <cell r="B1738" t="str">
            <v>iID 4P 100A 300mA AC</v>
          </cell>
          <cell r="C1738">
            <v>0</v>
          </cell>
          <cell r="E1738" t="str">
            <v>PCS</v>
          </cell>
          <cell r="G1738" t="str">
            <v>musa</v>
          </cell>
          <cell r="AA1738" t="str">
            <v>SCHNEIDER STOCK</v>
          </cell>
        </row>
        <row r="1739">
          <cell r="A1739" t="str">
            <v>A9V41240</v>
          </cell>
          <cell r="B1739" t="str">
            <v>ACTI9 VIGI IC60 2P 40A 30MA AC-TYPE ADD-</v>
          </cell>
          <cell r="C1739">
            <v>0</v>
          </cell>
          <cell r="E1739" t="str">
            <v>PCS</v>
          </cell>
          <cell r="G1739" t="str">
            <v>musa</v>
          </cell>
          <cell r="AA1739" t="str">
            <v>SCHNEIDER STOCK</v>
          </cell>
        </row>
        <row r="1740">
          <cell r="A1740" t="str">
            <v>A9V41263</v>
          </cell>
          <cell r="B1740" t="str">
            <v>Vigi iC60 2P 63A 30MA AC</v>
          </cell>
          <cell r="C1740">
            <v>0</v>
          </cell>
          <cell r="E1740" t="str">
            <v>PCS</v>
          </cell>
          <cell r="G1740" t="str">
            <v>musa</v>
          </cell>
          <cell r="AA1740" t="str">
            <v>SCHNEIDER STOCK</v>
          </cell>
        </row>
        <row r="1741">
          <cell r="A1741" t="str">
            <v>EZC100H3040</v>
          </cell>
          <cell r="B1741" t="str">
            <v>MG EZC100 H 30kA 3P/3T 40A</v>
          </cell>
          <cell r="C1741">
            <v>0</v>
          </cell>
          <cell r="E1741" t="str">
            <v>PCS</v>
          </cell>
          <cell r="G1741" t="str">
            <v>musa</v>
          </cell>
          <cell r="AA1741" t="str">
            <v>SCHNEIDER STOCK</v>
          </cell>
        </row>
        <row r="1742">
          <cell r="A1742" t="str">
            <v>EZC100H3050</v>
          </cell>
          <cell r="B1742" t="str">
            <v>MG EZC100 H 30kA 3P/3T 50A</v>
          </cell>
          <cell r="C1742">
            <v>0</v>
          </cell>
          <cell r="E1742" t="str">
            <v>PCS</v>
          </cell>
          <cell r="G1742" t="str">
            <v>musa</v>
          </cell>
          <cell r="AA1742" t="str">
            <v>SCHNEIDER STOCK</v>
          </cell>
        </row>
        <row r="1743">
          <cell r="A1743" t="str">
            <v>EZC100H3060</v>
          </cell>
          <cell r="B1743" t="str">
            <v>EZC100H3060 30kA 3P/3T 60A</v>
          </cell>
          <cell r="C1743">
            <v>0</v>
          </cell>
          <cell r="E1743" t="str">
            <v>PCS</v>
          </cell>
          <cell r="G1743" t="str">
            <v>musa</v>
          </cell>
          <cell r="AA1743" t="str">
            <v>SCHNEIDER STOCK</v>
          </cell>
        </row>
        <row r="1744">
          <cell r="A1744" t="str">
            <v>EZC100H3080</v>
          </cell>
          <cell r="B1744" t="str">
            <v>MG EZC100 H 30kA 3P/3T 80A</v>
          </cell>
          <cell r="C1744">
            <v>0</v>
          </cell>
          <cell r="E1744" t="str">
            <v>PCS</v>
          </cell>
          <cell r="G1744" t="str">
            <v>musa</v>
          </cell>
          <cell r="AA1744" t="str">
            <v>SCHNEIDER STOCK</v>
          </cell>
        </row>
        <row r="1745">
          <cell r="A1745" t="str">
            <v>EZC100H3100</v>
          </cell>
          <cell r="B1745" t="str">
            <v>MG EZC100 H 30kA 3P/3T 100A</v>
          </cell>
          <cell r="C1745">
            <v>0</v>
          </cell>
          <cell r="E1745" t="str">
            <v>PCS</v>
          </cell>
          <cell r="G1745" t="str">
            <v>musa</v>
          </cell>
          <cell r="AA1745" t="str">
            <v>SCHNEIDER STOCK</v>
          </cell>
        </row>
        <row r="1746">
          <cell r="A1746" t="str">
            <v>EZC100N3020</v>
          </cell>
          <cell r="B1746" t="str">
            <v>MG EZC100 N 15kA 3P/3T 20A</v>
          </cell>
          <cell r="C1746">
            <v>0</v>
          </cell>
          <cell r="E1746" t="str">
            <v>PCS</v>
          </cell>
          <cell r="G1746" t="str">
            <v>musa</v>
          </cell>
          <cell r="AA1746" t="str">
            <v>SCHNEIDER STOCK</v>
          </cell>
        </row>
        <row r="1747">
          <cell r="A1747" t="str">
            <v>EZC100N3032</v>
          </cell>
          <cell r="B1747" t="str">
            <v>MG EZC100 N 15kA 3P/3T 32A</v>
          </cell>
          <cell r="C1747">
            <v>0</v>
          </cell>
          <cell r="E1747" t="str">
            <v>PCS</v>
          </cell>
          <cell r="G1747" t="str">
            <v>musa</v>
          </cell>
          <cell r="AA1747" t="str">
            <v>SCHNEIDER STOCK</v>
          </cell>
        </row>
        <row r="1748">
          <cell r="A1748" t="str">
            <v>GC2530M6</v>
          </cell>
          <cell r="B1748" t="str">
            <v>MOD CONT  3NO 25A 250V AC7a 220VAC COIL</v>
          </cell>
          <cell r="C1748">
            <v>0</v>
          </cell>
          <cell r="E1748" t="str">
            <v>PCS</v>
          </cell>
          <cell r="G1748" t="str">
            <v>musa</v>
          </cell>
          <cell r="AA1748" t="str">
            <v>SCHNEIDER STOCK</v>
          </cell>
        </row>
        <row r="1749">
          <cell r="A1749" t="str">
            <v>LV510803</v>
          </cell>
          <cell r="B1749" t="str">
            <v>CVS100F TM25D 3P3D; EasyPact CVS
circuit</v>
          </cell>
          <cell r="C1749">
            <v>0</v>
          </cell>
          <cell r="E1749" t="str">
            <v>PCS</v>
          </cell>
          <cell r="G1749" t="str">
            <v>musa</v>
          </cell>
          <cell r="AA1749" t="str">
            <v>SCHNEIDER STOCK</v>
          </cell>
        </row>
        <row r="1750">
          <cell r="A1750" t="str">
            <v>EPDU2232M</v>
          </cell>
          <cell r="B1750" t="str">
            <v>Easy PDU Metered Zero U 22 kW 230V (18) C13 (6) C19 IEC309</v>
          </cell>
          <cell r="C1750">
            <v>60</v>
          </cell>
          <cell r="E1750" t="str">
            <v>PCS</v>
          </cell>
          <cell r="G1750" t="str">
            <v>musa</v>
          </cell>
          <cell r="AA1750" t="str">
            <v>SCHNEIDER STOCK</v>
          </cell>
        </row>
        <row r="1751">
          <cell r="A1751" t="str">
            <v>A9D11825</v>
          </cell>
          <cell r="B1751" t="str">
            <v>IC60H RCBO 1PPNS 25A C 30MA A 230V</v>
          </cell>
          <cell r="C1751">
            <v>0</v>
          </cell>
          <cell r="E1751" t="str">
            <v>PCS</v>
          </cell>
          <cell r="G1751" t="str">
            <v>musa</v>
          </cell>
          <cell r="AA1751" t="str">
            <v>SCHNEIDER STOCK</v>
          </cell>
        </row>
        <row r="1752">
          <cell r="A1752" t="str">
            <v>A9D12816</v>
          </cell>
          <cell r="B1752" t="str">
            <v>IC60H 1PNS 16A C 100MA 10000A A TYPE RCB</v>
          </cell>
          <cell r="C1752">
            <v>0</v>
          </cell>
          <cell r="E1752" t="str">
            <v>PCS</v>
          </cell>
          <cell r="G1752" t="str">
            <v>musa</v>
          </cell>
          <cell r="AA1752" t="str">
            <v>SCHNEIDER STOCK</v>
          </cell>
        </row>
        <row r="1753">
          <cell r="A1753" t="str">
            <v>A9D12840</v>
          </cell>
          <cell r="B1753" t="str">
            <v>IC60H 1PNS 40A C 100MA 10000A A TYPE RCB</v>
          </cell>
          <cell r="C1753">
            <v>0</v>
          </cell>
          <cell r="E1753" t="str">
            <v>PCS</v>
          </cell>
          <cell r="G1753" t="str">
            <v>musa</v>
          </cell>
          <cell r="AA1753" t="str">
            <v>SCHNEIDER STOCK</v>
          </cell>
        </row>
        <row r="1754">
          <cell r="A1754" t="str">
            <v>A9R12263</v>
          </cell>
          <cell r="B1754" t="str">
            <v>ACTI9 IID 2P 63A 100MA AC-TYPE RESIDUAL</v>
          </cell>
          <cell r="C1754">
            <v>0</v>
          </cell>
          <cell r="E1754" t="str">
            <v>PCS</v>
          </cell>
          <cell r="F1754" t="str">
            <v>214B</v>
          </cell>
          <cell r="G1754" t="str">
            <v>musa</v>
          </cell>
          <cell r="AA1754" t="str">
            <v>SCHNEIDER STOCK</v>
          </cell>
        </row>
        <row r="1755">
          <cell r="A1755" t="str">
            <v>A9V12463</v>
          </cell>
          <cell r="B1755" t="str">
            <v>acti9 vigi ic60 4p 63a 10</v>
          </cell>
          <cell r="C1755">
            <v>0</v>
          </cell>
          <cell r="E1755" t="str">
            <v>PCS</v>
          </cell>
          <cell r="G1755" t="str">
            <v>musa</v>
          </cell>
          <cell r="AA1755" t="str">
            <v>SCHNEIDER STOCK</v>
          </cell>
        </row>
        <row r="1756">
          <cell r="A1756" t="str">
            <v>METSEPM5340</v>
          </cell>
          <cell r="B1756" t="str">
            <v>POWERLOGIC PM5340 POWER &amp; ENERGY METERS</v>
          </cell>
          <cell r="C1756">
            <v>0</v>
          </cell>
          <cell r="E1756" t="str">
            <v>PCS</v>
          </cell>
          <cell r="G1756" t="str">
            <v>musa</v>
          </cell>
          <cell r="AA1756" t="str">
            <v>SCHNEIDER STOCK</v>
          </cell>
        </row>
        <row r="1757">
          <cell r="A1757" t="str">
            <v>A9N26909</v>
          </cell>
          <cell r="B1757" t="str">
            <v>Auxiliary contact, Acti9 A9N, OF/SD+OF,</v>
          </cell>
          <cell r="C1757">
            <v>88</v>
          </cell>
          <cell r="E1757" t="str">
            <v>PCS</v>
          </cell>
          <cell r="F1757" t="str">
            <v>215B</v>
          </cell>
          <cell r="G1757" t="str">
            <v>musa</v>
          </cell>
          <cell r="AA1757" t="str">
            <v>SCHNEIDER STOCK</v>
          </cell>
        </row>
        <row r="1758">
          <cell r="A1758" t="str">
            <v>EPDU-TH3</v>
          </cell>
          <cell r="B1758" t="str">
            <v>3X temperature and humidity Sensor for Easy rPDU</v>
          </cell>
          <cell r="C1758">
            <v>67</v>
          </cell>
          <cell r="E1758" t="str">
            <v>PCS</v>
          </cell>
          <cell r="G1758" t="str">
            <v>musa</v>
          </cell>
          <cell r="AA1758" t="str">
            <v>SCHNEIDER STOCK</v>
          </cell>
        </row>
        <row r="1759">
          <cell r="A1759" t="str">
            <v>SRV1KIL</v>
          </cell>
          <cell r="B1759" t="str">
            <v>APC Easy UPS SRV 1000VA 230V with External Battery
Pack Consisting of 1 x SRV36BP-9A 1 x SRVPM1KIL</v>
          </cell>
          <cell r="C1759">
            <v>0</v>
          </cell>
          <cell r="E1759" t="str">
            <v>PCS</v>
          </cell>
          <cell r="G1759" t="str">
            <v>musa</v>
          </cell>
          <cell r="AA1759" t="str">
            <v>SCHNEIDER STOCK</v>
          </cell>
        </row>
        <row r="1760">
          <cell r="A1760" t="str">
            <v>APDU9981EU3</v>
          </cell>
          <cell r="B1760" t="str">
            <v>APC Rack PDU 9000 Switched ZeroU 11.0kW 230V (21)</v>
          </cell>
          <cell r="C1760">
            <v>0</v>
          </cell>
          <cell r="E1760" t="str">
            <v>PCS</v>
          </cell>
          <cell r="G1760" t="str">
            <v>musa</v>
          </cell>
          <cell r="AA1760" t="str">
            <v>SCHNEIDER STOCK</v>
          </cell>
        </row>
        <row r="1761">
          <cell r="A1761" t="str">
            <v>E3MUPS160KHS</v>
          </cell>
          <cell r="B1761" t="str">
            <v>Easy UPS 3M 160kVA 400V 3:3 UPS for external batteries Start-up 5x8 Consisting of 1 x E3MUPS160KH</v>
          </cell>
          <cell r="C1761">
            <v>0</v>
          </cell>
          <cell r="E1761" t="str">
            <v>PCS</v>
          </cell>
          <cell r="G1761" t="str">
            <v>musa</v>
          </cell>
          <cell r="AA1761" t="str">
            <v>SCHNEIDER STOCK</v>
          </cell>
        </row>
        <row r="1762">
          <cell r="A1762" t="str">
            <v>ER7PDUBRKTS</v>
          </cell>
          <cell r="B1762" t="str">
            <v>Easy Rack PDU mounting bracket single width 2pair</v>
          </cell>
          <cell r="C1762">
            <v>0</v>
          </cell>
          <cell r="E1762" t="str">
            <v>PCS</v>
          </cell>
          <cell r="F1762" t="str">
            <v>236B</v>
          </cell>
          <cell r="G1762" t="str">
            <v>musa</v>
          </cell>
          <cell r="AA1762" t="str">
            <v>SCHNEIDER STOCK</v>
          </cell>
        </row>
        <row r="1763">
          <cell r="A1763" t="str">
            <v>C10N3TM016C</v>
          </cell>
          <cell r="B1763" t="str">
            <v>NSX100N 50kA AC 3P3D 16A TMD 50 °C</v>
          </cell>
          <cell r="C1763">
            <v>0</v>
          </cell>
          <cell r="E1763" t="str">
            <v>PCS</v>
          </cell>
          <cell r="G1763" t="str">
            <v>musa</v>
          </cell>
          <cell r="AA1763" t="str">
            <v>SCHNEIDER STOCK</v>
          </cell>
        </row>
        <row r="1764">
          <cell r="A1764" t="str">
            <v>C10F4TM100C</v>
          </cell>
          <cell r="B1764" t="str">
            <v>NSX100F 36kA AC 4P4D 100A TMD 50 °C</v>
          </cell>
          <cell r="C1764">
            <v>0</v>
          </cell>
          <cell r="E1764" t="str">
            <v>PCS</v>
          </cell>
          <cell r="G1764" t="str">
            <v>musa</v>
          </cell>
          <cell r="AA1764" t="str">
            <v>SCHNEIDER STOCK</v>
          </cell>
        </row>
        <row r="1765">
          <cell r="A1765" t="str">
            <v>C10N4TM050C</v>
          </cell>
          <cell r="B1765" t="str">
            <v>NSX100N 50kA AC 4P4D 50A TMD 50 °C</v>
          </cell>
          <cell r="C1765">
            <v>0</v>
          </cell>
          <cell r="E1765" t="str">
            <v>PCS</v>
          </cell>
          <cell r="G1765" t="str">
            <v>musa</v>
          </cell>
          <cell r="AA1765" t="str">
            <v>SCHNEIDER STOCK</v>
          </cell>
        </row>
        <row r="1766">
          <cell r="A1766" t="str">
            <v>C10N4TM016C</v>
          </cell>
          <cell r="B1766" t="str">
            <v>NSX100N 50kA AC 4P4D 16A TMD 50 °C</v>
          </cell>
          <cell r="C1766">
            <v>0</v>
          </cell>
          <cell r="E1766" t="str">
            <v>PCS</v>
          </cell>
          <cell r="G1766" t="str">
            <v>musa</v>
          </cell>
          <cell r="AA1766" t="str">
            <v>SCHNEIDER STOCK</v>
          </cell>
        </row>
        <row r="1767">
          <cell r="A1767" t="str">
            <v>C16F4TM160C</v>
          </cell>
          <cell r="B1767" t="str">
            <v>NSX160F 36kA AC 4P4D 160A TMD 50 °C</v>
          </cell>
          <cell r="C1767">
            <v>0</v>
          </cell>
          <cell r="E1767" t="str">
            <v>PCS</v>
          </cell>
          <cell r="G1767" t="str">
            <v>musa</v>
          </cell>
          <cell r="AA1767" t="str">
            <v>SCHNEIDER STOCK</v>
          </cell>
        </row>
        <row r="1768">
          <cell r="A1768" t="str">
            <v>C25F4TM250C</v>
          </cell>
          <cell r="B1768" t="str">
            <v>NSX250F 36kA AC 4P4D 250A TMD 50 °C</v>
          </cell>
          <cell r="C1768">
            <v>0</v>
          </cell>
          <cell r="E1768" t="str">
            <v>PCS</v>
          </cell>
          <cell r="G1768" t="str">
            <v>musa</v>
          </cell>
          <cell r="AA1768" t="str">
            <v>SCHNEIDER STOCK</v>
          </cell>
        </row>
        <row r="1769">
          <cell r="A1769" t="str">
            <v>C16F3MA150</v>
          </cell>
          <cell r="B1769" t="str">
            <v>NSX160F 36kA AC 3P3D 150A MA</v>
          </cell>
          <cell r="C1769">
            <v>0</v>
          </cell>
          <cell r="E1769" t="str">
            <v>PCS</v>
          </cell>
          <cell r="G1769" t="str">
            <v>musa</v>
          </cell>
          <cell r="AA1769" t="str">
            <v>SCHNEIDER STOCK</v>
          </cell>
        </row>
        <row r="1770">
          <cell r="A1770" t="str">
            <v>C25F3MA220</v>
          </cell>
          <cell r="B1770" t="str">
            <v>NSX250F 36kA AC 3P3D 220A MA</v>
          </cell>
          <cell r="C1770">
            <v>0</v>
          </cell>
          <cell r="E1770" t="str">
            <v>PCS</v>
          </cell>
          <cell r="G1770" t="str">
            <v>musa</v>
          </cell>
          <cell r="AA1770" t="str">
            <v>SCHNEIDER STOCK</v>
          </cell>
        </row>
        <row r="1771">
          <cell r="A1771" t="str">
            <v>C40F31M320</v>
          </cell>
          <cell r="B1771" t="str">
            <v>NSX400F 36kA AC 3P3D 320A 1.3M</v>
          </cell>
          <cell r="C1771">
            <v>0</v>
          </cell>
          <cell r="E1771" t="str">
            <v>PCS</v>
          </cell>
          <cell r="G1771" t="str">
            <v>musa</v>
          </cell>
          <cell r="AA1771" t="str">
            <v>SCHNEIDER STOCK</v>
          </cell>
        </row>
        <row r="1772">
          <cell r="A1772" t="str">
            <v>C63F31M500</v>
          </cell>
          <cell r="B1772" t="str">
            <v>NSX630F 36kA AC 3P3D 500A 1.3M</v>
          </cell>
          <cell r="C1772">
            <v>0</v>
          </cell>
          <cell r="E1772" t="str">
            <v>PCS</v>
          </cell>
          <cell r="G1772" t="str">
            <v>musa</v>
          </cell>
          <cell r="AA1772" t="str">
            <v>SCHNEIDER STOCK</v>
          </cell>
        </row>
        <row r="1773">
          <cell r="A1773" t="str">
            <v>C63N42D630</v>
          </cell>
          <cell r="B1773" t="str">
            <v>NSX630N 50kA AC 4P4D 630A 2.3</v>
          </cell>
          <cell r="C1773">
            <v>0</v>
          </cell>
          <cell r="E1773" t="str">
            <v>PCS</v>
          </cell>
          <cell r="G1773" t="str">
            <v>musa</v>
          </cell>
          <cell r="AA1773" t="str">
            <v>SCHNEIDER STOCK</v>
          </cell>
        </row>
        <row r="1774">
          <cell r="A1774" t="str">
            <v>C63H42D630</v>
          </cell>
          <cell r="B1774" t="str">
            <v>NSX630H 70kA AC 4P4D 630A 2.3</v>
          </cell>
          <cell r="C1774">
            <v>0</v>
          </cell>
          <cell r="E1774" t="str">
            <v>PCS</v>
          </cell>
          <cell r="G1774" t="str">
            <v>musa</v>
          </cell>
          <cell r="AA1774" t="str">
            <v>SCHNEIDER STOCK</v>
          </cell>
        </row>
        <row r="1775">
          <cell r="A1775" t="str">
            <v>LC1DWK12M7</v>
          </cell>
          <cell r="B1775" t="str">
            <v>TeSys D capacitor contactor 60kVAR 220V</v>
          </cell>
          <cell r="C1775">
            <v>0</v>
          </cell>
          <cell r="E1775" t="str">
            <v>PCS</v>
          </cell>
          <cell r="G1775" t="str">
            <v>musa</v>
          </cell>
          <cell r="AA1775" t="str">
            <v>SCHNEIDER STOCK</v>
          </cell>
        </row>
        <row r="1776">
          <cell r="A1776" t="str">
            <v>C10F4TM040C</v>
          </cell>
          <cell r="B1776" t="str">
            <v>NSX100F 36kA AC 4P4D 40A TMD 50 °C</v>
          </cell>
          <cell r="C1776">
            <v>0</v>
          </cell>
          <cell r="E1776" t="str">
            <v>PCS</v>
          </cell>
          <cell r="G1776" t="str">
            <v>musa</v>
          </cell>
          <cell r="AA1776" t="str">
            <v>SCHNEIDER STOCK</v>
          </cell>
        </row>
        <row r="1777">
          <cell r="A1777" t="str">
            <v>LRD06</v>
          </cell>
          <cell r="B1777" t="str">
            <v>TESYS D THERMAL OVERLOAD 1.0-1.7A CL10A</v>
          </cell>
          <cell r="C1777">
            <v>0</v>
          </cell>
          <cell r="E1777" t="str">
            <v>PCS</v>
          </cell>
          <cell r="G1777" t="str">
            <v>musa</v>
          </cell>
          <cell r="AA1777" t="str">
            <v>SCHNEIDER STOCK</v>
          </cell>
        </row>
        <row r="1778">
          <cell r="A1778" t="str">
            <v>GV2ME02</v>
          </cell>
          <cell r="B1778" t="str">
            <v>TeSys GV2 - Motor circuit breaker 0.16-0</v>
          </cell>
          <cell r="C1778">
            <v>0</v>
          </cell>
          <cell r="E1778" t="str">
            <v>PCS</v>
          </cell>
          <cell r="G1778" t="str">
            <v>musa</v>
          </cell>
          <cell r="AA1778" t="str">
            <v>SCHNEIDER STOCK</v>
          </cell>
        </row>
        <row r="1779">
          <cell r="A1779" t="str">
            <v>GV2ME03</v>
          </cell>
          <cell r="B1779" t="str">
            <v>GV2ME MOTOR CB THER/MAG 0.25-0.4A ROCKER</v>
          </cell>
          <cell r="C1779">
            <v>0</v>
          </cell>
          <cell r="E1779" t="str">
            <v>PCS</v>
          </cell>
          <cell r="G1779" t="str">
            <v>musa</v>
          </cell>
          <cell r="AA1779" t="str">
            <v>SCHNEIDER STOCK</v>
          </cell>
        </row>
        <row r="1780">
          <cell r="A1780" t="str">
            <v>GV2ME04</v>
          </cell>
          <cell r="B1780" t="str">
            <v>GV2ME MOTOR CB THER/MAG 0.4-0.63A ROCKER</v>
          </cell>
          <cell r="C1780">
            <v>0</v>
          </cell>
          <cell r="E1780" t="str">
            <v>PCS</v>
          </cell>
          <cell r="G1780" t="str">
            <v>musa</v>
          </cell>
          <cell r="AA1780" t="str">
            <v>SCHNEIDER STOCK</v>
          </cell>
        </row>
        <row r="1781">
          <cell r="A1781" t="str">
            <v>GV2ME05</v>
          </cell>
          <cell r="B1781" t="str">
            <v>GV2ME MOTOR CB THERM/MAG 0.63-1A ROCKER</v>
          </cell>
          <cell r="C1781">
            <v>0</v>
          </cell>
          <cell r="E1781" t="str">
            <v>PCS</v>
          </cell>
          <cell r="G1781" t="str">
            <v>musa</v>
          </cell>
          <cell r="AA1781" t="str">
            <v>SCHNEIDER STOCK</v>
          </cell>
        </row>
        <row r="1782">
          <cell r="A1782" t="str">
            <v>GV2P03</v>
          </cell>
          <cell r="B1782" t="str">
            <v>TeSys GV2 - Motor circuit breaker 0.25-0</v>
          </cell>
          <cell r="C1782">
            <v>0</v>
          </cell>
          <cell r="E1782" t="str">
            <v>PCS</v>
          </cell>
          <cell r="G1782" t="str">
            <v>musa</v>
          </cell>
          <cell r="AA1782" t="str">
            <v>SCHNEIDER STOCK</v>
          </cell>
        </row>
        <row r="1783">
          <cell r="A1783" t="str">
            <v>GV2P04</v>
          </cell>
          <cell r="B1783" t="str">
            <v>TeSys GV2 - Motor circuit breaker 0.4-0.</v>
          </cell>
          <cell r="C1783">
            <v>0</v>
          </cell>
          <cell r="E1783" t="str">
            <v>PCS</v>
          </cell>
          <cell r="G1783" t="str">
            <v>musa</v>
          </cell>
          <cell r="AA1783" t="str">
            <v>SCHNEIDER STOCK</v>
          </cell>
        </row>
        <row r="1784">
          <cell r="A1784" t="str">
            <v>GV2P05</v>
          </cell>
          <cell r="B1784" t="str">
            <v>MOTOR CIRCUIT BREAKER</v>
          </cell>
          <cell r="C1784">
            <v>0</v>
          </cell>
          <cell r="E1784" t="str">
            <v>PCS</v>
          </cell>
          <cell r="G1784" t="str">
            <v>musa</v>
          </cell>
          <cell r="AA1784" t="str">
            <v>SCHNEIDER STOCK</v>
          </cell>
        </row>
        <row r="1785">
          <cell r="A1785" t="str">
            <v>GV2P08</v>
          </cell>
          <cell r="B1785" t="str">
            <v>MOTOR CIRCUIT BREAKER</v>
          </cell>
          <cell r="C1785">
            <v>0</v>
          </cell>
          <cell r="E1785" t="str">
            <v>PCS</v>
          </cell>
          <cell r="G1785" t="str">
            <v>musa</v>
          </cell>
          <cell r="AA1785" t="str">
            <v>SCHNEIDER STOCK</v>
          </cell>
        </row>
        <row r="1786">
          <cell r="A1786" t="str">
            <v>CCT15369</v>
          </cell>
          <cell r="B1786" t="str">
            <v>Acti 9 IC2000 outdoor (2 - 2000 lux)</v>
          </cell>
          <cell r="C1786">
            <v>0</v>
          </cell>
          <cell r="E1786" t="str">
            <v>PCS</v>
          </cell>
          <cell r="G1786" t="str">
            <v>musa</v>
          </cell>
          <cell r="AA1786" t="str">
            <v>SCHNEIDER STOCK</v>
          </cell>
        </row>
        <row r="1787">
          <cell r="A1787" t="str">
            <v>LA9D50978</v>
          </cell>
          <cell r="B1787" t="str">
            <v>TeSys D accessory mechanical interlock</v>
          </cell>
          <cell r="C1787">
            <v>0</v>
          </cell>
          <cell r="E1787" t="str">
            <v>PCS</v>
          </cell>
          <cell r="G1787" t="str">
            <v>musa</v>
          </cell>
          <cell r="AA1787" t="str">
            <v>SCHNEIDER STOCK</v>
          </cell>
        </row>
        <row r="1788">
          <cell r="A1788" t="str">
            <v>GV2L32</v>
          </cell>
          <cell r="B1788" t="str">
            <v>GV2L MOTOR CB MAGNETIC 32A ROTARY HANDLE</v>
          </cell>
          <cell r="C1788">
            <v>0</v>
          </cell>
          <cell r="E1788" t="str">
            <v>PCS</v>
          </cell>
          <cell r="G1788" t="str">
            <v>musa</v>
          </cell>
          <cell r="AA1788" t="str">
            <v>SCHNEIDER STOCK</v>
          </cell>
        </row>
        <row r="1789">
          <cell r="A1789" t="str">
            <v>A9F54140</v>
          </cell>
          <cell r="B1789" t="str">
            <v>ACTI9 IC60H 1P 40A C MCB</v>
          </cell>
          <cell r="C1789">
            <v>0</v>
          </cell>
          <cell r="E1789" t="str">
            <v>PCS</v>
          </cell>
          <cell r="G1789" t="str">
            <v>musa</v>
          </cell>
          <cell r="AA1789" t="str">
            <v>SCHNEIDER STOCK</v>
          </cell>
        </row>
        <row r="1790">
          <cell r="A1790" t="str">
            <v>A9F54206</v>
          </cell>
          <cell r="B1790" t="str">
            <v>ACTI9 IC60H 2P 6A C MCB</v>
          </cell>
          <cell r="C1790">
            <v>0</v>
          </cell>
          <cell r="E1790" t="str">
            <v>PCS</v>
          </cell>
          <cell r="G1790" t="str">
            <v>musa</v>
          </cell>
          <cell r="AA1790" t="str">
            <v>SCHNEIDER STOCK</v>
          </cell>
        </row>
        <row r="1791">
          <cell r="A1791" t="str">
            <v>A9F54210</v>
          </cell>
          <cell r="B1791" t="str">
            <v>ACTI9 IC60H 2P 10A C MCB</v>
          </cell>
          <cell r="C1791">
            <v>0</v>
          </cell>
          <cell r="E1791" t="str">
            <v>PCS</v>
          </cell>
          <cell r="G1791" t="str">
            <v>musa</v>
          </cell>
          <cell r="AA1791" t="str">
            <v>SCHNEIDER STOCK</v>
          </cell>
        </row>
        <row r="1792">
          <cell r="A1792" t="str">
            <v>A9F54263</v>
          </cell>
          <cell r="B1792" t="str">
            <v>ACTI9 IC60H 2P 63A C MCB</v>
          </cell>
          <cell r="C1792">
            <v>0</v>
          </cell>
          <cell r="E1792" t="str">
            <v>PCS</v>
          </cell>
          <cell r="G1792" t="str">
            <v>musa</v>
          </cell>
          <cell r="AA1792" t="str">
            <v>SCHNEIDER STOCK</v>
          </cell>
        </row>
        <row r="1793">
          <cell r="A1793" t="str">
            <v>A9F54363</v>
          </cell>
          <cell r="B1793" t="str">
            <v>ACTI9 IC60H 3P 63A C MCB</v>
          </cell>
          <cell r="C1793">
            <v>0</v>
          </cell>
          <cell r="E1793" t="str">
            <v>PCS</v>
          </cell>
          <cell r="G1793" t="str">
            <v>musa</v>
          </cell>
          <cell r="AA1793" t="str">
            <v>SCHNEIDER STOCK</v>
          </cell>
        </row>
        <row r="1794">
          <cell r="A1794" t="str">
            <v>A9F94125</v>
          </cell>
          <cell r="B1794" t="str">
            <v>iC60L 1P 25A C</v>
          </cell>
          <cell r="C1794">
            <v>0</v>
          </cell>
          <cell r="E1794" t="str">
            <v>PCS</v>
          </cell>
          <cell r="G1794" t="str">
            <v>musa</v>
          </cell>
          <cell r="AA1794" t="str">
            <v>SCHNEIDER STOCK</v>
          </cell>
        </row>
        <row r="1795">
          <cell r="A1795" t="str">
            <v>A9F94140</v>
          </cell>
          <cell r="B1795" t="str">
            <v>iC60L 1P 40A C</v>
          </cell>
          <cell r="C1795">
            <v>0</v>
          </cell>
          <cell r="E1795" t="str">
            <v>PCS</v>
          </cell>
          <cell r="G1795" t="str">
            <v>musa</v>
          </cell>
          <cell r="AA1795" t="str">
            <v>SCHNEIDER STOCK</v>
          </cell>
        </row>
        <row r="1796">
          <cell r="A1796" t="str">
            <v>A9F94216</v>
          </cell>
          <cell r="B1796" t="str">
            <v>iC60L 2P 16A C</v>
          </cell>
          <cell r="C1796">
            <v>0</v>
          </cell>
          <cell r="E1796" t="str">
            <v>PCS</v>
          </cell>
          <cell r="G1796" t="str">
            <v>musa</v>
          </cell>
          <cell r="AA1796" t="str">
            <v>SCHNEIDER STOCK</v>
          </cell>
        </row>
        <row r="1797">
          <cell r="A1797" t="str">
            <v>A9F94225</v>
          </cell>
          <cell r="B1797" t="str">
            <v>ACTI 9  iC60L 2P 25A 15kA  MINYATUR DEVR</v>
          </cell>
          <cell r="C1797">
            <v>0</v>
          </cell>
          <cell r="E1797" t="str">
            <v>PCS</v>
          </cell>
          <cell r="G1797" t="str">
            <v>musa</v>
          </cell>
          <cell r="AA1797" t="str">
            <v>SCHNEIDER STOCK</v>
          </cell>
        </row>
        <row r="1798">
          <cell r="A1798" t="str">
            <v>A9F94340</v>
          </cell>
          <cell r="B1798" t="str">
            <v>Acti9 iC60L 3P C 40A MCB</v>
          </cell>
          <cell r="C1798">
            <v>0</v>
          </cell>
          <cell r="E1798" t="str">
            <v>PCS</v>
          </cell>
          <cell r="G1798" t="str">
            <v>musa</v>
          </cell>
          <cell r="AA1798" t="str">
            <v>SCHNEIDER STOCK</v>
          </cell>
        </row>
        <row r="1799">
          <cell r="A1799" t="str">
            <v>A9F54220</v>
          </cell>
          <cell r="B1799" t="str">
            <v>ACTI9 IC60H 2P 20A C MCB</v>
          </cell>
          <cell r="C1799">
            <v>42</v>
          </cell>
          <cell r="E1799" t="str">
            <v>PCS</v>
          </cell>
          <cell r="G1799" t="str">
            <v>musa</v>
          </cell>
          <cell r="AA1799" t="str">
            <v>SCHNEIDER STOCK</v>
          </cell>
        </row>
        <row r="1800">
          <cell r="A1800" t="str">
            <v>A9F54225</v>
          </cell>
          <cell r="B1800" t="str">
            <v>ACTI9 IC60H 2P 25A C MCB</v>
          </cell>
          <cell r="C1800">
            <v>42</v>
          </cell>
          <cell r="E1800" t="str">
            <v>PCS</v>
          </cell>
          <cell r="G1800" t="str">
            <v>musa</v>
          </cell>
          <cell r="AA1800" t="str">
            <v>SCHNEIDER STOCK</v>
          </cell>
        </row>
        <row r="1801">
          <cell r="A1801" t="str">
            <v>AR8207BLK</v>
          </cell>
          <cell r="B1801" t="str">
            <v>APC NETSHELTER WX FAN TRAY 230VAC BLACK</v>
          </cell>
          <cell r="C1801">
            <v>0</v>
          </cell>
          <cell r="E1801" t="str">
            <v>PCS</v>
          </cell>
          <cell r="F1801" t="str">
            <v>421B</v>
          </cell>
          <cell r="G1801" t="str">
            <v>musa</v>
          </cell>
          <cell r="AA1801" t="str">
            <v>SCHNEIDER STOCK</v>
          </cell>
        </row>
        <row r="1802">
          <cell r="A1802" t="str">
            <v>EPDU2216M</v>
          </cell>
          <cell r="B1802" t="str">
            <v>MEDIUM RACK PDU</v>
          </cell>
          <cell r="C1802">
            <v>0</v>
          </cell>
          <cell r="E1802" t="str">
            <v>PCS</v>
          </cell>
          <cell r="F1802" t="str">
            <v>warehouse 3 Zone B</v>
          </cell>
          <cell r="G1802" t="str">
            <v>musa</v>
          </cell>
          <cell r="AA1802" t="str">
            <v>SCHNEIDER STOCK</v>
          </cell>
        </row>
        <row r="1803">
          <cell r="A1803" t="str">
            <v>SRV72BP-9A</v>
          </cell>
          <cell r="B1803" t="str">
            <v>APC Easy UPS SRV 72V Battery Pack for 2&amp;3kVA Tower No
Battery Model</v>
          </cell>
          <cell r="C1803">
            <v>0</v>
          </cell>
          <cell r="E1803" t="str">
            <v>PCS</v>
          </cell>
          <cell r="F1803" t="str">
            <v>409A,254A</v>
          </cell>
          <cell r="G1803" t="str">
            <v>musa</v>
          </cell>
          <cell r="AA1803" t="str">
            <v>SCHNEIDER STOCK</v>
          </cell>
        </row>
        <row r="1804">
          <cell r="A1804" t="str">
            <v>AP9810</v>
          </cell>
          <cell r="B1804" t="str">
            <v>APC Dry Contact I/O Accessory</v>
          </cell>
          <cell r="C1804">
            <v>0</v>
          </cell>
          <cell r="E1804" t="str">
            <v>PCS</v>
          </cell>
          <cell r="F1804" t="str">
            <v>408A</v>
          </cell>
          <cell r="G1804" t="str">
            <v>musa</v>
          </cell>
          <cell r="AA1804" t="str">
            <v>SCHNEIDER STOCK</v>
          </cell>
        </row>
        <row r="1805">
          <cell r="A1805" t="str">
            <v>C10N3TM080C</v>
          </cell>
          <cell r="B1805" t="str">
            <v>NSX100N 50kA AC 3P3D 80A TMD 50 °C</v>
          </cell>
          <cell r="C1805">
            <v>0</v>
          </cell>
          <cell r="E1805" t="str">
            <v>PCS</v>
          </cell>
          <cell r="G1805" t="str">
            <v>musa</v>
          </cell>
          <cell r="AA1805" t="str">
            <v>SCHNEIDER STOCK</v>
          </cell>
        </row>
        <row r="1806">
          <cell r="A1806" t="str">
            <v>C10N3TM050C</v>
          </cell>
          <cell r="B1806" t="str">
            <v>NSX100N 50kA AC 3P3D 50A TMD 50 °C</v>
          </cell>
          <cell r="C1806">
            <v>0</v>
          </cell>
          <cell r="E1806" t="str">
            <v>PCS</v>
          </cell>
          <cell r="G1806" t="str">
            <v>musa</v>
          </cell>
          <cell r="AA1806" t="str">
            <v>SCHNEIDER STOCK</v>
          </cell>
        </row>
        <row r="1807">
          <cell r="A1807" t="str">
            <v>C10N3TM032C</v>
          </cell>
          <cell r="B1807" t="str">
            <v>NSX100N 50kA AC 3P3D 32A TMD 50 °C</v>
          </cell>
          <cell r="C1807">
            <v>0</v>
          </cell>
          <cell r="E1807" t="str">
            <v>PCS</v>
          </cell>
          <cell r="G1807" t="str">
            <v>musa</v>
          </cell>
          <cell r="AA1807" t="str">
            <v>SCHNEIDER STOCK</v>
          </cell>
        </row>
        <row r="1808">
          <cell r="A1808" t="str">
            <v>C10F3MA025</v>
          </cell>
          <cell r="B1808" t="str">
            <v>NSX100F 36kA AC 3P3D 25A MA</v>
          </cell>
          <cell r="C1808">
            <v>0</v>
          </cell>
          <cell r="E1808" t="str">
            <v>PCS</v>
          </cell>
          <cell r="G1808" t="str">
            <v>musa</v>
          </cell>
          <cell r="AA1808" t="str">
            <v>SCHNEIDER STOCK</v>
          </cell>
        </row>
        <row r="1809">
          <cell r="A1809" t="str">
            <v>AP7526</v>
          </cell>
          <cell r="B1809" t="str">
            <v>APC RACK PDU BASIC 32A</v>
          </cell>
          <cell r="C1809">
            <v>0</v>
          </cell>
          <cell r="E1809" t="str">
            <v>PCS</v>
          </cell>
          <cell r="G1809" t="str">
            <v>musa</v>
          </cell>
          <cell r="AA1809" t="str">
            <v>SCHNEIDER STOCK</v>
          </cell>
        </row>
        <row r="1810">
          <cell r="A1810" t="str">
            <v>AP8958</v>
          </cell>
          <cell r="B1810" t="str">
            <v>Rack PDU 2G Switched ZeroU 20A/208V 16A/230V (7) C13</v>
          </cell>
          <cell r="C1810">
            <v>2</v>
          </cell>
          <cell r="E1810" t="str">
            <v>PCS</v>
          </cell>
          <cell r="G1810" t="str">
            <v>musa</v>
          </cell>
          <cell r="AA1810" t="str">
            <v>SCHNEIDER STOCK</v>
          </cell>
        </row>
        <row r="1811">
          <cell r="A1811" t="str">
            <v>AP9475</v>
          </cell>
          <cell r="B1811" t="str">
            <v>INFRA STRUXURE CENTRAL ENTERPRISE</v>
          </cell>
          <cell r="C1811">
            <v>2</v>
          </cell>
          <cell r="E1811" t="str">
            <v>PCS</v>
          </cell>
          <cell r="G1811" t="str">
            <v>musa</v>
          </cell>
          <cell r="AA1811" t="str">
            <v>SCHNEIDER STOCK</v>
          </cell>
        </row>
        <row r="1812">
          <cell r="A1812" t="str">
            <v>SRTL5KRM2UI</v>
          </cell>
          <cell r="C1812">
            <v>0</v>
          </cell>
          <cell r="E1812" t="str">
            <v>PCS</v>
          </cell>
          <cell r="G1812" t="str">
            <v>musa</v>
          </cell>
          <cell r="AA1812" t="str">
            <v>SCHNEIDER STOCK</v>
          </cell>
        </row>
        <row r="1813">
          <cell r="A1813" t="str">
            <v>SRT001</v>
          </cell>
          <cell r="C1813">
            <v>0</v>
          </cell>
          <cell r="E1813" t="str">
            <v>PCS</v>
          </cell>
          <cell r="G1813" t="str">
            <v>musa</v>
          </cell>
          <cell r="AA1813" t="str">
            <v>SCHNEIDER STOCK</v>
          </cell>
        </row>
        <row r="1814">
          <cell r="A1814" t="str">
            <v>SRV2KIL</v>
          </cell>
          <cell r="B1814" t="str">
            <v>APC Easy UPS  CONSISTING OF X SRV72BP-9A = 1 SRVPM2KIL = 1</v>
          </cell>
          <cell r="C1814">
            <v>0</v>
          </cell>
          <cell r="E1814" t="str">
            <v>PCS</v>
          </cell>
          <cell r="G1814" t="str">
            <v>musa</v>
          </cell>
          <cell r="AA1814" t="str">
            <v>SCHNEIDER STOCK</v>
          </cell>
        </row>
        <row r="1815">
          <cell r="A1815" t="str">
            <v>APDU11350SM</v>
          </cell>
          <cell r="B1815" t="str">
            <v>APC NetShelter Rack PDU Advanced, Switched Metered</v>
          </cell>
          <cell r="C1815">
            <v>0</v>
          </cell>
          <cell r="E1815" t="str">
            <v>PCS</v>
          </cell>
          <cell r="G1815" t="str">
            <v>musa</v>
          </cell>
          <cell r="AA1815" t="str">
            <v>SCHNEIDER STOCK</v>
          </cell>
        </row>
        <row r="1816">
          <cell r="A1816" t="str">
            <v>NR8202-P</v>
          </cell>
          <cell r="B1816" t="str">
            <v>GO RACK 800mm/42U/1000mm,perforated door,with
roof,sides,castors,feet</v>
          </cell>
          <cell r="C1816">
            <v>0</v>
          </cell>
          <cell r="E1816" t="str">
            <v>PCS</v>
          </cell>
          <cell r="G1816" t="str">
            <v>musa</v>
          </cell>
          <cell r="AA1816" t="str">
            <v>SCHNEIDER STOCK</v>
          </cell>
        </row>
        <row r="1817">
          <cell r="A1817" t="str">
            <v>NRAFM-4FAN-THM-FS</v>
          </cell>
          <cell r="B1817" t="str">
            <v>GO Rack Airflow Management 4 Fan Module Thermostatic
Free Standing Type</v>
          </cell>
          <cell r="C1817">
            <v>3</v>
          </cell>
          <cell r="E1817" t="str">
            <v>PCS</v>
          </cell>
          <cell r="G1817" t="str">
            <v>musa</v>
          </cell>
          <cell r="AA1817" t="str">
            <v>SCHNEIDER STOCK</v>
          </cell>
        </row>
        <row r="1818">
          <cell r="A1818" t="str">
            <v>NRCMP-1U-BL</v>
          </cell>
          <cell r="B1818" t="str">
            <v>GO RACK CABLE MANAGEMENT, 1U 19" 5 RINGS, RAL
9005 BLACK</v>
          </cell>
          <cell r="C1818">
            <v>9</v>
          </cell>
          <cell r="E1818" t="str">
            <v>PCS</v>
          </cell>
          <cell r="G1818" t="str">
            <v>musa</v>
          </cell>
          <cell r="AA1818" t="str">
            <v>SCHNEIDER STOCK</v>
          </cell>
        </row>
        <row r="1819">
          <cell r="A1819" t="str">
            <v>NRCMT-42U-ZN</v>
          </cell>
          <cell r="B1819" t="str">
            <v>GO Rack Cable Management, 42U Cable Tray Zinc Plated,
W=100mm</v>
          </cell>
          <cell r="C1819">
            <v>5</v>
          </cell>
          <cell r="E1819" t="str">
            <v>PCS</v>
          </cell>
          <cell r="G1819" t="str">
            <v>musa</v>
          </cell>
          <cell r="AA1819" t="str">
            <v>SCHNEIDER STOCK</v>
          </cell>
        </row>
        <row r="1820">
          <cell r="A1820" t="str">
            <v>R4EPGL41970GNB</v>
          </cell>
          <cell r="C1820">
            <v>0</v>
          </cell>
          <cell r="E1820" t="str">
            <v>PCS</v>
          </cell>
          <cell r="G1820" t="str">
            <v>musa</v>
          </cell>
          <cell r="AA1820" t="str">
            <v>SCHNEIDER STOCK</v>
          </cell>
        </row>
        <row r="1821">
          <cell r="A1821" t="str">
            <v>E3MOPT006</v>
          </cell>
          <cell r="B1821" t="str">
            <v>EASY UPS 3M CABLE KIT CLASSIC BATTERY CABINET &amp;</v>
          </cell>
          <cell r="C1821">
            <v>7</v>
          </cell>
          <cell r="E1821" t="str">
            <v>PCS</v>
          </cell>
          <cell r="G1821" t="str">
            <v>musa</v>
          </cell>
          <cell r="AA1821" t="str">
            <v>SCHNEIDER STOCK</v>
          </cell>
        </row>
        <row r="1822">
          <cell r="A1822" t="str">
            <v>NBHN1356</v>
          </cell>
          <cell r="B1822" t="str">
            <v>NetBotz 13.56 MHz Handle Kit</v>
          </cell>
          <cell r="C1822">
            <v>0</v>
          </cell>
          <cell r="E1822" t="str">
            <v>PCS</v>
          </cell>
          <cell r="G1822" t="str">
            <v>musa</v>
          </cell>
          <cell r="AA1822" t="str">
            <v>SCHNEIDER STOCK</v>
          </cell>
        </row>
        <row r="1823">
          <cell r="A1823" t="str">
            <v>ER7SHELFS</v>
          </cell>
          <cell r="B1823" t="str">
            <v>EASY RACK COMPONENT SHELF SHORT 50 KG</v>
          </cell>
          <cell r="C1823">
            <v>0</v>
          </cell>
          <cell r="E1823" t="str">
            <v>PCS</v>
          </cell>
          <cell r="G1823" t="str">
            <v>musa</v>
          </cell>
          <cell r="AA1823" t="str">
            <v>SCHNEIDER STOCK</v>
          </cell>
        </row>
        <row r="1824">
          <cell r="A1824" t="str">
            <v>ER7VCM48</v>
          </cell>
          <cell r="B1824" t="str">
            <v>Easy Rack Vertical Cable Manager48U</v>
          </cell>
          <cell r="C1824">
            <v>0</v>
          </cell>
          <cell r="E1824" t="str">
            <v>PCS</v>
          </cell>
          <cell r="G1824" t="str">
            <v>musa</v>
          </cell>
          <cell r="AA1824" t="str">
            <v>SCHNEIDER STOCK</v>
          </cell>
        </row>
        <row r="1825">
          <cell r="A1825" t="str">
            <v>AR3307G</v>
          </cell>
          <cell r="B1825" t="str">
            <v>Netshelter SX 48U/600mm/1200mm Enclosure with Roof
and Sides Grey RAL 7035</v>
          </cell>
          <cell r="C1825">
            <v>0</v>
          </cell>
          <cell r="E1825" t="str">
            <v>PCS</v>
          </cell>
          <cell r="G1825" t="str">
            <v>musa</v>
          </cell>
          <cell r="AA1825" t="str">
            <v>SCHNEIDER STOCK</v>
          </cell>
        </row>
        <row r="1826">
          <cell r="A1826" t="str">
            <v>C40N42D400</v>
          </cell>
          <cell r="C1826">
            <v>0</v>
          </cell>
          <cell r="E1826" t="str">
            <v>PCS</v>
          </cell>
          <cell r="G1826" t="str">
            <v>musa</v>
          </cell>
          <cell r="AA1826" t="str">
            <v>SCHNEIDER STOCK</v>
          </cell>
        </row>
        <row r="1827">
          <cell r="A1827" t="str">
            <v>C63H32D630</v>
          </cell>
          <cell r="C1827">
            <v>0</v>
          </cell>
          <cell r="E1827" t="str">
            <v>PCS</v>
          </cell>
          <cell r="G1827" t="str">
            <v>musa</v>
          </cell>
          <cell r="AA1827" t="str">
            <v>SCHNEIDER STOCK</v>
          </cell>
        </row>
        <row r="1828">
          <cell r="A1828" t="str">
            <v>A9F94210</v>
          </cell>
          <cell r="C1828">
            <v>0</v>
          </cell>
          <cell r="E1828" t="str">
            <v>PCS</v>
          </cell>
          <cell r="G1828" t="str">
            <v>musa</v>
          </cell>
          <cell r="AA1828" t="str">
            <v>SCHNEIDER STOCK</v>
          </cell>
        </row>
        <row r="1829">
          <cell r="A1829" t="str">
            <v>A9V12425</v>
          </cell>
          <cell r="C1829">
            <v>0</v>
          </cell>
          <cell r="E1829" t="str">
            <v>PCS</v>
          </cell>
          <cell r="G1829" t="str">
            <v>musa</v>
          </cell>
          <cell r="AA1829" t="str">
            <v>SCHNEIDER STOCK</v>
          </cell>
        </row>
        <row r="1830">
          <cell r="A1830" t="str">
            <v>A9V12263</v>
          </cell>
          <cell r="C1830">
            <v>0</v>
          </cell>
          <cell r="E1830" t="str">
            <v>PCS</v>
          </cell>
          <cell r="G1830" t="str">
            <v>musa</v>
          </cell>
          <cell r="AA1830" t="str">
            <v>SCHNEIDER STOCK</v>
          </cell>
        </row>
        <row r="1831">
          <cell r="A1831" t="str">
            <v>C10F3MA100</v>
          </cell>
          <cell r="C1831">
            <v>0</v>
          </cell>
          <cell r="E1831" t="str">
            <v>PCS</v>
          </cell>
          <cell r="G1831" t="str">
            <v>musa</v>
          </cell>
          <cell r="AA1831" t="str">
            <v>SCHNEIDER STOCK</v>
          </cell>
        </row>
        <row r="1832">
          <cell r="A1832" t="str">
            <v>LR9G115</v>
          </cell>
          <cell r="C1832">
            <v>0</v>
          </cell>
          <cell r="E1832" t="str">
            <v>PCS</v>
          </cell>
          <cell r="G1832" t="str">
            <v>musa</v>
          </cell>
          <cell r="AA1832" t="str">
            <v>SCHNEIDER STOCK</v>
          </cell>
        </row>
        <row r="1833">
          <cell r="A1833" t="str">
            <v>C10F4TM063C</v>
          </cell>
          <cell r="C1833">
            <v>0</v>
          </cell>
          <cell r="E1833" t="str">
            <v>PCS</v>
          </cell>
          <cell r="G1833" t="str">
            <v>musa</v>
          </cell>
          <cell r="AA1833" t="str">
            <v>SCHNEIDER STOCK</v>
          </cell>
        </row>
        <row r="1834">
          <cell r="A1834" t="str">
            <v>LAD4CM</v>
          </cell>
          <cell r="C1834">
            <v>40</v>
          </cell>
          <cell r="E1834" t="str">
            <v>PCS</v>
          </cell>
          <cell r="G1834" t="str">
            <v>musa</v>
          </cell>
          <cell r="AA1834" t="str">
            <v>SCHNEIDER STOCK</v>
          </cell>
        </row>
        <row r="1835">
          <cell r="A1835" t="str">
            <v>GV2L14</v>
          </cell>
          <cell r="C1835">
            <v>6</v>
          </cell>
          <cell r="E1835" t="str">
            <v>PCS</v>
          </cell>
          <cell r="G1835" t="str">
            <v>musa</v>
          </cell>
          <cell r="AA1835" t="str">
            <v>SCHNEIDER STOCK</v>
          </cell>
        </row>
        <row r="1836">
          <cell r="A1836" t="str">
            <v>GV2L10</v>
          </cell>
          <cell r="C1836">
            <v>0</v>
          </cell>
          <cell r="E1836" t="str">
            <v>PCS</v>
          </cell>
          <cell r="G1836" t="str">
            <v>musa</v>
          </cell>
          <cell r="AA1836" t="str">
            <v>SCHNEIDER STOCK</v>
          </cell>
        </row>
        <row r="1837">
          <cell r="A1837" t="str">
            <v>GV2P21</v>
          </cell>
          <cell r="C1837">
            <v>0</v>
          </cell>
          <cell r="E1837" t="str">
            <v>PCS</v>
          </cell>
          <cell r="G1837" t="str">
            <v>musa</v>
          </cell>
          <cell r="AA1837" t="str">
            <v>SCHNEIDER STOCK</v>
          </cell>
        </row>
        <row r="1838">
          <cell r="A1838" t="str">
            <v>A9V12225</v>
          </cell>
          <cell r="C1838">
            <v>0</v>
          </cell>
          <cell r="E1838" t="str">
            <v>PCS</v>
          </cell>
          <cell r="G1838" t="str">
            <v>musa</v>
          </cell>
          <cell r="AA1838" t="str">
            <v>SCHNEIDER STOCK</v>
          </cell>
        </row>
        <row r="1839">
          <cell r="A1839" t="str">
            <v>GC4040M6</v>
          </cell>
          <cell r="C1839">
            <v>0</v>
          </cell>
          <cell r="E1839" t="str">
            <v>PCS</v>
          </cell>
          <cell r="G1839" t="str">
            <v>musa</v>
          </cell>
          <cell r="AA1839" t="str">
            <v>SCHNEIDER STOCK</v>
          </cell>
        </row>
        <row r="1840">
          <cell r="A1840" t="str">
            <v>C16N4TM125C</v>
          </cell>
          <cell r="C1840">
            <v>0</v>
          </cell>
          <cell r="E1840" t="str">
            <v>PCS</v>
          </cell>
          <cell r="G1840" t="str">
            <v>musa</v>
          </cell>
          <cell r="AA1840" t="str">
            <v>SCHNEIDER STOCK</v>
          </cell>
        </row>
        <row r="1841">
          <cell r="A1841" t="str">
            <v>A9F54332</v>
          </cell>
          <cell r="C1841">
            <v>0</v>
          </cell>
          <cell r="E1841" t="str">
            <v>PCS</v>
          </cell>
          <cell r="G1841" t="str">
            <v>musa</v>
          </cell>
          <cell r="AA1841" t="str">
            <v>SCHNEIDER STOCK</v>
          </cell>
        </row>
        <row r="1842">
          <cell r="A1842" t="str">
            <v>A9F54350</v>
          </cell>
          <cell r="C1842">
            <v>0</v>
          </cell>
          <cell r="E1842" t="str">
            <v>PCS</v>
          </cell>
          <cell r="G1842" t="str">
            <v>musa</v>
          </cell>
          <cell r="AA1842" t="str">
            <v>SCHNEIDER STOCK</v>
          </cell>
        </row>
        <row r="1843">
          <cell r="A1843" t="str">
            <v>A9F94110</v>
          </cell>
          <cell r="C1843">
            <v>0</v>
          </cell>
          <cell r="E1843" t="str">
            <v>PCS</v>
          </cell>
          <cell r="G1843" t="str">
            <v>musa</v>
          </cell>
          <cell r="AA1843" t="str">
            <v>SCHNEIDER STOCK</v>
          </cell>
        </row>
        <row r="1844">
          <cell r="A1844" t="str">
            <v>A9L20601</v>
          </cell>
          <cell r="C1844">
            <v>0</v>
          </cell>
          <cell r="E1844" t="str">
            <v>PCS</v>
          </cell>
          <cell r="G1844" t="str">
            <v>musa</v>
          </cell>
          <cell r="AA1844" t="str">
            <v>SCHNEIDER STOCK</v>
          </cell>
        </row>
        <row r="1845">
          <cell r="A1845" t="str">
            <v>C10N4TM080C</v>
          </cell>
          <cell r="C1845">
            <v>0</v>
          </cell>
          <cell r="E1845" t="str">
            <v>PCS</v>
          </cell>
          <cell r="G1845" t="str">
            <v>musa</v>
          </cell>
          <cell r="AA1845" t="str">
            <v>SCHNEIDER STOCK</v>
          </cell>
        </row>
        <row r="1846">
          <cell r="A1846" t="str">
            <v>C25N4TM200C</v>
          </cell>
          <cell r="C1846">
            <v>0</v>
          </cell>
          <cell r="E1846" t="str">
            <v>PCS</v>
          </cell>
          <cell r="G1846" t="str">
            <v>musa</v>
          </cell>
          <cell r="AA1846" t="str">
            <v>SCHNEIDER STOCK</v>
          </cell>
        </row>
        <row r="1847">
          <cell r="A1847" t="str">
            <v>C40H32D400</v>
          </cell>
          <cell r="C1847">
            <v>0</v>
          </cell>
          <cell r="E1847" t="str">
            <v>PCS</v>
          </cell>
          <cell r="G1847" t="str">
            <v>musa</v>
          </cell>
          <cell r="AA1847" t="str">
            <v>SCHNEIDER STOCK</v>
          </cell>
        </row>
        <row r="1848">
          <cell r="A1848" t="str">
            <v>BATTSWL3300YU</v>
          </cell>
          <cell r="B1848" t="str">
            <v>SWL3300 Yuasa VRLA 12V Battery</v>
          </cell>
          <cell r="C1848">
            <v>0</v>
          </cell>
          <cell r="E1848" t="str">
            <v>PCS</v>
          </cell>
          <cell r="G1848" t="str">
            <v>musa</v>
          </cell>
          <cell r="AA1848" t="str">
            <v>SCHNEIDER STOCK</v>
          </cell>
        </row>
        <row r="1849">
          <cell r="A1849" t="str">
            <v>AR109SH6</v>
          </cell>
          <cell r="B1849" t="str">
            <v>APC NetShelter WX 9U Single Hinged Wall-mount Enclosure 600mm Deep</v>
          </cell>
          <cell r="C1849">
            <v>0</v>
          </cell>
          <cell r="E1849" t="str">
            <v>PCS</v>
          </cell>
          <cell r="G1849" t="str">
            <v>musa</v>
          </cell>
          <cell r="AA1849" t="str">
            <v>SCHNEIDER STOCK</v>
          </cell>
        </row>
        <row r="1850">
          <cell r="A1850" t="str">
            <v>SRT010</v>
          </cell>
          <cell r="B1850" t="str">
            <v>APC Smart-UPS SRT 15ft Extension Cable for 96VDC External Battery Packs 3000VA UPS</v>
          </cell>
          <cell r="C1850">
            <v>0</v>
          </cell>
          <cell r="E1850" t="str">
            <v>PCS</v>
          </cell>
          <cell r="G1850" t="str">
            <v>musa</v>
          </cell>
          <cell r="AA1850" t="str">
            <v>SCHNEIDER STOCK</v>
          </cell>
        </row>
        <row r="1851">
          <cell r="A1851" t="str">
            <v>E8331RJS4_DG</v>
          </cell>
          <cell r="B1851" t="str">
            <v>1G TEL SOCKET SHUTTERED WALLPLATE DG</v>
          </cell>
          <cell r="C1851">
            <v>0</v>
          </cell>
          <cell r="E1851" t="str">
            <v>PCS</v>
          </cell>
          <cell r="G1851" t="str">
            <v>musa</v>
          </cell>
          <cell r="AA1851" t="str">
            <v>SCHNEIDER STOCK</v>
          </cell>
        </row>
        <row r="1852">
          <cell r="A1852" t="str">
            <v>E8331BPL1_DG</v>
          </cell>
          <cell r="B1852" t="str">
            <v>10A 250V 1G BP Sw, DG</v>
          </cell>
          <cell r="C1852">
            <v>0</v>
          </cell>
          <cell r="E1852" t="str">
            <v>PCS</v>
          </cell>
          <cell r="G1852" t="str">
            <v>musa</v>
          </cell>
          <cell r="AA1852" t="str">
            <v>SCHNEIDER STOCK</v>
          </cell>
        </row>
        <row r="1853">
          <cell r="A1853" t="str">
            <v>E8331D45N_DG</v>
          </cell>
          <cell r="B1853" t="str">
            <v>45A 250V 1G DP Sw w LED, DG</v>
          </cell>
          <cell r="C1853">
            <v>0</v>
          </cell>
          <cell r="E1853" t="str">
            <v>PCS</v>
          </cell>
          <cell r="G1853" t="str">
            <v>musa</v>
          </cell>
          <cell r="AA1853" t="str">
            <v>SCHNEIDER STOCK</v>
          </cell>
        </row>
        <row r="1854">
          <cell r="A1854" t="str">
            <v>AP8858</v>
          </cell>
          <cell r="B1854" t="str">
            <v xml:space="preserve">Rack PDU 2G Metered ZeroU 20A/208V 16A/230V (18) C13 &amp; (2) C19
</v>
          </cell>
          <cell r="C1854">
            <v>1</v>
          </cell>
          <cell r="E1854" t="str">
            <v>PCS</v>
          </cell>
          <cell r="G1854" t="str">
            <v>musa</v>
          </cell>
          <cell r="AA1854" t="str">
            <v>SCHNEIDER STOCK</v>
          </cell>
        </row>
        <row r="1855">
          <cell r="A1855" t="str">
            <v>C160N320FM</v>
          </cell>
          <cell r="B1855" t="str">
            <v>NS1600N 50kA 3P 1600A FXD Man. 2.0</v>
          </cell>
          <cell r="C1855">
            <v>0</v>
          </cell>
          <cell r="E1855" t="str">
            <v>PCS</v>
          </cell>
          <cell r="G1855" t="str">
            <v>musa</v>
          </cell>
          <cell r="AA1855" t="str">
            <v>SCHNEIDER STOCK</v>
          </cell>
        </row>
        <row r="1856">
          <cell r="A1856" t="str">
            <v>C125N320FM</v>
          </cell>
          <cell r="B1856" t="str">
            <v>NS1250N 50kA 3P 1250A FXD Man. 2.0</v>
          </cell>
          <cell r="C1856">
            <v>0</v>
          </cell>
          <cell r="E1856" t="str">
            <v>PCS</v>
          </cell>
          <cell r="G1856" t="str">
            <v>musa</v>
          </cell>
          <cell r="AA1856" t="str">
            <v>SCHNEIDER STOCK</v>
          </cell>
        </row>
        <row r="1857">
          <cell r="A1857" t="str">
            <v>GV2P07</v>
          </cell>
          <cell r="B1857" t="str">
            <v>MOTOR CIRCUIT BREAKER</v>
          </cell>
          <cell r="C1857">
            <v>0</v>
          </cell>
          <cell r="E1857" t="str">
            <v>PCS</v>
          </cell>
          <cell r="G1857" t="str">
            <v>musa</v>
          </cell>
          <cell r="AA1857" t="str">
            <v>SCHNEIDER STOCK</v>
          </cell>
        </row>
        <row r="1858">
          <cell r="A1858" t="str">
            <v>C10F4TM025C</v>
          </cell>
          <cell r="B1858" t="str">
            <v>NSX100F 36kA AC 4P4D 25A TMD 50 °C</v>
          </cell>
          <cell r="C1858">
            <v>0</v>
          </cell>
          <cell r="E1858" t="str">
            <v>PCS</v>
          </cell>
          <cell r="G1858" t="str">
            <v>musa</v>
          </cell>
          <cell r="AA1858" t="str">
            <v>SCHNEIDER STOCK</v>
          </cell>
        </row>
        <row r="1859">
          <cell r="A1859" t="str">
            <v>C10N4TM032C</v>
          </cell>
          <cell r="B1859" t="str">
            <v>NSX100N 50kA AC 4P4D 32A TMD 50 °C</v>
          </cell>
          <cell r="C1859">
            <v>0</v>
          </cell>
          <cell r="E1859" t="str">
            <v>PCS</v>
          </cell>
          <cell r="G1859" t="str">
            <v>musa</v>
          </cell>
          <cell r="AA1859" t="str">
            <v>SCHNEIDER STOCK</v>
          </cell>
        </row>
        <row r="1860">
          <cell r="A1860" t="str">
            <v>C10F3MA050</v>
          </cell>
          <cell r="B1860" t="str">
            <v>NSX100F 36kA AC 3P3D 50A MA</v>
          </cell>
          <cell r="C1860">
            <v>0</v>
          </cell>
          <cell r="E1860" t="str">
            <v>PCS</v>
          </cell>
          <cell r="G1860" t="str">
            <v>musa</v>
          </cell>
          <cell r="AA1860" t="str">
            <v>SCHNEIDER STOCK</v>
          </cell>
        </row>
        <row r="1861">
          <cell r="A1861" t="str">
            <v>AR106</v>
          </cell>
          <cell r="B1861" t="str">
            <v>NETSHELTER WX 6U WALL MOUNT CABINET</v>
          </cell>
          <cell r="C1861">
            <v>0</v>
          </cell>
          <cell r="E1861" t="str">
            <v>PCS</v>
          </cell>
          <cell r="G1861" t="str">
            <v>musa</v>
          </cell>
          <cell r="AA1861" t="str">
            <v>SCHNEIDER STOCK</v>
          </cell>
        </row>
        <row r="1862">
          <cell r="A1862" t="str">
            <v>AP9505I</v>
          </cell>
          <cell r="B1862" t="str">
            <v>POWER SUPPLY UNIV 24VDC OUTPUT</v>
          </cell>
          <cell r="C1862">
            <v>10</v>
          </cell>
          <cell r="E1862" t="str">
            <v>PCS</v>
          </cell>
          <cell r="G1862" t="str">
            <v>musa</v>
          </cell>
          <cell r="AA1862" t="str">
            <v>SCHNEIDER STOCK</v>
          </cell>
        </row>
        <row r="1863">
          <cell r="A1863" t="str">
            <v>SRV3KRIRK</v>
          </cell>
          <cell r="B1863" t="str">
            <v>APC Easy UPS SRV RM 3000VA 230V with RailKit Consisting of 1 x SRV3KRI 1 x SRVRK1</v>
          </cell>
          <cell r="C1863">
            <v>1</v>
          </cell>
          <cell r="E1863" t="str">
            <v>PCS</v>
          </cell>
          <cell r="G1863" t="str">
            <v>musa</v>
          </cell>
          <cell r="AA1863" t="str">
            <v>SCHNEIDER STOCK</v>
          </cell>
        </row>
        <row r="1864">
          <cell r="A1864" t="str">
            <v>47353</v>
          </cell>
          <cell r="B1864" t="str">
            <v>closing coil XF 200 to 250 V DC and AC</v>
          </cell>
          <cell r="C1864">
            <v>0</v>
          </cell>
          <cell r="E1864" t="str">
            <v>PCS</v>
          </cell>
          <cell r="G1864" t="str">
            <v>musa</v>
          </cell>
          <cell r="AA1864" t="str">
            <v>SCHNEIDER STOCK</v>
          </cell>
        </row>
        <row r="1865">
          <cell r="A1865" t="str">
            <v>47363</v>
          </cell>
          <cell r="B1865" t="str">
            <v>voltage release MX 200 to 250 V DC and</v>
          </cell>
          <cell r="C1865">
            <v>0</v>
          </cell>
          <cell r="E1865" t="str">
            <v>PCS</v>
          </cell>
          <cell r="G1865" t="str">
            <v>musa</v>
          </cell>
          <cell r="AA1865" t="str">
            <v>SCHNEIDER STOCK</v>
          </cell>
        </row>
        <row r="1866">
          <cell r="A1866" t="str">
            <v>EVA2PBS1</v>
          </cell>
          <cell r="B1866" t="str">
            <v>Pedestal for Charger pro</v>
          </cell>
          <cell r="C1866">
            <v>1</v>
          </cell>
          <cell r="E1866" t="str">
            <v>PCS</v>
          </cell>
          <cell r="G1866" t="str">
            <v>musa</v>
          </cell>
          <cell r="AA1866" t="str">
            <v>SCHNEIDER STOCK</v>
          </cell>
        </row>
        <row r="1867">
          <cell r="A1867" t="str">
            <v>EVB4S22NC0MG</v>
          </cell>
          <cell r="B1867" t="str">
            <v>Charge Pro 22KW Att Cable MID 4G</v>
          </cell>
          <cell r="C1867">
            <v>1</v>
          </cell>
          <cell r="E1867" t="str">
            <v>PCS</v>
          </cell>
          <cell r="G1867" t="str">
            <v>musa</v>
          </cell>
          <cell r="AA1867" t="str">
            <v>SCHNEIDER STOCK</v>
          </cell>
        </row>
        <row r="1868">
          <cell r="A1868" t="str">
            <v>14130860</v>
          </cell>
          <cell r="B1868" t="str">
            <v>Patch Cord,DLC/PC,DLC/PC,Multi-mode,10m,A1a.2,2mm,42mm DLC,OM3 bending insensitive</v>
          </cell>
          <cell r="C1868">
            <v>2</v>
          </cell>
          <cell r="E1868" t="str">
            <v>PCS</v>
          </cell>
          <cell r="F1868" t="str">
            <v>29B</v>
          </cell>
          <cell r="G1868" t="str">
            <v>14130860</v>
          </cell>
          <cell r="AA1868" t="str">
            <v>DEMO STOCK</v>
          </cell>
        </row>
        <row r="1869">
          <cell r="A1869" t="str">
            <v>21154637</v>
          </cell>
          <cell r="B1869" t="str">
            <v>Pole mounted bracket of box camera</v>
          </cell>
          <cell r="C1869">
            <v>4</v>
          </cell>
          <cell r="E1869" t="str">
            <v>PCS</v>
          </cell>
          <cell r="F1869" t="str">
            <v>14B</v>
          </cell>
          <cell r="G1869" t="str">
            <v>21154637</v>
          </cell>
          <cell r="AA1869" t="str">
            <v>DEMO STOCK</v>
          </cell>
        </row>
        <row r="1870">
          <cell r="A1870" t="str">
            <v>21154639</v>
          </cell>
          <cell r="B1870" t="str">
            <v>Universal coupling bracket</v>
          </cell>
          <cell r="C1870">
            <v>2</v>
          </cell>
          <cell r="E1870" t="str">
            <v>PCS</v>
          </cell>
          <cell r="F1870" t="str">
            <v>14B</v>
          </cell>
          <cell r="G1870" t="str">
            <v>21154639</v>
          </cell>
          <cell r="AA1870" t="str">
            <v>DEMO STOCK</v>
          </cell>
        </row>
        <row r="1871">
          <cell r="A1871" t="str">
            <v>21240477</v>
          </cell>
          <cell r="B1871" t="str">
            <v>250mm*180mm*1Uequipment front mounting ear(1set)</v>
          </cell>
          <cell r="C1871">
            <v>15</v>
          </cell>
          <cell r="E1871" t="str">
            <v>PCS</v>
          </cell>
          <cell r="F1871" t="str">
            <v>12B</v>
          </cell>
          <cell r="G1871" t="str">
            <v>21240477</v>
          </cell>
          <cell r="AA1871" t="str">
            <v>DEMO STOCK</v>
          </cell>
        </row>
        <row r="1872">
          <cell r="A1872" t="str">
            <v>21242246</v>
          </cell>
          <cell r="B1872" t="str">
            <v>Extension Guide Rail</v>
          </cell>
          <cell r="C1872">
            <v>21</v>
          </cell>
          <cell r="E1872" t="str">
            <v>PCS</v>
          </cell>
          <cell r="F1872" t="str">
            <v>12B</v>
          </cell>
          <cell r="G1872" t="str">
            <v>21242246</v>
          </cell>
          <cell r="AA1872" t="str">
            <v>DEMO STOCK</v>
          </cell>
        </row>
        <row r="1873">
          <cell r="A1873" t="str">
            <v>48010288</v>
          </cell>
          <cell r="B1873" t="str">
            <v>Camera,C/CS Lens,12MP,20mm,C/CS,1" F1.4</v>
          </cell>
          <cell r="C1873">
            <v>1</v>
          </cell>
          <cell r="E1873" t="str">
            <v>PCS</v>
          </cell>
          <cell r="F1873" t="str">
            <v>14B</v>
          </cell>
          <cell r="G1873" t="str">
            <v>48010288</v>
          </cell>
          <cell r="AA1873" t="str">
            <v>DEMO STOCK</v>
          </cell>
        </row>
        <row r="1874">
          <cell r="A1874" t="str">
            <v>50010480</v>
          </cell>
          <cell r="B1874" t="str">
            <v>AR617VW, 1*GE COMBO WAN, 4*GE LAN, 1*VDSL2, 2*FXS, 1*USB 2.0, Wi-Fi 2.4G+5G</v>
          </cell>
          <cell r="C1874">
            <v>1</v>
          </cell>
          <cell r="E1874" t="str">
            <v>PCS</v>
          </cell>
          <cell r="F1874" t="str">
            <v>15B</v>
          </cell>
          <cell r="G1874" t="str">
            <v>50010480</v>
          </cell>
          <cell r="AA1874" t="str">
            <v>DEMO STOCK</v>
          </cell>
        </row>
        <row r="1875">
          <cell r="A1875" t="str">
            <v>50010481</v>
          </cell>
          <cell r="B1875" t="str">
            <v>AR611W, 1*GE COMBO WAN, 4*GE LAN, 1*USB 2.0, Wi-Fi 2.4G+5G</v>
          </cell>
          <cell r="C1875">
            <v>1</v>
          </cell>
          <cell r="E1875" t="str">
            <v>PCS</v>
          </cell>
          <cell r="F1875" t="str">
            <v>15B</v>
          </cell>
          <cell r="G1875" t="str">
            <v>50010481</v>
          </cell>
          <cell r="AA1875" t="str">
            <v>DEMO STOCK</v>
          </cell>
        </row>
        <row r="1876">
          <cell r="A1876" t="str">
            <v>50010483</v>
          </cell>
          <cell r="B1876" t="str">
            <v>AR651,2*GE combo WAN,8*GE LAN,1*USB2.0,1*MIC slot</v>
          </cell>
          <cell r="C1876">
            <v>1</v>
          </cell>
          <cell r="E1876" t="str">
            <v>PCS</v>
          </cell>
          <cell r="F1876" t="str">
            <v>29A</v>
          </cell>
          <cell r="G1876" t="str">
            <v>50010483</v>
          </cell>
          <cell r="AA1876" t="str">
            <v>DEMO STOCK</v>
          </cell>
        </row>
        <row r="1877">
          <cell r="A1877" t="str">
            <v>98010922</v>
          </cell>
          <cell r="B1877" t="str">
            <v>S5735-L12P4S-A (12*10/100/1000BASE-T ports, 4*GE SFP ports, PoE+, AC power)</v>
          </cell>
          <cell r="C1877">
            <v>4</v>
          </cell>
          <cell r="E1877" t="str">
            <v>PCS</v>
          </cell>
          <cell r="F1877" t="str">
            <v>27B</v>
          </cell>
          <cell r="G1877" t="str">
            <v>98010922</v>
          </cell>
          <cell r="AA1877" t="str">
            <v>DEMO STOCK</v>
          </cell>
        </row>
        <row r="1878">
          <cell r="A1878" t="str">
            <v>98010925</v>
          </cell>
          <cell r="B1878" t="str">
            <v>S5735S-L24P4S-A (24*10/100/1000BASE-T ports, 4*GE SFP ports, PoE+, AC power)</v>
          </cell>
          <cell r="C1878">
            <v>8</v>
          </cell>
          <cell r="E1878" t="str">
            <v>PCS</v>
          </cell>
          <cell r="F1878" t="str">
            <v>29A</v>
          </cell>
          <cell r="G1878" t="str">
            <v>98010925</v>
          </cell>
          <cell r="AA1878" t="str">
            <v>DEMO STOCK</v>
          </cell>
        </row>
        <row r="1879">
          <cell r="A1879" t="str">
            <v>98061227</v>
          </cell>
          <cell r="B1879" t="str">
            <v>Up to 16-ch video access, storage, and forwarding,16-ch 1080p decoding,2*HDMI</v>
          </cell>
          <cell r="C1879">
            <v>6</v>
          </cell>
          <cell r="E1879" t="str">
            <v>PCS</v>
          </cell>
          <cell r="F1879" t="str">
            <v>27C</v>
          </cell>
          <cell r="G1879" t="str">
            <v>98061227</v>
          </cell>
          <cell r="AA1879" t="str">
            <v>DEMO STOCK</v>
          </cell>
        </row>
        <row r="1880">
          <cell r="A1880" t="str">
            <v>98061229</v>
          </cell>
          <cell r="B1880" t="str">
            <v>Up to 64-ch video access, storage, and forwarding,4/16-ch 1080p decoding,2*HDMI</v>
          </cell>
          <cell r="C1880">
            <v>4</v>
          </cell>
          <cell r="E1880" t="str">
            <v>PCS</v>
          </cell>
          <cell r="F1880" t="str">
            <v>27C</v>
          </cell>
          <cell r="G1880" t="str">
            <v>98061229</v>
          </cell>
          <cell r="AA1880" t="str">
            <v>DEMO STOCK</v>
          </cell>
        </row>
        <row r="1881">
          <cell r="A1881" t="str">
            <v>98061230</v>
          </cell>
          <cell r="B1881" t="str">
            <v>Up to 16-ch video access, storage, and forwarding,16-ch 1080p decoding,2*HDMI</v>
          </cell>
          <cell r="C1881">
            <v>2</v>
          </cell>
          <cell r="E1881" t="str">
            <v>PCS</v>
          </cell>
          <cell r="F1881" t="str">
            <v>27A</v>
          </cell>
          <cell r="G1881" t="str">
            <v>98061230</v>
          </cell>
          <cell r="AA1881" t="str">
            <v>DEMO STOCK</v>
          </cell>
        </row>
        <row r="1882">
          <cell r="A1882" t="str">
            <v>98061233</v>
          </cell>
          <cell r="B1882" t="str">
            <v>Up to 32-ch video access, storage, and forwarding,16-ch 1080p decoding,2*HDMI</v>
          </cell>
          <cell r="C1882">
            <v>1</v>
          </cell>
          <cell r="E1882" t="str">
            <v>PCS</v>
          </cell>
          <cell r="F1882" t="str">
            <v>27A</v>
          </cell>
          <cell r="G1882" t="str">
            <v>98061233</v>
          </cell>
          <cell r="AA1882" t="str">
            <v>DEMO STOCK</v>
          </cell>
        </row>
        <row r="1883">
          <cell r="A1883" t="str">
            <v>02004374</v>
          </cell>
          <cell r="B1883" t="str">
            <v>Fusion Node(2*24C 64-bit CPU,2.2GHz,256GB Memory,960GB OS,4xGE+2x10GE,4U/36 HDD Slots,up to 4 T4 GPUs/Ascend Cards,1+1 Power Supply,4 Fans,With Video Management,Analysis,Search SW)</v>
          </cell>
          <cell r="C1883">
            <v>1</v>
          </cell>
          <cell r="E1883" t="str">
            <v>PCS</v>
          </cell>
          <cell r="F1883" t="str">
            <v>29C</v>
          </cell>
          <cell r="G1883" t="str">
            <v>2004374</v>
          </cell>
          <cell r="AA1883" t="str">
            <v>DEMO STOCK</v>
          </cell>
        </row>
        <row r="1884">
          <cell r="A1884" t="str">
            <v>02115641</v>
          </cell>
          <cell r="B1884" t="str">
            <v>AR6280 integrated chassis, 1*SRU slot, 4*SIC slot, 2*WSIC slot, 2*XSIC slot, 2*power slot</v>
          </cell>
          <cell r="C1884">
            <v>1</v>
          </cell>
          <cell r="E1884" t="str">
            <v>PCS</v>
          </cell>
          <cell r="F1884" t="str">
            <v>27A</v>
          </cell>
          <cell r="G1884" t="str">
            <v>2115641</v>
          </cell>
          <cell r="AA1884" t="str">
            <v>DEMO STOCK</v>
          </cell>
        </row>
        <row r="1885">
          <cell r="A1885" t="str">
            <v>02131212</v>
          </cell>
          <cell r="B1885" t="str">
            <v>350W AC Power Module(Silver)</v>
          </cell>
          <cell r="C1885">
            <v>1</v>
          </cell>
          <cell r="E1885" t="str">
            <v>PCS</v>
          </cell>
          <cell r="F1885" t="str">
            <v>12A, 27A</v>
          </cell>
          <cell r="G1885" t="str">
            <v>2131212</v>
          </cell>
          <cell r="AA1885" t="str">
            <v>DEMO STOCK</v>
          </cell>
        </row>
        <row r="1886">
          <cell r="A1886" t="str">
            <v>02170469</v>
          </cell>
          <cell r="B1886" t="str">
            <v>Media Transfer Unit,IdeaShare-USB,3840*2160,1.5W,5V,IdeaShare Key</v>
          </cell>
          <cell r="C1886">
            <v>13</v>
          </cell>
          <cell r="E1886" t="str">
            <v>PCS</v>
          </cell>
          <cell r="F1886" t="str">
            <v>15A</v>
          </cell>
          <cell r="G1886" t="str">
            <v>2170469</v>
          </cell>
          <cell r="AA1886" t="str">
            <v>DEMO STOCK</v>
          </cell>
        </row>
        <row r="1887">
          <cell r="A1887" t="str">
            <v>02220935</v>
          </cell>
          <cell r="B1887" t="str">
            <v>Adapter Power-56V/1.07A-Desktop-60W-CoC V5 tier2</v>
          </cell>
          <cell r="C1887">
            <v>1</v>
          </cell>
          <cell r="E1887" t="str">
            <v>PCS</v>
          </cell>
          <cell r="F1887" t="str">
            <v>15B</v>
          </cell>
          <cell r="G1887" t="str">
            <v>2220935</v>
          </cell>
          <cell r="AA1887" t="str">
            <v>DEMO STOCK</v>
          </cell>
        </row>
        <row r="1888">
          <cell r="A1888" t="str">
            <v>02230JAC</v>
          </cell>
          <cell r="B1888" t="str">
            <v>Package of Terminal for Single Input 6mm^2 Grounding Cable(Include Backup)</v>
          </cell>
          <cell r="C1888">
            <v>2</v>
          </cell>
          <cell r="E1888" t="str">
            <v>PCS</v>
          </cell>
          <cell r="F1888" t="str">
            <v>15C</v>
          </cell>
          <cell r="G1888" t="str">
            <v>02230JAC</v>
          </cell>
          <cell r="AA1888" t="str">
            <v>DEMO STOCK</v>
          </cell>
        </row>
        <row r="1889">
          <cell r="A1889" t="str">
            <v>02310MNW</v>
          </cell>
          <cell r="B1889" t="str">
            <v>10GBase-USR Optical Transceiver,SFP+,10G,Multi-mode Module(850nm,0.1km,LC)</v>
          </cell>
          <cell r="C1889">
            <v>20</v>
          </cell>
          <cell r="E1889" t="str">
            <v>PCS</v>
          </cell>
          <cell r="F1889" t="str">
            <v>29A</v>
          </cell>
          <cell r="G1889" t="str">
            <v>02310MNW</v>
          </cell>
          <cell r="AA1889" t="str">
            <v>DEMO STOCK</v>
          </cell>
        </row>
        <row r="1890">
          <cell r="A1890" t="str">
            <v>02310MUN</v>
          </cell>
          <cell r="B1890" t="str">
            <v>SFP+,10G,High Speed Direct-attach Cables,1m,SFP+20M,CC2P0.254B(S),SFP+20M,Used indoor</v>
          </cell>
          <cell r="C1890">
            <v>20</v>
          </cell>
          <cell r="E1890" t="str">
            <v>PCS</v>
          </cell>
          <cell r="F1890" t="str">
            <v>29A</v>
          </cell>
          <cell r="G1890" t="str">
            <v>02310MUN</v>
          </cell>
          <cell r="AA1890" t="str">
            <v>DEMO STOCK</v>
          </cell>
        </row>
        <row r="1891">
          <cell r="A1891" t="str">
            <v>02312DLH</v>
          </cell>
          <cell r="B1891" t="str">
            <v>SSD,240GB,SATA 6Gb/s,Read Intensive,2.5inch</v>
          </cell>
          <cell r="C1891">
            <v>0</v>
          </cell>
          <cell r="E1891" t="str">
            <v>PCS</v>
          </cell>
          <cell r="G1891" t="str">
            <v>02312DLH</v>
          </cell>
          <cell r="AA1891" t="str">
            <v>DEMO STOCK</v>
          </cell>
        </row>
        <row r="1892">
          <cell r="A1892" t="str">
            <v>02312DLK</v>
          </cell>
          <cell r="B1892" t="str">
            <v>M.2 SSD,SATA 6Gb/s-240GB,Hot-Swappable</v>
          </cell>
          <cell r="C1892">
            <v>2</v>
          </cell>
          <cell r="E1892" t="str">
            <v>PCS</v>
          </cell>
          <cell r="F1892" t="str">
            <v>29A</v>
          </cell>
          <cell r="G1892" t="str">
            <v>02312DLK</v>
          </cell>
          <cell r="AA1892" t="str">
            <v>DEMO STOCK</v>
          </cell>
        </row>
        <row r="1893">
          <cell r="A1893" t="str">
            <v>02312DUP</v>
          </cell>
          <cell r="B1893" t="str">
            <v>600W AC Power Module(Back to Front, Power panel side exhaust)</v>
          </cell>
          <cell r="C1893">
            <v>1</v>
          </cell>
          <cell r="E1893" t="str">
            <v>PCS</v>
          </cell>
          <cell r="F1893" t="str">
            <v>14C</v>
          </cell>
          <cell r="G1893" t="str">
            <v>02312DUP</v>
          </cell>
          <cell r="AA1893" t="str">
            <v>DEMO STOCK</v>
          </cell>
        </row>
        <row r="1894">
          <cell r="A1894" t="str">
            <v>02312FFU</v>
          </cell>
          <cell r="B1894" t="str">
            <v>600W AC Power Module(Back to Front, Power panel side exhaust)</v>
          </cell>
          <cell r="C1894">
            <v>0</v>
          </cell>
          <cell r="E1894" t="str">
            <v>PCS</v>
          </cell>
          <cell r="G1894" t="str">
            <v>02312FFU</v>
          </cell>
          <cell r="AA1894" t="str">
            <v>DEMO STOCK</v>
          </cell>
        </row>
        <row r="1895">
          <cell r="A1895" t="str">
            <v>02312FYH</v>
          </cell>
          <cell r="B1895" t="str">
            <v>8TB Disk Dedicated to IVS,SATA 6Gb/s,7.2K rpm,128MB Cache,3.5-Inch(3.5-Inch Drive Bay)</v>
          </cell>
          <cell r="C1895">
            <v>4</v>
          </cell>
          <cell r="E1895" t="str">
            <v>PCS</v>
          </cell>
          <cell r="F1895" t="str">
            <v>29C</v>
          </cell>
          <cell r="G1895" t="str">
            <v>02312FYH</v>
          </cell>
          <cell r="AA1895" t="str">
            <v>DEMO STOCK</v>
          </cell>
        </row>
        <row r="1896">
          <cell r="A1896" t="str">
            <v>02312NEU</v>
          </cell>
          <cell r="B1896" t="str">
            <v>Service and Router Unit 400H, 14*10GE(SFP+), 10*GE Copper, 1*USB2.0</v>
          </cell>
          <cell r="C1896">
            <v>1</v>
          </cell>
          <cell r="E1896" t="str">
            <v>PCS</v>
          </cell>
          <cell r="F1896" t="str">
            <v>27A</v>
          </cell>
          <cell r="G1896" t="str">
            <v>02312NEU</v>
          </cell>
          <cell r="AA1896" t="str">
            <v>DEMO STOCK</v>
          </cell>
        </row>
        <row r="1897">
          <cell r="A1897" t="str">
            <v>02312NTA-001</v>
          </cell>
          <cell r="B1897" t="str">
            <v>Function Module, S5735-S8P2X-IA200G1, 220Vac Single-Phase Input, 160W Max Combined Output Power (54.5Vdc/12Vdc/24Vac), Natural Heat Dissipation</v>
          </cell>
          <cell r="C1897">
            <v>2</v>
          </cell>
          <cell r="E1897" t="str">
            <v>pcs</v>
          </cell>
          <cell r="F1897" t="str">
            <v>28C</v>
          </cell>
          <cell r="G1897" t="str">
            <v>02312NTA-001</v>
          </cell>
          <cell r="AA1897" t="str">
            <v>DEMO STOCK</v>
          </cell>
        </row>
        <row r="1898">
          <cell r="A1898" t="str">
            <v>02312RBF</v>
          </cell>
          <cell r="B1898" t="str">
            <v>HUAWEI Bar 300 Videoconferencing Endpoint(5X-1080P30)</v>
          </cell>
          <cell r="C1898">
            <v>2</v>
          </cell>
          <cell r="E1898" t="str">
            <v>PCS</v>
          </cell>
          <cell r="F1898" t="str">
            <v>27B</v>
          </cell>
          <cell r="G1898" t="str">
            <v>02312RBF</v>
          </cell>
          <cell r="AA1898" t="str">
            <v>DEMO STOCK</v>
          </cell>
        </row>
        <row r="1899">
          <cell r="A1899" t="str">
            <v>02312SJY</v>
          </cell>
          <cell r="B1899" t="str">
            <v>HUAWEI TOUCH, TOUCH</v>
          </cell>
          <cell r="C1899">
            <v>1</v>
          </cell>
          <cell r="E1899" t="str">
            <v>PCS</v>
          </cell>
          <cell r="F1899" t="str">
            <v>16C</v>
          </cell>
          <cell r="G1899" t="str">
            <v>02312SJY</v>
          </cell>
          <cell r="AA1899" t="str">
            <v>DEMO STOCK</v>
          </cell>
        </row>
        <row r="1900">
          <cell r="A1900" t="str">
            <v>02312TGP</v>
          </cell>
          <cell r="B1900" t="str">
            <v>HUAWEI Bar 300 Videoconferencing Endpoint(12X-1080P30)</v>
          </cell>
          <cell r="C1900">
            <v>2</v>
          </cell>
          <cell r="E1900" t="str">
            <v>PCS</v>
          </cell>
          <cell r="F1900" t="str">
            <v>27B</v>
          </cell>
          <cell r="G1900" t="str">
            <v>02312TGP</v>
          </cell>
          <cell r="AA1900" t="str">
            <v>DEMO STOCK</v>
          </cell>
        </row>
        <row r="1901">
          <cell r="A1901" t="str">
            <v>02131644</v>
          </cell>
          <cell r="B1901" t="str">
            <v>"AC-DC Power,-40degC,70degC,90V,290V,12.2V/5A,PAC60S12-AN"</v>
          </cell>
          <cell r="C1901">
            <v>1</v>
          </cell>
          <cell r="E1901" t="str">
            <v>PCS</v>
          </cell>
          <cell r="F1901">
            <v>0</v>
          </cell>
          <cell r="G1901" t="str">
            <v>2131644</v>
          </cell>
          <cell r="AA1901" t="str">
            <v>DEMO STOCK</v>
          </cell>
        </row>
        <row r="1902">
          <cell r="A1902" t="str">
            <v>02312YNT</v>
          </cell>
          <cell r="B1902" t="str">
            <v>HUAWEI IdeaHub 65 inch Rolling Stand</v>
          </cell>
          <cell r="C1902">
            <v>2</v>
          </cell>
          <cell r="E1902" t="str">
            <v>PCS</v>
          </cell>
          <cell r="F1902" t="str">
            <v xml:space="preserve">14A </v>
          </cell>
          <cell r="G1902" t="str">
            <v>02312YNT</v>
          </cell>
          <cell r="AA1902" t="str">
            <v>DEMO STOCK</v>
          </cell>
        </row>
        <row r="1903">
          <cell r="A1903" t="str">
            <v>02313FHE</v>
          </cell>
          <cell r="B1903" t="str">
            <v xml:space="preserve">HUAWEI IdeaHub Screen Touch Pen one box </v>
          </cell>
          <cell r="C1903">
            <v>7</v>
          </cell>
          <cell r="E1903" t="str">
            <v>PCS</v>
          </cell>
          <cell r="F1903" t="str">
            <v>14B</v>
          </cell>
          <cell r="G1903" t="str">
            <v>02313FHE</v>
          </cell>
          <cell r="AA1903" t="str">
            <v>DEMO STOCK</v>
          </cell>
        </row>
        <row r="1904">
          <cell r="A1904" t="str">
            <v>02313FMB</v>
          </cell>
          <cell r="B1904" t="str">
            <v>IdeaHub Series OPS I7,OPS(I7-8700,16G DDR4,256G SSD,4K60,windows10 SAC)</v>
          </cell>
          <cell r="C1904">
            <v>8</v>
          </cell>
          <cell r="E1904" t="str">
            <v>PCS</v>
          </cell>
          <cell r="F1904" t="str">
            <v>15B</v>
          </cell>
          <cell r="G1904" t="str">
            <v>02313FMB</v>
          </cell>
          <cell r="AA1904" t="str">
            <v>DEMO STOCK</v>
          </cell>
        </row>
        <row r="1905">
          <cell r="A1905" t="str">
            <v>02313HLR</v>
          </cell>
          <cell r="B1905" t="str">
            <v>HUAWEI IdeaHub Pro 86,HUAWEI IdeaHub(86-inch infrared screen,HD Camera,built-in microphone&amp;speaker,cable assembly)</v>
          </cell>
          <cell r="C1905">
            <v>2</v>
          </cell>
          <cell r="E1905" t="str">
            <v>PCS</v>
          </cell>
          <cell r="F1905" t="str">
            <v>Zone B</v>
          </cell>
          <cell r="G1905" t="str">
            <v>02313HLR</v>
          </cell>
          <cell r="AA1905" t="str">
            <v>DEMO STOCK</v>
          </cell>
        </row>
        <row r="1906">
          <cell r="A1906" t="str">
            <v>02313NCA</v>
          </cell>
          <cell r="B1906" t="str">
            <v>HUAWEI IdeaHub Board Pro 65,IFP-UG65-02,Intelligent Collaboration Device 65-inch infrared screen,Jade white</v>
          </cell>
          <cell r="C1906">
            <v>0</v>
          </cell>
          <cell r="E1906" t="str">
            <v>PCS</v>
          </cell>
          <cell r="G1906" t="str">
            <v>02313NCA</v>
          </cell>
          <cell r="AA1906" t="str">
            <v>DEMO STOCK</v>
          </cell>
        </row>
        <row r="1907">
          <cell r="A1907" t="str">
            <v>02315200</v>
          </cell>
          <cell r="B1907" t="str">
            <v>Optical Transceiver,eSFP,GE,Single-mode Module(1310nm,10km,LC)</v>
          </cell>
          <cell r="C1907">
            <v>14</v>
          </cell>
          <cell r="E1907" t="str">
            <v>PCS</v>
          </cell>
          <cell r="F1907" t="str">
            <v>29A, 88B</v>
          </cell>
          <cell r="G1907" t="str">
            <v>2315200</v>
          </cell>
          <cell r="AA1907" t="str">
            <v>DEMO STOCK</v>
          </cell>
        </row>
        <row r="1908">
          <cell r="A1908" t="str">
            <v>02314171</v>
          </cell>
          <cell r="B1908" t="str">
            <v>Electrical Transceiver,SFP,GE,Electrical Interface Module(100m,RJ45)</v>
          </cell>
          <cell r="C1908">
            <v>12</v>
          </cell>
          <cell r="E1908" t="str">
            <v>PCS</v>
          </cell>
          <cell r="F1908" t="str">
            <v>29A</v>
          </cell>
          <cell r="G1908" t="str">
            <v>2314171</v>
          </cell>
          <cell r="AA1908" t="str">
            <v>DEMO STOCK</v>
          </cell>
        </row>
        <row r="1909">
          <cell r="A1909" t="str">
            <v>02315204</v>
          </cell>
          <cell r="B1909" t="str">
            <v>Optical Transceiver,eSFP,GE,Multi-mode Module(850nm,0.55km,LC)</v>
          </cell>
          <cell r="C1909">
            <v>45</v>
          </cell>
          <cell r="E1909" t="str">
            <v>PCS</v>
          </cell>
          <cell r="F1909" t="str">
            <v>29A</v>
          </cell>
          <cell r="G1909" t="str">
            <v>2315204</v>
          </cell>
          <cell r="AA1909" t="str">
            <v>DEMO STOCK</v>
          </cell>
        </row>
        <row r="1910">
          <cell r="A1910" t="str">
            <v>02318170</v>
          </cell>
          <cell r="B1910" t="str">
            <v>Optical Transceiver,SFP+,10G,Single-mode Module(1310nm,10km,LC)</v>
          </cell>
          <cell r="C1910">
            <v>1</v>
          </cell>
          <cell r="E1910" t="str">
            <v>PCS</v>
          </cell>
          <cell r="F1910" t="str">
            <v>29A</v>
          </cell>
          <cell r="G1910" t="str">
            <v>2318170</v>
          </cell>
          <cell r="AA1910" t="str">
            <v>DEMO STOCK</v>
          </cell>
        </row>
        <row r="1911">
          <cell r="A1911" t="str">
            <v>02318169</v>
          </cell>
          <cell r="B1911" t="str">
            <v>Optical Transceiver,SFP+,10G,Multi-mode Module(850nm,0.3km,LC)</v>
          </cell>
          <cell r="C1911">
            <v>7</v>
          </cell>
          <cell r="E1911" t="str">
            <v>PCS</v>
          </cell>
          <cell r="F1911" t="str">
            <v>29A</v>
          </cell>
          <cell r="G1911" t="str">
            <v>2318169</v>
          </cell>
          <cell r="AA1911" t="str">
            <v>DEMO STOCK</v>
          </cell>
        </row>
        <row r="1912">
          <cell r="A1912" t="str">
            <v>02351YRY-001</v>
          </cell>
          <cell r="B1912" t="str">
            <v>USG6650E AC Host(12*GE RJ45+12*10GE SFP+ + 2*40GE QSFP+,2 AC power)</v>
          </cell>
          <cell r="C1912">
            <v>0</v>
          </cell>
          <cell r="E1912" t="str">
            <v>PCS</v>
          </cell>
          <cell r="G1912" t="str">
            <v>02351YRY-001</v>
          </cell>
          <cell r="AA1912" t="str">
            <v>DEMO STOCK</v>
          </cell>
        </row>
        <row r="1913">
          <cell r="A1913" t="str">
            <v>02352CQW</v>
          </cell>
          <cell r="B1913" t="str">
            <v>AR6120,1*GE WAN,1*GE combo WAN,1*10GE SFP+,8*GE LAN,2*USB,2*SIC</v>
          </cell>
          <cell r="C1913">
            <v>3</v>
          </cell>
          <cell r="E1913" t="str">
            <v>PCS</v>
          </cell>
          <cell r="F1913" t="str">
            <v>29A</v>
          </cell>
          <cell r="G1913" t="str">
            <v>02352CQW</v>
          </cell>
          <cell r="AA1913" t="str">
            <v>DEMO STOCK</v>
          </cell>
        </row>
        <row r="1914">
          <cell r="A1914" t="str">
            <v>02352JRT</v>
          </cell>
          <cell r="B1914" t="str">
            <v>4MP Multi-Lens Multi-Algorithm-Concurrency Camera</v>
          </cell>
          <cell r="C1914">
            <v>1</v>
          </cell>
          <cell r="E1914" t="str">
            <v>PCS</v>
          </cell>
          <cell r="F1914" t="str">
            <v>15B</v>
          </cell>
          <cell r="G1914" t="str">
            <v>02352JRT</v>
          </cell>
          <cell r="AA1914" t="str">
            <v>DEMO STOCK</v>
          </cell>
        </row>
        <row r="1915">
          <cell r="A1915" t="str">
            <v>02352UBR</v>
          </cell>
          <cell r="B1915" t="str">
            <v>AirEngine5760-10 mainframe (11ax, indoor, 2x2 dual bands, built-in smart antenna, GE, USB, BLE)</v>
          </cell>
          <cell r="C1915">
            <v>2</v>
          </cell>
          <cell r="E1915" t="str">
            <v>PCS</v>
          </cell>
          <cell r="F1915" t="str">
            <v>27A</v>
          </cell>
          <cell r="G1915" t="str">
            <v>02352UBR</v>
          </cell>
          <cell r="AA1915" t="str">
            <v>DEMO STOCK</v>
          </cell>
        </row>
        <row r="1916">
          <cell r="A1916" t="str">
            <v>02353ADA</v>
          </cell>
          <cell r="B1916" t="str">
            <v>USG6585E AC Host(2*GE WAN+8*GE Combo+2*10GE SFP+,1 AC power).</v>
          </cell>
          <cell r="C1916">
            <v>2</v>
          </cell>
          <cell r="E1916" t="str">
            <v>PCS</v>
          </cell>
          <cell r="F1916" t="str">
            <v>29A</v>
          </cell>
          <cell r="G1916" t="str">
            <v>02353ADA</v>
          </cell>
          <cell r="AA1916" t="str">
            <v>DEMO STOCK</v>
          </cell>
        </row>
        <row r="1917">
          <cell r="A1917" t="str">
            <v>02353AJS</v>
          </cell>
          <cell r="B1917" t="str">
            <v>S5732-H24S6Q (20*GE SFP ports,4*10GE SFP+ ports,6*40GE QSFP ports,without power module)</v>
          </cell>
          <cell r="C1917">
            <v>4</v>
          </cell>
          <cell r="E1917" t="str">
            <v>PCS</v>
          </cell>
          <cell r="F1917" t="str">
            <v>27B, 29A</v>
          </cell>
          <cell r="G1917" t="str">
            <v>02353AJS</v>
          </cell>
          <cell r="AA1917" t="str">
            <v>DEMO STOCK</v>
          </cell>
        </row>
        <row r="1918">
          <cell r="A1918" t="str">
            <v>02353AVW</v>
          </cell>
          <cell r="B1918" t="str">
            <v>D3020-EI-P(2.8mm) 2MP Low-Light IR Fixed Dome Camera</v>
          </cell>
          <cell r="C1918">
            <v>3</v>
          </cell>
          <cell r="E1918" t="str">
            <v>PCS</v>
          </cell>
          <cell r="F1918" t="str">
            <v>15A</v>
          </cell>
          <cell r="G1918" t="str">
            <v>02353AVW</v>
          </cell>
          <cell r="AA1918" t="str">
            <v>DEMO STOCK</v>
          </cell>
        </row>
        <row r="1919">
          <cell r="A1919" t="str">
            <v>02353AVX</v>
          </cell>
          <cell r="B1919" t="str">
            <v>D3020-EI-P(3.6mm) 2MP Low-Light IR Fixed Dome Camera</v>
          </cell>
          <cell r="C1919">
            <v>3</v>
          </cell>
          <cell r="E1919" t="str">
            <v>PCS</v>
          </cell>
          <cell r="F1919" t="str">
            <v>15A</v>
          </cell>
          <cell r="G1919" t="str">
            <v>02353AVX</v>
          </cell>
          <cell r="AA1919" t="str">
            <v>DEMO STOCK</v>
          </cell>
        </row>
        <row r="1920">
          <cell r="A1920" t="str">
            <v>02353AVY</v>
          </cell>
          <cell r="B1920" t="str">
            <v>D3020-EI-P(6mm) 2MP Low-Light IR Fixed Dome Camera</v>
          </cell>
          <cell r="C1920">
            <v>3</v>
          </cell>
          <cell r="E1920" t="str">
            <v>PCS</v>
          </cell>
          <cell r="F1920" t="str">
            <v>15A</v>
          </cell>
          <cell r="G1920" t="str">
            <v>02353AVY</v>
          </cell>
          <cell r="AA1920" t="str">
            <v>DEMO STOCK</v>
          </cell>
        </row>
        <row r="1921">
          <cell r="A1921" t="str">
            <v>02353GES</v>
          </cell>
          <cell r="B1921" t="str">
            <v>AirEngine5760-51(11ax indoor,2+4 dual bands,smart antenna,USB,IoT Slot,BLE,Optional RTU upgrade to 4+4/2+2+4/2+4+Scan)</v>
          </cell>
          <cell r="C1921">
            <v>26</v>
          </cell>
          <cell r="E1921" t="str">
            <v>PCS</v>
          </cell>
          <cell r="F1921" t="str">
            <v>28B</v>
          </cell>
          <cell r="G1921" t="str">
            <v>02353GES</v>
          </cell>
          <cell r="AA1921" t="str">
            <v>DEMO STOCK</v>
          </cell>
        </row>
        <row r="1922">
          <cell r="A1922" t="str">
            <v>02353GSF</v>
          </cell>
          <cell r="B1922" t="str">
            <v>AirEngine8760R-X1(11ax outdoor,8+8 dual bands,smart antenna,BLE,PSE)</v>
          </cell>
          <cell r="C1922">
            <v>5</v>
          </cell>
          <cell r="E1922" t="str">
            <v>PCS</v>
          </cell>
          <cell r="F1922" t="str">
            <v>14C</v>
          </cell>
          <cell r="G1922" t="str">
            <v>02353GSF</v>
          </cell>
          <cell r="AA1922" t="str">
            <v>DEMO STOCK</v>
          </cell>
        </row>
        <row r="1923">
          <cell r="A1923" t="str">
            <v>02353GSG</v>
          </cell>
          <cell r="B1923" t="str">
            <v>AirEngine8760-X1-PRO(11ax indoor,Dedicated 3rd Radio,4+12 dual bands,smart antenna,USB,IoT Slot,BLE)</v>
          </cell>
          <cell r="C1923">
            <v>7</v>
          </cell>
          <cell r="E1923" t="str">
            <v>PCS</v>
          </cell>
          <cell r="F1923" t="str">
            <v>15C</v>
          </cell>
          <cell r="G1923" t="str">
            <v>02353GSG</v>
          </cell>
          <cell r="AA1923" t="str">
            <v>DEMO STOCK</v>
          </cell>
        </row>
        <row r="1924">
          <cell r="A1924" t="str">
            <v>02353GSJ</v>
          </cell>
          <cell r="B1924" t="str">
            <v>AirEngine6760-X1(11ax indoor,4+6 dual bands,smart antenna,USB,IoT Slot,BLE,Optional RTU upgrade to 4+8/4+4+4/4+6+Scan)</v>
          </cell>
          <cell r="C1924">
            <v>14</v>
          </cell>
          <cell r="E1924" t="str">
            <v>PCS</v>
          </cell>
          <cell r="F1924" t="str">
            <v>15C</v>
          </cell>
          <cell r="G1924" t="str">
            <v>02353GSJ</v>
          </cell>
          <cell r="AA1924" t="str">
            <v>DEMO STOCK</v>
          </cell>
        </row>
        <row r="1925">
          <cell r="A1925" t="str">
            <v>02353HTP</v>
          </cell>
          <cell r="B1925" t="str">
            <v>6TB Disk Dedicated to IVS,SATA 6Gb/s,5400rpm,3.5inch</v>
          </cell>
          <cell r="C1925">
            <v>22</v>
          </cell>
          <cell r="E1925" t="str">
            <v>PCS</v>
          </cell>
          <cell r="F1925" t="str">
            <v>14B</v>
          </cell>
          <cell r="G1925" t="str">
            <v>02353HTP</v>
          </cell>
          <cell r="AA1925" t="str">
            <v>DEMO STOCK</v>
          </cell>
        </row>
        <row r="1926">
          <cell r="A1926" t="str">
            <v>02353KCM</v>
          </cell>
          <cell r="B1926" t="str">
            <v>AirEngine6760R-51(11ax outdoor,4+4 dual bands,smart antenna,BLE)</v>
          </cell>
          <cell r="C1926">
            <v>6</v>
          </cell>
          <cell r="E1926" t="str">
            <v>PCS</v>
          </cell>
          <cell r="F1926" t="str">
            <v>18C, 28BC</v>
          </cell>
          <cell r="G1926" t="str">
            <v>02353KCM</v>
          </cell>
          <cell r="AA1926" t="str">
            <v>DEMO STOCK</v>
          </cell>
        </row>
        <row r="1927">
          <cell r="A1927" t="str">
            <v>02353PGM</v>
          </cell>
          <cell r="B1927" t="str">
            <v>M3250-10-BI 2T 5MP IR AI Fixed Dome Camera</v>
          </cell>
          <cell r="C1927">
            <v>12</v>
          </cell>
          <cell r="E1927" t="str">
            <v>PCS</v>
          </cell>
          <cell r="F1927" t="str">
            <v>14A</v>
          </cell>
          <cell r="G1927" t="str">
            <v>02353PGM</v>
          </cell>
          <cell r="AA1927" t="str">
            <v>DEMO STOCK</v>
          </cell>
        </row>
        <row r="1928">
          <cell r="A1928" t="str">
            <v>02353PHX</v>
          </cell>
          <cell r="B1928" t="str">
            <v>M2141-10-EL(8-32mm) 1T 4MP Softlight AI Bullet Camera</v>
          </cell>
          <cell r="C1928">
            <v>4</v>
          </cell>
          <cell r="E1928" t="str">
            <v>PCS</v>
          </cell>
          <cell r="F1928" t="str">
            <v>14A</v>
          </cell>
          <cell r="G1928" t="str">
            <v>02353PHX</v>
          </cell>
          <cell r="AA1928" t="str">
            <v>DEMO STOCK</v>
          </cell>
        </row>
        <row r="1929">
          <cell r="A1929" t="str">
            <v>02353SJY-001</v>
          </cell>
          <cell r="B1929" t="str">
            <v>S5732-H24UM2CC 2.5&amp;10G Bundle(12*100M/1G/2.5G, 12*100M/1G/2.5G/5G/10G Ethernet ports, Optional RTU upgrade to 5/10G, 4*25GE + 2*40GE or 2*100GE, 1*expansion slot, PoE++, 1*1000W AC power)</v>
          </cell>
          <cell r="C1929">
            <v>3</v>
          </cell>
          <cell r="E1929" t="str">
            <v>PCS</v>
          </cell>
          <cell r="F1929" t="str">
            <v>29B</v>
          </cell>
          <cell r="G1929" t="str">
            <v>02353SJY-001</v>
          </cell>
          <cell r="AA1929" t="str">
            <v>DEMO STOCK</v>
          </cell>
        </row>
        <row r="1930">
          <cell r="A1930" t="str">
            <v>02353TXG</v>
          </cell>
          <cell r="B1930" t="str">
            <v>OceanStor Dorado 3000 V6(2U,Dual Ctrl,SAS,AC\240V HVDC,192GB Cache,8*1Gb ETH,8*10Gb ETH,4*(4*12Gb) SAS,25*2.5",SPE36C0225)</v>
          </cell>
          <cell r="C1930">
            <v>1</v>
          </cell>
          <cell r="E1930" t="str">
            <v>PCS</v>
          </cell>
          <cell r="F1930" t="str">
            <v>27A</v>
          </cell>
          <cell r="G1930" t="str">
            <v>02353TXG</v>
          </cell>
          <cell r="AA1930" t="str">
            <v>DEMO STOCK</v>
          </cell>
        </row>
        <row r="1931">
          <cell r="A1931" t="str">
            <v>02353VUR</v>
          </cell>
          <cell r="B1931" t="str">
            <v>AirEngine5761-11(11ax indoor,2+2 dual bands,smart antenna,USB,BLE)</v>
          </cell>
          <cell r="C1931">
            <v>7</v>
          </cell>
          <cell r="E1931" t="str">
            <v>PCS</v>
          </cell>
          <cell r="F1931" t="str">
            <v>16B</v>
          </cell>
          <cell r="G1931" t="str">
            <v>02353VUR</v>
          </cell>
          <cell r="AA1931" t="str">
            <v>DEMO STOCK</v>
          </cell>
        </row>
        <row r="1932">
          <cell r="A1932" t="str">
            <v>02353VUT</v>
          </cell>
          <cell r="B1932" t="str">
            <v>AirEngine5761-21(11ax indoor,2+4 dual bands,smart antenna,USB,BLE)</v>
          </cell>
          <cell r="C1932">
            <v>3</v>
          </cell>
          <cell r="E1932" t="str">
            <v>PCS</v>
          </cell>
          <cell r="F1932" t="str">
            <v>14C</v>
          </cell>
          <cell r="G1932" t="str">
            <v>02353VUT</v>
          </cell>
          <cell r="AA1932" t="str">
            <v>DEMO STOCK</v>
          </cell>
        </row>
        <row r="1933">
          <cell r="A1933" t="str">
            <v>02353VVC</v>
          </cell>
          <cell r="B1933" t="str">
            <v>AirEngine9700-M1 mainframe (12*GE ports, 12*10GE SFP+ ports, 2*40GE QSFP+ ports, no power)</v>
          </cell>
          <cell r="C1933">
            <v>2</v>
          </cell>
          <cell r="E1933" t="str">
            <v>PCS</v>
          </cell>
          <cell r="F1933" t="str">
            <v>14C</v>
          </cell>
          <cell r="G1933" t="str">
            <v>02353VVC</v>
          </cell>
          <cell r="AA1933" t="str">
            <v>DEMO STOCK</v>
          </cell>
        </row>
        <row r="1934">
          <cell r="A1934" t="str">
            <v>02353XBQ</v>
          </cell>
          <cell r="B1934" t="str">
            <v>AirEngine6761-21T(11ax indoor,2+2+4 tri bands,smart antenna,USB,BLE)</v>
          </cell>
          <cell r="C1934">
            <v>8</v>
          </cell>
          <cell r="E1934" t="str">
            <v>PCS</v>
          </cell>
          <cell r="F1934" t="str">
            <v>15C</v>
          </cell>
          <cell r="G1934" t="str">
            <v>02353XBQ</v>
          </cell>
          <cell r="AA1934" t="str">
            <v>DEMO STOCK</v>
          </cell>
        </row>
        <row r="1935">
          <cell r="A1935" t="str">
            <v>02354ARU</v>
          </cell>
          <cell r="B1935" t="str">
            <v>NetEngine 8000 M1C Basic Configuration (Includes M1C Chassis, Fixed Interface(16*10GE + 12*GE),2*AC Power,without Software and Document)</v>
          </cell>
          <cell r="C1935">
            <v>2</v>
          </cell>
          <cell r="E1935" t="str">
            <v>PCS</v>
          </cell>
          <cell r="F1935" t="str">
            <v>15C</v>
          </cell>
          <cell r="G1935" t="str">
            <v>02354ARU</v>
          </cell>
          <cell r="AA1935" t="str">
            <v>DEMO STOCK</v>
          </cell>
        </row>
        <row r="1936">
          <cell r="A1936" t="str">
            <v>02354MDW</v>
          </cell>
          <cell r="B1936" t="str">
            <v>3.84TB SSD SAS Disk Unit(2.5")</v>
          </cell>
          <cell r="C1936">
            <v>10</v>
          </cell>
          <cell r="E1936" t="str">
            <v>PCS</v>
          </cell>
          <cell r="F1936" t="str">
            <v>27A</v>
          </cell>
          <cell r="G1936" t="str">
            <v>02354MDW</v>
          </cell>
          <cell r="AA1936" t="str">
            <v>DEMO STOCK</v>
          </cell>
        </row>
        <row r="1937">
          <cell r="A1937" t="str">
            <v>02411377</v>
          </cell>
          <cell r="B1937" t="str">
            <v>Box Camera Bracket（IndoorOutdoor-Wall installation,load 15kg）</v>
          </cell>
          <cell r="C1937">
            <v>3</v>
          </cell>
          <cell r="E1937" t="str">
            <v>PCS</v>
          </cell>
          <cell r="F1937" t="str">
            <v>27A</v>
          </cell>
          <cell r="G1937" t="str">
            <v>2411377</v>
          </cell>
          <cell r="AA1937" t="str">
            <v>DEMO STOCK</v>
          </cell>
        </row>
        <row r="1938">
          <cell r="A1938" t="str">
            <v>02411388</v>
          </cell>
          <cell r="B1938" t="str">
            <v>Dome Bracket(Indoor/Outdoor-Wall Mounted,Load 20kg)</v>
          </cell>
          <cell r="C1938">
            <v>8</v>
          </cell>
          <cell r="E1938" t="str">
            <v>PCS</v>
          </cell>
          <cell r="F1938" t="str">
            <v>15B</v>
          </cell>
          <cell r="G1938" t="str">
            <v>2411388</v>
          </cell>
          <cell r="AA1938" t="str">
            <v>DEMO STOCK</v>
          </cell>
        </row>
        <row r="1939">
          <cell r="A1939" t="str">
            <v>02411389</v>
          </cell>
          <cell r="B1939" t="str">
            <v>Video Camera Accessories,Box and bullet Camera Bracket,Outdoor-Pole Mounted,Load 20kg,NULL,With 2pcs Loops-V1</v>
          </cell>
          <cell r="C1939">
            <v>12</v>
          </cell>
          <cell r="E1939" t="str">
            <v>PCS</v>
          </cell>
          <cell r="F1939" t="str">
            <v>14B</v>
          </cell>
          <cell r="G1939" t="str">
            <v>2411389</v>
          </cell>
          <cell r="AA1939" t="str">
            <v>DEMO STOCK</v>
          </cell>
        </row>
        <row r="1940">
          <cell r="A1940" t="str">
            <v>02411389-006</v>
          </cell>
          <cell r="B1940" t="str">
            <v>Box and bullet Camera Bracket(Outdoor-Pole installation,Load 20kg,with loops)</v>
          </cell>
          <cell r="C1940">
            <v>1</v>
          </cell>
          <cell r="E1940" t="str">
            <v>PCS</v>
          </cell>
          <cell r="F1940" t="str">
            <v>15B</v>
          </cell>
          <cell r="G1940" t="str">
            <v>02411389-006</v>
          </cell>
          <cell r="AA1940" t="str">
            <v>DEMO STOCK</v>
          </cell>
        </row>
        <row r="1941">
          <cell r="A1941" t="str">
            <v>02411389-007</v>
          </cell>
          <cell r="B1941" t="str">
            <v>Box and bullet Camera Bracket(Outdoor-Pole installation,Load 20kg,with loops)</v>
          </cell>
          <cell r="C1941">
            <v>1</v>
          </cell>
          <cell r="E1941" t="str">
            <v>PCS</v>
          </cell>
          <cell r="F1941" t="str">
            <v>15B</v>
          </cell>
          <cell r="G1941" t="str">
            <v>02411389-007</v>
          </cell>
          <cell r="AA1941" t="str">
            <v>DEMO STOCK</v>
          </cell>
        </row>
        <row r="1942">
          <cell r="A1942" t="str">
            <v>02411638</v>
          </cell>
          <cell r="B1942" t="str">
            <v>3D universal coupling</v>
          </cell>
          <cell r="C1942">
            <v>3</v>
          </cell>
          <cell r="E1942" t="str">
            <v>PCS</v>
          </cell>
          <cell r="F1942" t="str">
            <v>14B</v>
          </cell>
          <cell r="G1942" t="str">
            <v>2411638</v>
          </cell>
          <cell r="AA1942" t="str">
            <v>DEMO STOCK</v>
          </cell>
        </row>
        <row r="1943">
          <cell r="A1943" t="str">
            <v>02411638-004</v>
          </cell>
          <cell r="B1943" t="str">
            <v>3D universal coupling</v>
          </cell>
          <cell r="C1943">
            <v>2</v>
          </cell>
          <cell r="E1943" t="str">
            <v>PCS</v>
          </cell>
          <cell r="F1943" t="str">
            <v>15B</v>
          </cell>
          <cell r="G1943" t="str">
            <v>02411638-004</v>
          </cell>
          <cell r="AA1943" t="str">
            <v>DEMO STOCK</v>
          </cell>
        </row>
        <row r="1944">
          <cell r="A1944" t="str">
            <v>02411639-003</v>
          </cell>
          <cell r="B1944" t="str">
            <v>.</v>
          </cell>
          <cell r="C1944">
            <v>2</v>
          </cell>
          <cell r="E1944" t="str">
            <v>PCS</v>
          </cell>
          <cell r="F1944" t="str">
            <v>14B</v>
          </cell>
          <cell r="G1944" t="str">
            <v>02411639-003</v>
          </cell>
          <cell r="AA1944" t="str">
            <v>DEMO STOCK</v>
          </cell>
        </row>
        <row r="1945">
          <cell r="A1945" t="str">
            <v>02412815</v>
          </cell>
          <cell r="B1945" t="str">
            <v>X2391-20-T 12T 9MP Low-Light ITS AI Bullet Camera</v>
          </cell>
          <cell r="C1945">
            <v>1</v>
          </cell>
          <cell r="E1945" t="str">
            <v>PCS</v>
          </cell>
          <cell r="F1945" t="str">
            <v>14B</v>
          </cell>
          <cell r="G1945" t="str">
            <v>2412815</v>
          </cell>
          <cell r="AA1945" t="str">
            <v>DEMO STOCK</v>
          </cell>
        </row>
        <row r="1946">
          <cell r="A1946" t="str">
            <v>03050AGW</v>
          </cell>
          <cell r="B1946" t="str">
            <v>4 ports SmartIO I/O module(SFP+,16Gb FC)</v>
          </cell>
          <cell r="C1946">
            <v>2</v>
          </cell>
          <cell r="E1946" t="str">
            <v>PCS</v>
          </cell>
          <cell r="F1946" t="str">
            <v>27A</v>
          </cell>
          <cell r="G1946" t="str">
            <v>03050AGW</v>
          </cell>
          <cell r="AA1946" t="str">
            <v>DEMO STOCK</v>
          </cell>
        </row>
        <row r="1947">
          <cell r="A1947" t="str">
            <v>04044533</v>
          </cell>
          <cell r="B1947" t="str">
            <v>Power Cable, Britain AC Power Cable 250V2.5A,2.0m,PGAM,H05VVH2-F-0.75mm^2(2C),C7SF,Black</v>
          </cell>
          <cell r="C1947">
            <v>2</v>
          </cell>
          <cell r="E1947" t="str">
            <v>PCS</v>
          </cell>
          <cell r="F1947" t="str">
            <v>14A</v>
          </cell>
          <cell r="G1947" t="str">
            <v>4044533</v>
          </cell>
          <cell r="AA1947" t="str">
            <v>DEMO STOCK</v>
          </cell>
        </row>
        <row r="1948">
          <cell r="A1948" t="str">
            <v>04051125</v>
          </cell>
          <cell r="B1948" t="str">
            <v>3m-HDMI 2.0 Cable</v>
          </cell>
          <cell r="C1948">
            <v>17</v>
          </cell>
          <cell r="E1948" t="str">
            <v>PCS</v>
          </cell>
          <cell r="F1948" t="str">
            <v>29B</v>
          </cell>
          <cell r="G1948" t="str">
            <v>4051125</v>
          </cell>
          <cell r="AA1948" t="str">
            <v>DEMO STOCK</v>
          </cell>
        </row>
        <row r="1949">
          <cell r="A1949" t="str">
            <v>04053153</v>
          </cell>
          <cell r="B1949" t="str">
            <v>Power cord,Britain AC Power 250V10A,3.0m,PGAM,H05VV-F-1.0mm^2(3C),C13SF,250V,10A,Black-Only for Saudi Arabia,Split from 04040890</v>
          </cell>
          <cell r="C1949">
            <v>249</v>
          </cell>
          <cell r="E1949" t="str">
            <v>PCS</v>
          </cell>
          <cell r="F1949" t="str">
            <v>16A, 27A, Zone BC</v>
          </cell>
          <cell r="G1949" t="str">
            <v>4053153</v>
          </cell>
          <cell r="AA1949" t="str">
            <v>DEMO STOCK</v>
          </cell>
        </row>
        <row r="1950">
          <cell r="A1950" t="str">
            <v>04053158</v>
          </cell>
          <cell r="B1950" t="str">
            <v>Power cord,Europe AC Power 250V10A,1.8m,C14SM,H05VV-F-3*1.00^2,C13SF,250V,10A,Black-Only for Saudi Arabia,Split from 0405G019</v>
          </cell>
          <cell r="C1950">
            <v>8</v>
          </cell>
          <cell r="E1950" t="str">
            <v>PCS</v>
          </cell>
          <cell r="F1950" t="str">
            <v>16A, 27A</v>
          </cell>
          <cell r="G1950" t="str">
            <v>4053158</v>
          </cell>
          <cell r="AA1950" t="str">
            <v>DEMO STOCK</v>
          </cell>
        </row>
        <row r="1951">
          <cell r="A1951" t="str">
            <v>04070006</v>
          </cell>
          <cell r="B1951" t="str">
            <v>Signal Cable,Shielded Straight Through Cable,3m,MP8-II,CC4P0.5GY(S),MP8-II,FTP</v>
          </cell>
          <cell r="C1951">
            <v>14</v>
          </cell>
          <cell r="E1951" t="str">
            <v>PCS</v>
          </cell>
          <cell r="F1951" t="str">
            <v>15A</v>
          </cell>
          <cell r="G1951" t="str">
            <v>4070006</v>
          </cell>
          <cell r="AA1951" t="str">
            <v>DEMO STOCK</v>
          </cell>
        </row>
        <row r="1952">
          <cell r="A1952" t="str">
            <v>04070009</v>
          </cell>
          <cell r="B1952" t="str">
            <v>Signal Cable,Shielded Straight Through Cable,5m,MP8-II,CC4P0.5GY(S),MP8-II,FTP</v>
          </cell>
          <cell r="C1952">
            <v>3</v>
          </cell>
          <cell r="E1952" t="str">
            <v>PCS</v>
          </cell>
          <cell r="F1952" t="str">
            <v>29B</v>
          </cell>
          <cell r="G1952" t="str">
            <v>4070009</v>
          </cell>
          <cell r="AA1952" t="str">
            <v>DEMO STOCK</v>
          </cell>
        </row>
        <row r="1953">
          <cell r="A1953" t="str">
            <v>06060673</v>
          </cell>
          <cell r="B1953" t="str">
            <v>HUAWEI IdeaHub 86 inch Rolling Stand</v>
          </cell>
          <cell r="C1953">
            <v>2</v>
          </cell>
          <cell r="E1953" t="str">
            <v>PCS</v>
          </cell>
          <cell r="F1953" t="str">
            <v>28A</v>
          </cell>
          <cell r="G1953" t="str">
            <v>6060673</v>
          </cell>
          <cell r="AA1953" t="str">
            <v>DEMO STOCK</v>
          </cell>
        </row>
        <row r="1954">
          <cell r="A1954" t="str">
            <v>14130858</v>
          </cell>
          <cell r="B1954" t="str">
            <v>Patch Cord,DLC/PC,DLC/PC,Multi-mode,3m,A1a.2,2mm,42mm DLC,OM3 bending insensitive</v>
          </cell>
          <cell r="C1954">
            <v>16</v>
          </cell>
          <cell r="E1954" t="str">
            <v>PCS</v>
          </cell>
          <cell r="F1954" t="str">
            <v>16A, 27A</v>
          </cell>
          <cell r="G1954" t="str">
            <v>14130858</v>
          </cell>
          <cell r="AA1954" t="str">
            <v>DEMO STOCK</v>
          </cell>
        </row>
        <row r="1955">
          <cell r="A1955" t="str">
            <v>21154637-001</v>
          </cell>
          <cell r="B1955" t="str">
            <v>Pole mounted bracket of box camera</v>
          </cell>
          <cell r="C1955">
            <v>2</v>
          </cell>
          <cell r="E1955" t="str">
            <v>PCS</v>
          </cell>
          <cell r="F1955" t="str">
            <v>14B</v>
          </cell>
          <cell r="G1955" t="str">
            <v>21154637-001</v>
          </cell>
          <cell r="AA1955" t="str">
            <v>DEMO STOCK</v>
          </cell>
        </row>
        <row r="1956">
          <cell r="A1956" t="str">
            <v>21154639-001</v>
          </cell>
          <cell r="B1956" t="str">
            <v>Universal coupling bracket</v>
          </cell>
          <cell r="C1956">
            <v>7</v>
          </cell>
          <cell r="E1956" t="str">
            <v>PCS</v>
          </cell>
          <cell r="F1956" t="str">
            <v>14B</v>
          </cell>
          <cell r="G1956" t="str">
            <v>21154639-001</v>
          </cell>
          <cell r="AA1956" t="str">
            <v>DEMO STOCK</v>
          </cell>
        </row>
        <row r="1957">
          <cell r="A1957" t="str">
            <v>21154640-001</v>
          </cell>
          <cell r="B1957" t="str">
            <v>3D universal coupling bracket</v>
          </cell>
          <cell r="C1957">
            <v>2</v>
          </cell>
          <cell r="E1957" t="str">
            <v>PCS</v>
          </cell>
          <cell r="F1957" t="str">
            <v>14B</v>
          </cell>
          <cell r="G1957" t="str">
            <v>21154640-001</v>
          </cell>
          <cell r="AA1957" t="str">
            <v>DEMO STOCK</v>
          </cell>
        </row>
        <row r="1958">
          <cell r="A1958" t="str">
            <v>21205452</v>
          </cell>
          <cell r="B1958" t="str">
            <v>cover</v>
          </cell>
          <cell r="C1958">
            <v>5</v>
          </cell>
          <cell r="E1958" t="str">
            <v>PCS</v>
          </cell>
          <cell r="F1958" t="str">
            <v>14C</v>
          </cell>
          <cell r="G1958" t="str">
            <v>21205452</v>
          </cell>
          <cell r="AA1958" t="str">
            <v>DEMO STOCK</v>
          </cell>
        </row>
        <row r="1959">
          <cell r="A1959" t="str">
            <v>03027PYP</v>
          </cell>
          <cell r="B1959" t="str">
            <v>5G NR/LTE/WCDMA Interface Card</v>
          </cell>
          <cell r="C1959">
            <v>2</v>
          </cell>
          <cell r="E1959" t="str">
            <v>PCS</v>
          </cell>
          <cell r="F1959" t="str">
            <v>27A</v>
          </cell>
          <cell r="G1959" t="str">
            <v>03027PYP</v>
          </cell>
          <cell r="AA1959" t="str">
            <v>DEMO STOCK</v>
          </cell>
        </row>
        <row r="1960">
          <cell r="A1960" t="str">
            <v>21205453</v>
          </cell>
          <cell r="B1960" t="str">
            <v>cover</v>
          </cell>
          <cell r="C1960">
            <v>5</v>
          </cell>
          <cell r="E1960" t="str">
            <v>PCS</v>
          </cell>
          <cell r="F1960" t="str">
            <v>14C</v>
          </cell>
          <cell r="G1960" t="str">
            <v>21205453</v>
          </cell>
          <cell r="AA1960" t="str">
            <v>DEMO STOCK</v>
          </cell>
        </row>
        <row r="1961">
          <cell r="A1961" t="str">
            <v>25030702</v>
          </cell>
          <cell r="B1961" t="str">
            <v>Power Cable,450V/750V,H07Z-K UL3386,4mm^2,Yellow/Green,45A,LSZH Cable,VDE,UL (Unit:meter)</v>
          </cell>
          <cell r="C1961">
            <v>30</v>
          </cell>
          <cell r="E1961" t="str">
            <v>M</v>
          </cell>
          <cell r="F1961" t="str">
            <v>16A</v>
          </cell>
          <cell r="G1961" t="str">
            <v>25030702</v>
          </cell>
          <cell r="AA1961" t="str">
            <v>DEMO STOCK</v>
          </cell>
        </row>
        <row r="1962">
          <cell r="A1962" t="str">
            <v>02354MXJ</v>
          </cell>
          <cell r="B1962" t="str">
            <v>AirEngine5761-12(11ax indoor,2+2 dual bands,smart antenna,USB,IoT Slot,BLE)</v>
          </cell>
          <cell r="C1962">
            <v>19</v>
          </cell>
          <cell r="E1962" t="str">
            <v>PCS</v>
          </cell>
          <cell r="F1962" t="str">
            <v>27A</v>
          </cell>
          <cell r="G1962" t="str">
            <v>02354MXJ</v>
          </cell>
          <cell r="AA1962" t="str">
            <v>DEMO STOCK</v>
          </cell>
        </row>
        <row r="1963">
          <cell r="A1963" t="str">
            <v>50084450</v>
          </cell>
          <cell r="B1963" t="str">
            <v>AirEngine5761-12W(11ax indoor,2+2 dual bands,smart antenna,USB,BLE,PSE)</v>
          </cell>
          <cell r="C1963">
            <v>5</v>
          </cell>
          <cell r="E1963" t="str">
            <v>PCS</v>
          </cell>
          <cell r="F1963" t="str">
            <v>15B</v>
          </cell>
          <cell r="G1963" t="str">
            <v>50084450</v>
          </cell>
          <cell r="AA1963" t="str">
            <v>DEMO STOCK</v>
          </cell>
        </row>
        <row r="1964">
          <cell r="A1964" t="str">
            <v>50084452</v>
          </cell>
          <cell r="B1964" t="str">
            <v>AirEngine5761-11W(11ax indoor,2+2 dual bands,smart antenna,USB,BLE)</v>
          </cell>
          <cell r="C1964">
            <v>8</v>
          </cell>
          <cell r="E1964" t="str">
            <v>PCS</v>
          </cell>
          <cell r="F1964" t="str">
            <v>15B</v>
          </cell>
          <cell r="G1964" t="str">
            <v>50084452</v>
          </cell>
          <cell r="AA1964" t="str">
            <v>DEMO STOCK</v>
          </cell>
        </row>
        <row r="1965">
          <cell r="A1965" t="str">
            <v>51661JVP</v>
          </cell>
          <cell r="B1965" t="str">
            <v>Dome Bracket</v>
          </cell>
          <cell r="C1965">
            <v>2</v>
          </cell>
          <cell r="E1965" t="str">
            <v>PCS</v>
          </cell>
          <cell r="F1965" t="str">
            <v>14A</v>
          </cell>
          <cell r="G1965" t="str">
            <v>51661JVP</v>
          </cell>
          <cell r="AA1965" t="str">
            <v>DEMO STOCK</v>
          </cell>
        </row>
        <row r="1966">
          <cell r="A1966" t="str">
            <v>51661JVQ</v>
          </cell>
          <cell r="B1966" t="str">
            <v>Box Camera Bracket</v>
          </cell>
          <cell r="C1966">
            <v>1</v>
          </cell>
          <cell r="E1966" t="str">
            <v>PCS</v>
          </cell>
          <cell r="F1966" t="str">
            <v>14B</v>
          </cell>
          <cell r="G1966" t="str">
            <v>51661JVQ</v>
          </cell>
          <cell r="AA1966" t="str">
            <v>DEMO STOCK</v>
          </cell>
        </row>
        <row r="1967">
          <cell r="A1967" t="str">
            <v>51661MGW</v>
          </cell>
          <cell r="B1967" t="str">
            <v>The junction box of box camera</v>
          </cell>
          <cell r="C1967">
            <v>16</v>
          </cell>
          <cell r="E1967" t="str">
            <v>PCS</v>
          </cell>
          <cell r="F1967" t="str">
            <v>16A</v>
          </cell>
          <cell r="G1967" t="str">
            <v>51661MGW</v>
          </cell>
          <cell r="AA1967" t="str">
            <v>DEMO STOCK</v>
          </cell>
        </row>
        <row r="1968">
          <cell r="A1968" t="str">
            <v>98010901</v>
          </cell>
          <cell r="B1968" t="str">
            <v>S1730S-S24P4S-A (24*10/100/1000BASE-T ports, 4*GE SFP ports, PoE+, AC power)</v>
          </cell>
          <cell r="C1968">
            <v>5</v>
          </cell>
          <cell r="E1968" t="str">
            <v>PCS</v>
          </cell>
          <cell r="F1968" t="str">
            <v>27A</v>
          </cell>
          <cell r="G1968" t="str">
            <v>98010901</v>
          </cell>
          <cell r="AA1968" t="str">
            <v>DEMO STOCK</v>
          </cell>
        </row>
        <row r="1969">
          <cell r="A1969" t="str">
            <v>98011606</v>
          </cell>
          <cell r="B1969" t="str">
            <v>S5736-S48S4X-A base (48*GE SFP ports, optional RTU upgrade to 10G, 4*10GE SFP+ ports, AC power supply, front access)</v>
          </cell>
          <cell r="C1969">
            <v>2</v>
          </cell>
          <cell r="E1969" t="str">
            <v>PCS</v>
          </cell>
          <cell r="F1969" t="str">
            <v>29B</v>
          </cell>
          <cell r="G1969" t="str">
            <v>98011606</v>
          </cell>
          <cell r="AA1969" t="str">
            <v>DEMO STOCK</v>
          </cell>
        </row>
        <row r="1970">
          <cell r="A1970" t="str">
            <v>21155854-002</v>
          </cell>
          <cell r="B1970" t="str">
            <v>86-inch floor stand</v>
          </cell>
          <cell r="C1970">
            <v>2</v>
          </cell>
          <cell r="E1970" t="str">
            <v>PCS</v>
          </cell>
          <cell r="F1970" t="str">
            <v>Zone C</v>
          </cell>
          <cell r="G1970" t="str">
            <v>21155854-002</v>
          </cell>
          <cell r="AA1970" t="str">
            <v>DEMO STOCK</v>
          </cell>
        </row>
        <row r="1971">
          <cell r="A1971" t="str">
            <v>02354FRJ</v>
          </cell>
          <cell r="B1971" t="str">
            <v>AC6508 mainframe (10*GE ports, 2*10GE SFP+ ports, with the AC/DC adapter)</v>
          </cell>
          <cell r="C1971">
            <v>-1</v>
          </cell>
          <cell r="E1971" t="str">
            <v>PCS</v>
          </cell>
          <cell r="F1971" t="str">
            <v>14A</v>
          </cell>
          <cell r="G1971" t="str">
            <v>02354FRJ</v>
          </cell>
          <cell r="AA1971" t="str">
            <v>DEMO STOCK</v>
          </cell>
        </row>
        <row r="1972">
          <cell r="A1972" t="str">
            <v>21123514</v>
          </cell>
          <cell r="B1972" t="str">
            <v>mounting base</v>
          </cell>
          <cell r="C1972">
            <v>1</v>
          </cell>
          <cell r="E1972" t="str">
            <v>PCS</v>
          </cell>
          <cell r="F1972" t="str">
            <v>16A</v>
          </cell>
          <cell r="G1972" t="str">
            <v>21123514</v>
          </cell>
          <cell r="AA1972" t="str">
            <v>DEMO STOCK</v>
          </cell>
        </row>
        <row r="1973">
          <cell r="A1973" t="str">
            <v>02131740</v>
          </cell>
          <cell r="B1973" t="str">
            <v>600W AC Power Module(Back to Front, Power panel side exhaust)</v>
          </cell>
          <cell r="C1973">
            <v>0</v>
          </cell>
          <cell r="E1973" t="str">
            <v>PCS</v>
          </cell>
          <cell r="G1973" t="str">
            <v>2131740</v>
          </cell>
          <cell r="AA1973" t="str">
            <v>DEMO STOCK</v>
          </cell>
        </row>
        <row r="1974">
          <cell r="A1974" t="str">
            <v>02353SJY-011</v>
          </cell>
          <cell r="B1974" t="str">
            <v>S5732-H24UM2CC 2.5&amp;10G Bundle(12*100M/1G/2.5G, 12*100M/1G/2.5G/5G/10G Ethernet ports, Optional RTU upgrade to 5/10G, 4*25GE + 2*40GE or 2*100GE, 1*expansion slot, PoE++, 1*1000W AC power)</v>
          </cell>
          <cell r="C1974">
            <v>2</v>
          </cell>
          <cell r="E1974" t="str">
            <v>PCS</v>
          </cell>
          <cell r="F1974" t="str">
            <v>13A</v>
          </cell>
          <cell r="G1974" t="str">
            <v>02353SJY-011</v>
          </cell>
          <cell r="AA1974" t="str">
            <v>DEMO STOCK</v>
          </cell>
        </row>
        <row r="1975">
          <cell r="A1975" t="str">
            <v>02353VUX</v>
          </cell>
          <cell r="B1975" t="str">
            <v>AirEngine6761-21(11ax indoor,4+4 dual bands,smart antenna,USB,BLE,Scan)</v>
          </cell>
          <cell r="C1975">
            <v>10</v>
          </cell>
          <cell r="E1975" t="str">
            <v>PCS</v>
          </cell>
          <cell r="F1975" t="str">
            <v>30B</v>
          </cell>
          <cell r="G1975" t="str">
            <v>02353VUX</v>
          </cell>
          <cell r="AA1975" t="str">
            <v>DEMO STOCK</v>
          </cell>
        </row>
        <row r="1976">
          <cell r="A1976" t="str">
            <v>02354VQK</v>
          </cell>
          <cell r="B1976" t="str">
            <v>AirEngine5761-21(11ax indoor,2+4 dual bands,smart antenna,USB,BLE)</v>
          </cell>
          <cell r="C1976">
            <v>15</v>
          </cell>
          <cell r="E1976" t="str">
            <v>PCS</v>
          </cell>
          <cell r="F1976" t="str">
            <v>14A</v>
          </cell>
          <cell r="G1976" t="str">
            <v>02354VQK</v>
          </cell>
          <cell r="AA1976" t="str">
            <v>DEMO STOCK</v>
          </cell>
        </row>
        <row r="1977">
          <cell r="A1977" t="str">
            <v>50084987</v>
          </cell>
          <cell r="B1977" t="str">
            <v>AirEngine5762-12(11ax indoor,2+2 dual bands,smart antenna,BLE)</v>
          </cell>
          <cell r="C1977">
            <v>4</v>
          </cell>
          <cell r="E1977" t="str">
            <v>PCS</v>
          </cell>
          <cell r="F1977" t="str">
            <v>15B</v>
          </cell>
          <cell r="G1977" t="str">
            <v>50084987</v>
          </cell>
          <cell r="AA1977" t="str">
            <v>DEMO STOCK</v>
          </cell>
        </row>
        <row r="1978">
          <cell r="A1978" t="str">
            <v>02353TBH</v>
          </cell>
          <cell r="B1978" t="str">
            <v>AR6121E, 2*GE combo WAN, 1*10GE(SFP+) WAN, 8*GE LAN, 1*GE combo LAN, 2*USB, 2*SIC</v>
          </cell>
          <cell r="C1978">
            <v>0</v>
          </cell>
          <cell r="E1978" t="str">
            <v>PCS</v>
          </cell>
          <cell r="G1978" t="str">
            <v>02353TBH</v>
          </cell>
          <cell r="AA1978" t="str">
            <v>DEMO STOCK</v>
          </cell>
        </row>
        <row r="1979">
          <cell r="A1979" t="str">
            <v>06190002</v>
          </cell>
          <cell r="B1979" t="str">
            <v>OPS,I7-10700,DDR4 16GB,512GB SSD,Windows10 IOT Entreprise SAC,195mm,180mm,30mm</v>
          </cell>
          <cell r="C1979">
            <v>0</v>
          </cell>
          <cell r="E1979" t="str">
            <v>PCS</v>
          </cell>
          <cell r="G1979" t="str">
            <v>6190002</v>
          </cell>
          <cell r="AA1979" t="str">
            <v>DEMO STOCK</v>
          </cell>
        </row>
        <row r="1980">
          <cell r="A1980" t="str">
            <v>02313HLN</v>
          </cell>
          <cell r="B1980" t="str">
            <v>HUAWEI IdeaHub Pro 65,HUAWEI IdeaHub(65-inch infrared screen,HD Camera,built-in microphone&amp;speaker,cable assembly)</v>
          </cell>
          <cell r="C1980">
            <v>1</v>
          </cell>
          <cell r="E1980" t="str">
            <v>PCS</v>
          </cell>
          <cell r="F1980" t="str">
            <v>Zone B</v>
          </cell>
          <cell r="G1980" t="str">
            <v>02313HLN</v>
          </cell>
          <cell r="AA1980" t="str">
            <v>DEMO STOCK</v>
          </cell>
        </row>
        <row r="1981">
          <cell r="A1981" t="str">
            <v>23080128</v>
          </cell>
          <cell r="B1981" t="str">
            <v>Digital Conference System Components,IHC,IdeaHub Controller,NULL</v>
          </cell>
          <cell r="C1981">
            <v>49</v>
          </cell>
          <cell r="E1981" t="str">
            <v>PCS</v>
          </cell>
          <cell r="F1981" t="str">
            <v>15A</v>
          </cell>
          <cell r="G1981" t="str">
            <v>23080128</v>
          </cell>
          <cell r="AA1981" t="str">
            <v>DEMO STOCK</v>
          </cell>
        </row>
        <row r="1982">
          <cell r="A1982" t="str">
            <v>50084980</v>
          </cell>
          <cell r="B1982" t="str">
            <v>Wireless LAN Equipment,AirEngine5762-12SW,AirEngine5762-12SW(11ax indoor,no cover,2+2 dual bands,smart antenna,BLE),AirEngine5762-12SW,RJ45*2,11ax,dual bands</v>
          </cell>
          <cell r="C1982">
            <v>5</v>
          </cell>
          <cell r="E1982" t="str">
            <v>PCS</v>
          </cell>
          <cell r="F1982" t="str">
            <v>16B</v>
          </cell>
          <cell r="G1982" t="str">
            <v>50084980</v>
          </cell>
          <cell r="AA1982" t="str">
            <v>DEMO STOCK</v>
          </cell>
        </row>
        <row r="1983">
          <cell r="A1983" t="str">
            <v>50085227</v>
          </cell>
          <cell r="B1983" t="str">
            <v>Elegant White Cover(With downlink port)</v>
          </cell>
          <cell r="C1983">
            <v>5</v>
          </cell>
          <cell r="E1983" t="str">
            <v>PCS</v>
          </cell>
          <cell r="F1983" t="str">
            <v>16B</v>
          </cell>
          <cell r="G1983" t="str">
            <v>50085227</v>
          </cell>
          <cell r="AA1983" t="str">
            <v>DEMO STOCK</v>
          </cell>
        </row>
        <row r="1984">
          <cell r="A1984" t="str">
            <v>02353GSJ-001</v>
          </cell>
          <cell r="B1984" t="str">
            <v>Assembling Components,AirEngine6760-X1,AirEngine6760-X1,AirEngine6760-X1(11ax indoor,4+6 dual bands,smart antenna,USB,IoT Slot,BLE,Optional RTU upgrade to 4+8/4+4+4/4+6+Scan)</v>
          </cell>
          <cell r="C1984">
            <v>5</v>
          </cell>
          <cell r="E1984" t="str">
            <v>PCS</v>
          </cell>
          <cell r="F1984" t="str">
            <v>15A</v>
          </cell>
          <cell r="G1984" t="str">
            <v>02353GSJ-001</v>
          </cell>
          <cell r="AA1984" t="str">
            <v>DEMO STOCK</v>
          </cell>
        </row>
        <row r="1985">
          <cell r="A1985" t="str">
            <v>02313PAC</v>
          </cell>
          <cell r="B1985" t="str">
            <v>600W AC&amp;240V DC Power Module (Back to Front,Power panel side exhaust)</v>
          </cell>
          <cell r="C1985">
            <v>2</v>
          </cell>
          <cell r="E1985" t="str">
            <v>PCS</v>
          </cell>
          <cell r="F1985" t="str">
            <v>14C</v>
          </cell>
          <cell r="G1985" t="str">
            <v>02313PAC</v>
          </cell>
          <cell r="AA1985" t="str">
            <v>DEMO STOCK</v>
          </cell>
        </row>
        <row r="1986">
          <cell r="A1986" t="str">
            <v>21101433</v>
          </cell>
          <cell r="B1986" t="str">
            <v>Waterproof Adhesive Tape ,50mm*1.65mm*1.0m,Black</v>
          </cell>
          <cell r="C1986">
            <v>14</v>
          </cell>
          <cell r="E1986" t="str">
            <v>PCS</v>
          </cell>
          <cell r="F1986" t="str">
            <v>15A</v>
          </cell>
          <cell r="G1986" t="str">
            <v>21101433</v>
          </cell>
          <cell r="AA1986" t="str">
            <v>DEMO STOCK</v>
          </cell>
        </row>
        <row r="1987">
          <cell r="A1987" t="str">
            <v>02353TBH-001</v>
          </cell>
          <cell r="B1987" t="str">
            <v>AR6121E, 2*GE combo WAN, 1*10GE(SFP+) WAN, 8*GE LAN, 1*GE combo LAN, 2*USB 2.0, 2*SIC</v>
          </cell>
          <cell r="C1987">
            <v>2</v>
          </cell>
          <cell r="E1987" t="str">
            <v>PCS</v>
          </cell>
          <cell r="F1987" t="str">
            <v>29B</v>
          </cell>
          <cell r="G1987" t="str">
            <v>02353TBH-001</v>
          </cell>
          <cell r="AA1987" t="str">
            <v>DEMO STOCK</v>
          </cell>
        </row>
        <row r="1988">
          <cell r="A1988" t="str">
            <v>02353UYT-002</v>
          </cell>
          <cell r="B1988" t="str">
            <v>AR6140E-9G-2AC AC host, 5*GE RJ45, 4*GE SFP, 1*USB 2.0, 4*SIC</v>
          </cell>
          <cell r="C1988">
            <v>1</v>
          </cell>
          <cell r="E1988" t="str">
            <v>PCS</v>
          </cell>
          <cell r="F1988" t="str">
            <v>14A</v>
          </cell>
          <cell r="G1988" t="str">
            <v>02353UYT-002</v>
          </cell>
          <cell r="AA1988" t="str">
            <v>DEMO STOCK</v>
          </cell>
        </row>
        <row r="1989">
          <cell r="A1989" t="str">
            <v>50084983</v>
          </cell>
          <cell r="B1989" t="str">
            <v>AirEngine5762-13W(11ax indoor,2+2 dual bands,smart antenna,USB,BLE)</v>
          </cell>
          <cell r="C1989">
            <v>5</v>
          </cell>
          <cell r="E1989" t="str">
            <v>PCS</v>
          </cell>
          <cell r="F1989" t="str">
            <v>15A</v>
          </cell>
          <cell r="G1989" t="str">
            <v>50084983</v>
          </cell>
          <cell r="AA1989" t="str">
            <v>DEMO STOCK</v>
          </cell>
        </row>
        <row r="1990">
          <cell r="A1990" t="str">
            <v>02131664</v>
          </cell>
          <cell r="B1990" t="str">
            <v>"AC-DC Power,-40degC,70degC,90V,290V,12.2V/5A,PAC60S12-AN"</v>
          </cell>
          <cell r="C1990">
            <v>5</v>
          </cell>
          <cell r="E1990" t="str">
            <v>PCS</v>
          </cell>
          <cell r="F1990" t="str">
            <v>16A</v>
          </cell>
          <cell r="G1990" t="str">
            <v>2131664</v>
          </cell>
          <cell r="AA1990" t="str">
            <v>DEMO STOCK</v>
          </cell>
        </row>
        <row r="1991">
          <cell r="A1991" t="str">
            <v>04151479</v>
          </cell>
          <cell r="B1991" t="str">
            <v>Power Cable,3m,18AWG,TB2PIN-I,18UL1015R+18UL1015B,TB2PIN-I</v>
          </cell>
          <cell r="C1991">
            <v>5</v>
          </cell>
          <cell r="E1991" t="str">
            <v>PCS</v>
          </cell>
          <cell r="F1991" t="str">
            <v>16A</v>
          </cell>
          <cell r="G1991" t="str">
            <v>4151479</v>
          </cell>
          <cell r="AA1991" t="str">
            <v>DEMO STOCK</v>
          </cell>
        </row>
        <row r="1992">
          <cell r="A1992" t="str">
            <v>25030398</v>
          </cell>
          <cell r="B1992" t="str">
            <v>Power Cable,300V/500V,60227 IEC 53(RVV),3x1.5mm^2,Black(3Cores:Brown,Blue,Yellow/Green),19.5A,Outdoor Cable,CCC,CE (Unit:meter)</v>
          </cell>
          <cell r="C1992">
            <v>2</v>
          </cell>
          <cell r="E1992" t="str">
            <v>M</v>
          </cell>
          <cell r="F1992" t="str">
            <v>16A</v>
          </cell>
          <cell r="G1992" t="str">
            <v>25030398</v>
          </cell>
          <cell r="AA1992" t="str">
            <v>DEMO STOCK</v>
          </cell>
        </row>
        <row r="1993">
          <cell r="A1993" t="str">
            <v>50010516</v>
          </cell>
          <cell r="B1993" t="str">
            <v>AR502H-5G 2*RS485(or 2*RS232),1*DI/DO,3*GE (10/100/1000M RJ45),2*GE COMBO,1*5G(dual SIM),1*USB3.0,GPS/GLONASS/BDS,9.6-60VDC</v>
          </cell>
          <cell r="C1993">
            <v>2</v>
          </cell>
          <cell r="E1993" t="str">
            <v>PCS</v>
          </cell>
          <cell r="F1993" t="str">
            <v>15A</v>
          </cell>
          <cell r="G1993" t="str">
            <v>50010516</v>
          </cell>
          <cell r="AA1993" t="str">
            <v>DEMO STOCK</v>
          </cell>
        </row>
        <row r="1994">
          <cell r="A1994" t="str">
            <v>02353GSG-001</v>
          </cell>
          <cell r="B1994" t="str">
            <v>AirEngine8760-X1-PRO(11ax indoor,Dedicated 3rd Radio,4+12 dual bands,smart antenna,USB,IoT Slot,BLE)</v>
          </cell>
          <cell r="C1994">
            <v>5</v>
          </cell>
          <cell r="E1994" t="str">
            <v>PCS</v>
          </cell>
          <cell r="F1994" t="str">
            <v>15A</v>
          </cell>
          <cell r="G1994" t="str">
            <v>02353GSG-001</v>
          </cell>
          <cell r="AA1994" t="str">
            <v>DEMO STOCK</v>
          </cell>
        </row>
        <row r="1995">
          <cell r="A1995" t="str">
            <v>02352SVD-001</v>
          </cell>
          <cell r="B1995" t="str">
            <v>Assembling Components,S5731-H48P4XC,S5731-H48P4XC,S5731-H48P4XC (48*10/100/1000BASE-T ports, 4*10GE SFP+ ports, 1*expansion slot, PoE+, without power module)</v>
          </cell>
          <cell r="C1995">
            <v>1</v>
          </cell>
          <cell r="E1995" t="str">
            <v>PCS</v>
          </cell>
          <cell r="F1995" t="str">
            <v>15C</v>
          </cell>
          <cell r="G1995" t="str">
            <v>02352SVD-001</v>
          </cell>
          <cell r="AA1995" t="str">
            <v>DEMO STOCK</v>
          </cell>
        </row>
        <row r="1996">
          <cell r="A1996" t="str">
            <v>02352QPV-001</v>
          </cell>
          <cell r="B1996" t="str">
            <v>Assembling Components,S5731-H24P4XC,S5731-H24P4XC,S5731-H24P4XC (24*10/100/1000BASE-T ports, 4*10GE SFP+ ports, 1*expansion slot, PoE+, without power module)</v>
          </cell>
          <cell r="C1996">
            <v>1</v>
          </cell>
          <cell r="E1996" t="str">
            <v>PCS</v>
          </cell>
          <cell r="F1996" t="str">
            <v>15C</v>
          </cell>
          <cell r="G1996" t="str">
            <v>02352QPV-001</v>
          </cell>
          <cell r="AA1996" t="str">
            <v>DEMO STOCK</v>
          </cell>
        </row>
        <row r="1997">
          <cell r="A1997" t="str">
            <v>02353AJS-004</v>
          </cell>
          <cell r="B1997" t="str">
            <v>S5732-H24S6Q (20*GE SFP ports,4*10GE SFP+ ports,6*40GE QSFP ports,without power module)</v>
          </cell>
          <cell r="C1997">
            <v>0</v>
          </cell>
          <cell r="E1997" t="str">
            <v>PCS</v>
          </cell>
          <cell r="G1997" t="str">
            <v>02353AJS-004</v>
          </cell>
          <cell r="AA1997" t="str">
            <v>DEMO STOCK</v>
          </cell>
        </row>
        <row r="1998">
          <cell r="A1998" t="str">
            <v>04050175</v>
          </cell>
          <cell r="B1998" t="str">
            <v>Outsourcing Cable,Visca Exchange RJ45 Cable,4m,RC8S,CC4P0.5GY(S),MP8-I,Terminal Dedicated</v>
          </cell>
          <cell r="C1998">
            <v>27</v>
          </cell>
          <cell r="E1998" t="str">
            <v>PCS</v>
          </cell>
          <cell r="F1998" t="str">
            <v>34A</v>
          </cell>
          <cell r="G1998" t="str">
            <v>4050175</v>
          </cell>
          <cell r="AA1998" t="str">
            <v>DEMO STOCK</v>
          </cell>
        </row>
        <row r="1999">
          <cell r="A1999" t="str">
            <v>21122854</v>
          </cell>
          <cell r="B1999" t="str">
            <v>Camera bracket for VPC600\VPC620\TE30\Camera 200</v>
          </cell>
          <cell r="C1999">
            <v>26</v>
          </cell>
          <cell r="E1999" t="str">
            <v>PCS</v>
          </cell>
          <cell r="F1999" t="str">
            <v>34A</v>
          </cell>
          <cell r="G1999" t="str">
            <v>21122854</v>
          </cell>
          <cell r="AA1999" t="str">
            <v>DEMO STOCK</v>
          </cell>
        </row>
        <row r="2000">
          <cell r="A2000" t="str">
            <v>02412410</v>
          </cell>
          <cell r="B2000" t="str">
            <v>HUAWEI Camera 200(1080P60-12X-HDMI English,12v adapter,remote control)</v>
          </cell>
          <cell r="C2000">
            <v>27</v>
          </cell>
          <cell r="E2000" t="str">
            <v>PCS</v>
          </cell>
          <cell r="F2000" t="str">
            <v>34A</v>
          </cell>
          <cell r="G2000" t="str">
            <v>2412410</v>
          </cell>
          <cell r="AA2000" t="str">
            <v>DEMO STOCK</v>
          </cell>
        </row>
        <row r="2001">
          <cell r="A2001" t="str">
            <v>21155908</v>
          </cell>
          <cell r="B2001" t="str">
            <v>HUAWEI Ideahub White Rolling Stand II (65/75/86 inches)</v>
          </cell>
          <cell r="C2001">
            <v>8</v>
          </cell>
          <cell r="E2001" t="str">
            <v>pcs</v>
          </cell>
          <cell r="F2001" t="str">
            <v>Zone CG</v>
          </cell>
          <cell r="G2001" t="str">
            <v>21155908</v>
          </cell>
          <cell r="AA2001" t="str">
            <v>DEMO STOCK</v>
          </cell>
        </row>
        <row r="2002">
          <cell r="A2002" t="str">
            <v>55150650</v>
          </cell>
          <cell r="B2002" t="str">
            <v>Intelligent Collaboration Device,HUAWEI IdeaHub S2,IHS2-65SA,Intelligent Collaboration Device 65-inch infrared screen,Jade white,overseas</v>
          </cell>
          <cell r="C2002">
            <v>2</v>
          </cell>
          <cell r="E2002" t="str">
            <v>PCS</v>
          </cell>
          <cell r="F2002" t="str">
            <v>Zone BC</v>
          </cell>
          <cell r="G2002" t="str">
            <v>55150650</v>
          </cell>
          <cell r="AA2002" t="str">
            <v>DEMO STOCK</v>
          </cell>
        </row>
        <row r="2003">
          <cell r="A2003" t="str">
            <v>55150651</v>
          </cell>
          <cell r="B2003" t="str">
            <v>Intelligent Collaboration Device,HUAWEI IdeaHub S2,IHS2-75SA,Intelligent Collaboration Device 75-inch infrared screen,Jade white,overseas</v>
          </cell>
          <cell r="C2003">
            <v>3</v>
          </cell>
          <cell r="E2003" t="str">
            <v>PCS</v>
          </cell>
          <cell r="F2003" t="str">
            <v>Zone BG</v>
          </cell>
          <cell r="G2003" t="str">
            <v>55150651</v>
          </cell>
          <cell r="AA2003" t="str">
            <v>DEMO STOCK</v>
          </cell>
        </row>
        <row r="2004">
          <cell r="A2004" t="str">
            <v>55150652</v>
          </cell>
          <cell r="B2004" t="str">
            <v>Intelligent Collaboration Device,HUAWEI IdeaHub S2,IHS2-86SA,Intelligent Collaboration Device 86-inch infrared screen,Jade white,overseas</v>
          </cell>
          <cell r="C2004">
            <v>5</v>
          </cell>
          <cell r="E2004" t="str">
            <v>PCS</v>
          </cell>
          <cell r="F2004" t="str">
            <v>WH1</v>
          </cell>
          <cell r="G2004" t="str">
            <v>55150652</v>
          </cell>
          <cell r="AA2004" t="str">
            <v>DEMO STOCK</v>
          </cell>
        </row>
        <row r="2005">
          <cell r="A2005" t="str">
            <v>55150691</v>
          </cell>
          <cell r="B2005" t="str">
            <v>Intelligent Collaboration Device,HUAWEI IdeaHub Board 2,IHB2-65SU,Intelligent Collaboration Device 65-inch infrared screen,Jade white,overseas</v>
          </cell>
          <cell r="C2005">
            <v>3</v>
          </cell>
          <cell r="E2005" t="str">
            <v>PCS</v>
          </cell>
          <cell r="F2005" t="str">
            <v>Zone C</v>
          </cell>
          <cell r="G2005" t="str">
            <v>55150691</v>
          </cell>
          <cell r="AA2005" t="str">
            <v>DEMO STOCK</v>
          </cell>
        </row>
        <row r="2006">
          <cell r="A2006" t="str">
            <v>02312SGN</v>
          </cell>
          <cell r="B2006" t="str">
            <v>HUAWEI Mic 500, Microphone Array</v>
          </cell>
          <cell r="C2006">
            <v>12</v>
          </cell>
          <cell r="E2006" t="str">
            <v>PCS</v>
          </cell>
          <cell r="F2006" t="str">
            <v>15B</v>
          </cell>
          <cell r="G2006" t="str">
            <v>02312SGN</v>
          </cell>
          <cell r="AA2006" t="str">
            <v>DEMO STOCK</v>
          </cell>
        </row>
        <row r="2007">
          <cell r="A2007" t="str">
            <v>55150692</v>
          </cell>
          <cell r="B2007" t="str">
            <v>Intelligent Collaboration Device,HUAWEI IdeaHub Board 2,IHB2-75SU,Intelligent Collaboration Device 75-inch infrared screen,Jade white,overseas</v>
          </cell>
          <cell r="C2007">
            <v>4</v>
          </cell>
          <cell r="E2007" t="str">
            <v>PCS</v>
          </cell>
          <cell r="F2007" t="str">
            <v>Zone C</v>
          </cell>
          <cell r="G2007" t="str">
            <v>55150692</v>
          </cell>
          <cell r="AA2007" t="str">
            <v>DEMO STOCK</v>
          </cell>
        </row>
        <row r="2008">
          <cell r="A2008" t="str">
            <v>55150693</v>
          </cell>
          <cell r="B2008" t="str">
            <v>Intelligent Collaboration Device,HUAWEI IdeaHub Board 2,IHB2-86SU,Intelligent Collaboration Device 86-inch infrared screen,Jade white,overseas</v>
          </cell>
          <cell r="C2008">
            <v>6</v>
          </cell>
          <cell r="E2008" t="str">
            <v>PCS</v>
          </cell>
          <cell r="F2008" t="str">
            <v>Zone C</v>
          </cell>
          <cell r="G2008" t="str">
            <v>55150693</v>
          </cell>
          <cell r="AA2008" t="str">
            <v>DEMO STOCK</v>
          </cell>
        </row>
        <row r="2009">
          <cell r="A2009" t="str">
            <v>04130105</v>
          </cell>
          <cell r="B2009" t="str">
            <v>RF Jumper,10m</v>
          </cell>
          <cell r="C2009">
            <v>16</v>
          </cell>
          <cell r="E2009" t="str">
            <v>PCS</v>
          </cell>
          <cell r="F2009" t="str">
            <v>16A</v>
          </cell>
          <cell r="G2009" t="str">
            <v>4130105</v>
          </cell>
          <cell r="AA2009" t="str">
            <v>DEMO STOCK</v>
          </cell>
        </row>
        <row r="2010">
          <cell r="A2010" t="str">
            <v>04131955</v>
          </cell>
          <cell r="B2010" t="str">
            <v>RF Cable Parts,2m,N50SF,195 Series,SMA-J</v>
          </cell>
          <cell r="C2010">
            <v>16</v>
          </cell>
          <cell r="E2010" t="str">
            <v>PCS</v>
          </cell>
          <cell r="F2010" t="str">
            <v>16A</v>
          </cell>
          <cell r="G2010" t="str">
            <v>4131955</v>
          </cell>
          <cell r="AA2010" t="str">
            <v>DEMO STOCK</v>
          </cell>
        </row>
        <row r="2011">
          <cell r="A2011" t="str">
            <v>27013978</v>
          </cell>
          <cell r="B2011" t="str">
            <v>Omni-directional Antenna-698MHz~960MHz/1710MHz~2690MHz/3300MHz~5000MHz,2dBi/3dBi/3dBi,linear polarization,Isotropic,20W,N/Female-4 port,with bracket,IP65</v>
          </cell>
          <cell r="C2011">
            <v>4</v>
          </cell>
          <cell r="E2011" t="str">
            <v>PCS</v>
          </cell>
          <cell r="F2011" t="str">
            <v>16A</v>
          </cell>
          <cell r="G2011" t="str">
            <v>27013978</v>
          </cell>
          <cell r="AA2011" t="str">
            <v>DEMO STOCK</v>
          </cell>
        </row>
        <row r="2012">
          <cell r="A2012" t="str">
            <v>02170477</v>
          </cell>
          <cell r="B2012" t="str">
            <v>Media Transfer Unit,Ideashare Key,IdeaShare Key,IdeaShare Key-Type C,1080P</v>
          </cell>
          <cell r="C2012">
            <v>20</v>
          </cell>
          <cell r="E2012" t="str">
            <v>PCS</v>
          </cell>
          <cell r="F2012" t="str">
            <v>16A</v>
          </cell>
          <cell r="G2012" t="str">
            <v>2170477</v>
          </cell>
          <cell r="AA2012" t="str">
            <v>DEMO STOCK</v>
          </cell>
        </row>
        <row r="2013">
          <cell r="A2013" t="str">
            <v>55150676</v>
          </cell>
          <cell r="B2013" t="str">
            <v>Intelligent Collaboration Device,WB1M0IHS2,Wall Mount Bracket</v>
          </cell>
          <cell r="C2013">
            <v>0</v>
          </cell>
          <cell r="E2013" t="str">
            <v>PCS</v>
          </cell>
          <cell r="G2013" t="str">
            <v>55150676</v>
          </cell>
          <cell r="AA2013" t="str">
            <v>DEMO STOCK</v>
          </cell>
        </row>
        <row r="2014">
          <cell r="A2014" t="str">
            <v>55150703</v>
          </cell>
          <cell r="B2014" t="str">
            <v>Intelligent Collaboration Device,HUAWEI IdeaHub B2,IHB2-65PU,Intelligent Collaboration Device 65-inch infrared screen,Jade white,overseas</v>
          </cell>
          <cell r="C2014">
            <v>2</v>
          </cell>
          <cell r="E2014" t="str">
            <v>PCS</v>
          </cell>
          <cell r="F2014" t="str">
            <v>Zone C</v>
          </cell>
          <cell r="G2014" t="str">
            <v>55150703</v>
          </cell>
          <cell r="AA2014" t="str">
            <v>DEMO STOCK</v>
          </cell>
        </row>
        <row r="2015">
          <cell r="A2015" t="str">
            <v>52240257</v>
          </cell>
          <cell r="B2015" t="str">
            <v>"Solar Module,445W,41.2V,10.81A,2095*1039*35mm,-40~85deC,CE,1 PCS,two-piece package"</v>
          </cell>
          <cell r="C2015">
            <v>2</v>
          </cell>
          <cell r="E2015" t="str">
            <v>PCS</v>
          </cell>
          <cell r="F2015" t="str">
            <v>59A</v>
          </cell>
          <cell r="G2015" t="str">
            <v>52240257</v>
          </cell>
          <cell r="AA2015" t="str">
            <v>DEMO STOCK</v>
          </cell>
        </row>
        <row r="2016">
          <cell r="A2016" t="str">
            <v>21243344</v>
          </cell>
          <cell r="B2016" t="str">
            <v>Telecom Energy,ESC30,Sunshade</v>
          </cell>
          <cell r="C2016">
            <v>1</v>
          </cell>
          <cell r="E2016" t="str">
            <v>PCS</v>
          </cell>
          <cell r="F2016" t="str">
            <v>59A</v>
          </cell>
          <cell r="G2016" t="str">
            <v>21243344</v>
          </cell>
          <cell r="AA2016" t="str">
            <v>DEMO STOCK</v>
          </cell>
        </row>
        <row r="2017">
          <cell r="A2017" t="str">
            <v>04151989</v>
          </cell>
          <cell r="B2017" t="str">
            <v>PV Module Extension Cable, 7m, (H4PV-) , ( H4PV+), 2*12AWG</v>
          </cell>
          <cell r="C2017">
            <v>1</v>
          </cell>
          <cell r="E2017" t="str">
            <v>PCS</v>
          </cell>
          <cell r="F2017" t="str">
            <v>59A</v>
          </cell>
          <cell r="G2017" t="str">
            <v>4151989</v>
          </cell>
          <cell r="AA2017" t="str">
            <v>DEMO STOCK</v>
          </cell>
        </row>
        <row r="2018">
          <cell r="A2018" t="str">
            <v>21150763</v>
          </cell>
          <cell r="B2018" t="str">
            <v>Engineering Installation Kit,DKBA4.070.2852,Intergrated Mount Kit,SRRU,Multifunctional Installation,Wall and Pole</v>
          </cell>
          <cell r="C2018">
            <v>1</v>
          </cell>
          <cell r="E2018" t="str">
            <v>PCS</v>
          </cell>
          <cell r="F2018" t="str">
            <v>59A</v>
          </cell>
          <cell r="G2018" t="str">
            <v>21150763</v>
          </cell>
          <cell r="AA2018" t="str">
            <v>DEMO STOCK</v>
          </cell>
        </row>
        <row r="2019">
          <cell r="A2019" t="str">
            <v>26020187</v>
          </cell>
          <cell r="B2019" t="str">
            <v>M12X60 Stainless Press Explode Expansion Bolt Component</v>
          </cell>
          <cell r="C2019">
            <v>6</v>
          </cell>
          <cell r="E2019" t="str">
            <v>PCS</v>
          </cell>
          <cell r="F2019" t="str">
            <v>59A</v>
          </cell>
          <cell r="G2019" t="str">
            <v>26020187</v>
          </cell>
          <cell r="AA2019" t="str">
            <v>DEMO STOCK</v>
          </cell>
        </row>
        <row r="2020">
          <cell r="A2020" t="str">
            <v>02313CMR</v>
          </cell>
          <cell r="B2020" t="str">
            <v>Function Module,PowerCube 500,PC500-200H1,220Vac Single-Phase or 110Vac Dual-Live Wire or PV Input, 200W Max Combined Output Power (54Vdc/12Vdc/24Vac/24Vdc),Natural Heat Dissipation</v>
          </cell>
          <cell r="C2020">
            <v>1</v>
          </cell>
          <cell r="E2020" t="str">
            <v>PCS</v>
          </cell>
          <cell r="F2020" t="str">
            <v>59A</v>
          </cell>
          <cell r="G2020" t="str">
            <v>02313CMR</v>
          </cell>
          <cell r="AA2020" t="str">
            <v>DEMO STOCK</v>
          </cell>
        </row>
        <row r="2021">
          <cell r="A2021" t="str">
            <v>01074746-010</v>
          </cell>
          <cell r="B2021" t="str">
            <v>Lithium Battery,ESM-48100B1,442mm (W)*396mm(D)*130mm(H),48V,100Ah</v>
          </cell>
          <cell r="C2021">
            <v>1</v>
          </cell>
          <cell r="E2021" t="str">
            <v>PCS</v>
          </cell>
          <cell r="F2021" t="str">
            <v>59A</v>
          </cell>
          <cell r="G2021" t="str">
            <v>01074746-010</v>
          </cell>
          <cell r="AA2021" t="str">
            <v>DEMO STOCK</v>
          </cell>
        </row>
        <row r="2022">
          <cell r="A2022" t="str">
            <v>04095493</v>
          </cell>
          <cell r="B2022" t="str">
            <v>Cable Bundle,SUN2000L,Y type connection cable</v>
          </cell>
          <cell r="C2022">
            <v>1</v>
          </cell>
          <cell r="E2022" t="str">
            <v>PCS</v>
          </cell>
          <cell r="F2022" t="str">
            <v>15C</v>
          </cell>
          <cell r="G2022" t="str">
            <v>4095493</v>
          </cell>
          <cell r="AA2022" t="str">
            <v>DEMO STOCK</v>
          </cell>
        </row>
        <row r="2023">
          <cell r="A2023" t="str">
            <v>14191548</v>
          </cell>
          <cell r="B2023" t="str">
            <v>Round Power Connector,MC4-EVO2 Installation and Disassembly tools-14191547</v>
          </cell>
          <cell r="C2023">
            <v>1</v>
          </cell>
          <cell r="E2023" t="str">
            <v>PCS</v>
          </cell>
          <cell r="F2023" t="str">
            <v>15C</v>
          </cell>
          <cell r="G2023" t="str">
            <v>14191548</v>
          </cell>
          <cell r="AA2023" t="str">
            <v>DEMO STOCK</v>
          </cell>
        </row>
        <row r="2024">
          <cell r="A2024" t="str">
            <v>21155258</v>
          </cell>
          <cell r="B2024" t="str">
            <v>Pole Mounting Kit for  ICC30</v>
          </cell>
          <cell r="C2024">
            <v>1</v>
          </cell>
          <cell r="E2024" t="str">
            <v>PCS</v>
          </cell>
          <cell r="F2024" t="str">
            <v>15C</v>
          </cell>
          <cell r="G2024" t="str">
            <v>21155258</v>
          </cell>
          <cell r="AA2024" t="str">
            <v>DEMO STOCK</v>
          </cell>
        </row>
        <row r="2025">
          <cell r="A2025" t="str">
            <v>01074215</v>
          </cell>
          <cell r="B2025" t="str">
            <v>"Hybrid Power,ESC30-N1-4215,-48Vdc Input,Bottom Cabling,380mm (W) * 480mm (D) * 750mm (H),Natural Heat Dissipation"</v>
          </cell>
          <cell r="C2025">
            <v>1</v>
          </cell>
          <cell r="E2025" t="str">
            <v>PCS</v>
          </cell>
          <cell r="F2025" t="str">
            <v>14C</v>
          </cell>
          <cell r="G2025" t="str">
            <v>1074215</v>
          </cell>
          <cell r="AA2025" t="str">
            <v>DEMO STOCK</v>
          </cell>
        </row>
        <row r="2026">
          <cell r="A2026" t="str">
            <v>06190001</v>
          </cell>
          <cell r="B2026" t="str">
            <v>OPS,I5-10500,DDR4 8GB,128GB SSD,Windows10 IOT Entreprise SAC,195mm,180mm,30mm</v>
          </cell>
          <cell r="C2026">
            <v>4</v>
          </cell>
          <cell r="E2026" t="str">
            <v>PCS</v>
          </cell>
          <cell r="F2026" t="str">
            <v>29B</v>
          </cell>
          <cell r="G2026" t="str">
            <v>6190001</v>
          </cell>
          <cell r="AA2026" t="str">
            <v>DEMO STOCK</v>
          </cell>
        </row>
        <row r="2027">
          <cell r="A2027" t="str">
            <v>02312NEV-001</v>
          </cell>
          <cell r="B2027" t="str">
            <v>Function Module,AR6300,SRU-600H,Service and Router Unit 600H, 14*10GE(SFP+), 10*GE Copper,1*USB2.0</v>
          </cell>
          <cell r="C2027">
            <v>0</v>
          </cell>
          <cell r="E2027" t="str">
            <v>PCS</v>
          </cell>
          <cell r="G2027" t="str">
            <v>02312NEV-001</v>
          </cell>
          <cell r="AA2027" t="str">
            <v>DEMO STOCK</v>
          </cell>
        </row>
        <row r="2028">
          <cell r="A2028" t="str">
            <v>02115640</v>
          </cell>
          <cell r="B2028" t="str">
            <v>Assembly Chassis, AR6300, AR6300, AR6300 integrated chassis, 2*SRU slot, 4*SIC slot, 2*WSIC slot, 4*XSIC slot, 2*power slot</v>
          </cell>
          <cell r="C2028">
            <v>0</v>
          </cell>
          <cell r="E2028" t="str">
            <v>PCS</v>
          </cell>
          <cell r="G2028" t="str">
            <v>2115640</v>
          </cell>
          <cell r="AA2028" t="str">
            <v>DEMO STOCK</v>
          </cell>
        </row>
        <row r="2029">
          <cell r="A2029" t="str">
            <v>02313URC</v>
          </cell>
          <cell r="B2029" t="str">
            <v>Function Module,Switch Products,LE0M0XSM88,Optical Transceiver,SFP+,10G,Multi-mode Module(850nm,0.3km,LC)</v>
          </cell>
          <cell r="C2029">
            <v>65</v>
          </cell>
          <cell r="E2029" t="str">
            <v>PCS</v>
          </cell>
          <cell r="F2029" t="str">
            <v>13B, 16A, 29A</v>
          </cell>
          <cell r="G2029" t="str">
            <v>02313URC</v>
          </cell>
          <cell r="AA2029" t="str">
            <v>DEMO STOCK</v>
          </cell>
        </row>
        <row r="2030">
          <cell r="A2030" t="str">
            <v>02352QVG</v>
          </cell>
          <cell r="B2030" t="str">
            <v>AC6508 mainframe (10*GE ports, 2*10GE SFP+ ports, with the AC/DC adapter)</v>
          </cell>
          <cell r="C2030">
            <v>0</v>
          </cell>
          <cell r="E2030" t="str">
            <v>Pcs</v>
          </cell>
          <cell r="G2030" t="str">
            <v>02352QVG</v>
          </cell>
          <cell r="AA2030" t="str">
            <v>DEMO STOCK</v>
          </cell>
        </row>
        <row r="2031">
          <cell r="A2031" t="str">
            <v>02314APU</v>
          </cell>
          <cell r="B2031" t="str">
            <v>Function Module,AC&amp;240VDC PSU,PAC1000S56-EB,1000W AC&amp;240V DC Power Module(66mm Width Case,Back to Front, Power panel side exhaust)</v>
          </cell>
          <cell r="C2031">
            <v>14</v>
          </cell>
          <cell r="E2031" t="str">
            <v>PCS</v>
          </cell>
          <cell r="F2031" t="str">
            <v>15A</v>
          </cell>
          <cell r="G2031" t="str">
            <v>02314APU</v>
          </cell>
          <cell r="AA2031" t="str">
            <v>DEMO STOCK</v>
          </cell>
        </row>
        <row r="2032">
          <cell r="A2032" t="str">
            <v>98012052-001</v>
          </cell>
          <cell r="B2032" t="str">
            <v>Data Communication,S5735-L48LP4XE-A-V2,S5735-L48LP4XE-A-V2,S5735-L48LP4XE-A-V2 (48*10/100/1000BASE-T ports, 4*10GE SFP+ ports, 2*12GE stack ports, PoE+, AC power, Specially protected models)</v>
          </cell>
          <cell r="C2032">
            <v>1</v>
          </cell>
          <cell r="E2032" t="str">
            <v>PCS</v>
          </cell>
          <cell r="F2032" t="str">
            <v>15A</v>
          </cell>
          <cell r="G2032" t="str">
            <v>98012052-001</v>
          </cell>
          <cell r="AA2032" t="str">
            <v>DEMO STOCK</v>
          </cell>
        </row>
        <row r="2033">
          <cell r="A2033" t="str">
            <v>98012053</v>
          </cell>
          <cell r="B2033" t="str">
            <v>Data Communication,S5735-S48P4XE-V2,S5735-S48P4XE-V2,S5735-S48P4XE-V2 (48*10/100/1000BASE-T ports, 4*10GE SFP+ ports, 2*12GE stack ports, PoE+, without power module)</v>
          </cell>
          <cell r="C2033">
            <v>2</v>
          </cell>
          <cell r="E2033" t="str">
            <v>PCS</v>
          </cell>
          <cell r="F2033" t="str">
            <v>16C</v>
          </cell>
          <cell r="G2033" t="str">
            <v>98012053</v>
          </cell>
          <cell r="AA2033" t="str">
            <v>DEMO STOCK</v>
          </cell>
        </row>
        <row r="2034">
          <cell r="A2034" t="str">
            <v>21156005</v>
          </cell>
          <cell r="B2034" t="str">
            <v>Engineering Installation Kit,21156005_DRAEN.ASM,Bracket, Sheetmetal,Wall Mount Bracket, Intelligent Collaboration Large Screen</v>
          </cell>
          <cell r="C2034">
            <v>47</v>
          </cell>
          <cell r="E2034" t="str">
            <v>PCS</v>
          </cell>
          <cell r="F2034" t="str">
            <v>48A, 49A</v>
          </cell>
          <cell r="G2034" t="str">
            <v>21156005</v>
          </cell>
          <cell r="AA2034" t="str">
            <v>DEMO STOCK</v>
          </cell>
        </row>
        <row r="2035">
          <cell r="A2035" t="str">
            <v>02313MDX</v>
          </cell>
          <cell r="B2035" t="str">
            <v>Function Module,HUAWEI Touch G3,HUAWEI Touch G3,Touch(powered by PoE or TYPE_C 5V/2A)</v>
          </cell>
          <cell r="C2035">
            <v>0</v>
          </cell>
          <cell r="E2035" t="str">
            <v>PCS</v>
          </cell>
          <cell r="G2035" t="str">
            <v>02313MDX</v>
          </cell>
          <cell r="AA2035" t="str">
            <v>DEMO STOCK</v>
          </cell>
        </row>
        <row r="2036">
          <cell r="A2036" t="str">
            <v>02354KPU</v>
          </cell>
          <cell r="B2036" t="str">
            <v>Assembling Components,AirEngine6761-22T,AirEngine6761-22T,AirEngine6761-22T(11ax indoor,2+2+4 tri bands,smart antenna,USB,BLE)</v>
          </cell>
          <cell r="C2036">
            <v>0</v>
          </cell>
          <cell r="E2036" t="str">
            <v>PCS</v>
          </cell>
          <cell r="G2036" t="str">
            <v>02354KPU</v>
          </cell>
          <cell r="AA2036" t="str">
            <v>DEMO STOCK</v>
          </cell>
        </row>
        <row r="2037">
          <cell r="A2037" t="str">
            <v>02131265</v>
          </cell>
          <cell r="B2037" t="str">
            <v>240W AC/DC power module</v>
          </cell>
          <cell r="C2037">
            <v>13</v>
          </cell>
          <cell r="E2037" t="str">
            <v>PCS</v>
          </cell>
          <cell r="F2037" t="str">
            <v>16A</v>
          </cell>
          <cell r="G2037" t="str">
            <v>2131265</v>
          </cell>
          <cell r="AA2037" t="str">
            <v>DEMO STOCK</v>
          </cell>
        </row>
        <row r="2038">
          <cell r="A2038" t="str">
            <v>98012066</v>
          </cell>
          <cell r="B2038" t="str">
            <v>Data Communication,S5735I-S8U4XN-V2,S5735I-S8U4XN-V2,S5735I-S8U4XN-V2 (8*10/100/1000BASE-T ports, 4*10GE SFP+ ports, PoE++, DIN Rail Mounting, Dual redundant 54 to 57V DC power, Fanless)</v>
          </cell>
          <cell r="C2038">
            <v>12</v>
          </cell>
          <cell r="E2038" t="str">
            <v>PCS</v>
          </cell>
          <cell r="F2038" t="str">
            <v>28A</v>
          </cell>
          <cell r="G2038" t="str">
            <v>98012066</v>
          </cell>
          <cell r="AA2038" t="str">
            <v>DEMO STOCK</v>
          </cell>
        </row>
        <row r="2039">
          <cell r="A2039" t="str">
            <v>04040890</v>
          </cell>
          <cell r="B2039" t="str">
            <v xml:space="preserve"> Power Cable,Britain AC Power Cable 250V10A,3.0m,PGAM ,H05VV-F-1.0mm^2(3C),C13SF,Black</v>
          </cell>
          <cell r="C2039">
            <v>8</v>
          </cell>
          <cell r="E2039" t="str">
            <v>PCS</v>
          </cell>
          <cell r="F2039" t="str">
            <v>15A</v>
          </cell>
          <cell r="G2039" t="str">
            <v>4040890</v>
          </cell>
          <cell r="AA2039" t="str">
            <v>DEMO STOCK</v>
          </cell>
        </row>
        <row r="2040">
          <cell r="A2040" t="str">
            <v>06190011</v>
          </cell>
          <cell r="B2040" t="str">
            <v>OPS,I7-10700,DDR4 16GB,512GB SSD,Windows10 IOT Entreprise SAC,195mm,180mm,30mm</v>
          </cell>
          <cell r="C2040">
            <v>3</v>
          </cell>
          <cell r="E2040" t="str">
            <v>PCS</v>
          </cell>
          <cell r="F2040" t="str">
            <v>14A</v>
          </cell>
          <cell r="G2040" t="str">
            <v>6190011</v>
          </cell>
          <cell r="AA2040" t="str">
            <v>DEMO STOCK</v>
          </cell>
        </row>
        <row r="2041">
          <cell r="A2041" t="str">
            <v>02314QGT</v>
          </cell>
          <cell r="B2041" t="str">
            <v>Function Module,HUAWEI Mic 500,HUAWEI Mic 500,HUAWEI Mic 500,Microphone Array</v>
          </cell>
          <cell r="C2041">
            <v>16</v>
          </cell>
          <cell r="E2041" t="str">
            <v>PCS</v>
          </cell>
          <cell r="F2041" t="str">
            <v>27B</v>
          </cell>
          <cell r="G2041" t="str">
            <v>02314QGT</v>
          </cell>
          <cell r="AA2041" t="str">
            <v>DEMO STOCK</v>
          </cell>
        </row>
        <row r="2042">
          <cell r="A2042" t="str">
            <v>98012030</v>
          </cell>
          <cell r="B2042" t="str">
            <v>Data Communication,S5735-S24P4XE-V2,S5735-S24P4XE-V2,S5735-S24P4XE-V2 (24*10/100/1000BASE-T ports, 4*10GE SFP+ ports, 2*12GE stack ports, PoE+, without power module)</v>
          </cell>
          <cell r="C2042">
            <v>5</v>
          </cell>
          <cell r="E2042" t="str">
            <v>PCS</v>
          </cell>
          <cell r="F2042" t="str">
            <v>16C</v>
          </cell>
          <cell r="G2042" t="str">
            <v>98012030</v>
          </cell>
          <cell r="AA2042" t="str">
            <v>DEMO STOCK</v>
          </cell>
        </row>
        <row r="2043">
          <cell r="A2043" t="str">
            <v>98012026-001</v>
          </cell>
          <cell r="B2043" t="str">
            <v>Data Communication,S5735-L24P4XE-A-V2,S5735-L24P4XE-A-V2,S5735-L24P4XE-A-V2 (24*10/100/1000BASE-T ports, 4*10GE SFP+ ports, 2*12GE stack ports, PoE+, AC power, Specially protected models)</v>
          </cell>
          <cell r="C2043">
            <v>3</v>
          </cell>
          <cell r="E2043" t="str">
            <v>PCS</v>
          </cell>
          <cell r="F2043" t="str">
            <v>15A</v>
          </cell>
          <cell r="G2043" t="str">
            <v>98012026-001</v>
          </cell>
          <cell r="AA2043" t="str">
            <v>DEMO STOCK</v>
          </cell>
        </row>
        <row r="2044">
          <cell r="A2044" t="str">
            <v>98012120</v>
          </cell>
          <cell r="B2044" t="str">
            <v>Data Communication,S5735-L48P4XE-A-V2,S5735-L48P4XE-A-V2,S5735-L48P4XE-A-V2 (48*10/100/1000BASE-T ports, 4*10GE SFP+ ports, 2*12GE stack ports, PoE+, 1*AC power)</v>
          </cell>
          <cell r="C2044">
            <v>5</v>
          </cell>
          <cell r="E2044" t="str">
            <v>PCS</v>
          </cell>
          <cell r="F2044" t="str">
            <v>16C</v>
          </cell>
          <cell r="G2044" t="str">
            <v>98012120</v>
          </cell>
          <cell r="AA2044" t="str">
            <v>DEMO STOCK</v>
          </cell>
        </row>
        <row r="2045">
          <cell r="A2045" t="str">
            <v>02310MUH</v>
          </cell>
          <cell r="B2045" t="str">
            <v>Enterprise Networking Products,QSFP,40G,High Speed Direct-attach Cables,3m,QSFP+38M,CC8P0.32B(S),QSFP+38M,Used indoor</v>
          </cell>
          <cell r="C2045">
            <v>6</v>
          </cell>
          <cell r="E2045" t="str">
            <v>PCS</v>
          </cell>
          <cell r="F2045" t="str">
            <v>16A</v>
          </cell>
          <cell r="G2045" t="str">
            <v>02310MUH</v>
          </cell>
          <cell r="AA2045" t="str">
            <v>DEMO STOCK</v>
          </cell>
        </row>
        <row r="2046">
          <cell r="A2046" t="str">
            <v>02311VGN</v>
          </cell>
          <cell r="B2046" t="str">
            <v>Function Module,Enterprise Networking Products,SFP-10G-CU1M5,10G SFP+ High speed dedicated stack cable-1.5m</v>
          </cell>
          <cell r="C2046">
            <v>7</v>
          </cell>
          <cell r="E2046" t="str">
            <v>PCS</v>
          </cell>
          <cell r="F2046" t="str">
            <v>13B, 16A</v>
          </cell>
          <cell r="G2046" t="str">
            <v>02311VGN</v>
          </cell>
          <cell r="AA2046" t="str">
            <v>DEMO STOCK</v>
          </cell>
        </row>
        <row r="2047">
          <cell r="A2047" t="str">
            <v>02313URG</v>
          </cell>
          <cell r="B2047" t="str">
            <v>Function Module,Datacom Products,CR0M3GP4U,Electrical Transceiver,SFP,GE,Electrical Interface Module(100m,RJ45)</v>
          </cell>
          <cell r="C2047">
            <v>25</v>
          </cell>
          <cell r="E2047" t="str">
            <v>PCS</v>
          </cell>
          <cell r="F2047" t="str">
            <v>13B, 29A</v>
          </cell>
          <cell r="G2047" t="str">
            <v>02313URG</v>
          </cell>
          <cell r="AA2047" t="str">
            <v>DEMO STOCK</v>
          </cell>
        </row>
        <row r="2048">
          <cell r="A2048" t="str">
            <v>04053154</v>
          </cell>
          <cell r="B2048" t="str">
            <v>Power cord,Britain AC Power 250V2.5A,2.0m,PGAM,H05VVH2-F-0.75mm^2(2C),C7SF,250V,2.5A,Black-Only for Saudi Arabia,Split from 04044533</v>
          </cell>
          <cell r="C2048">
            <v>5</v>
          </cell>
          <cell r="E2048" t="str">
            <v>PCS</v>
          </cell>
          <cell r="F2048" t="str">
            <v>14A</v>
          </cell>
          <cell r="G2048" t="str">
            <v>4053154</v>
          </cell>
          <cell r="AA2048" t="str">
            <v>DEMO STOCK</v>
          </cell>
        </row>
        <row r="2049">
          <cell r="A2049" t="str">
            <v>50010568</v>
          </cell>
          <cell r="B2049" t="str">
            <v>Router,AR5710-H8T2TS1-T,2*GE combo WAN,8*GE LAN,1*USB2.0,1*MIC slot</v>
          </cell>
          <cell r="C2049">
            <v>2</v>
          </cell>
          <cell r="E2049" t="str">
            <v>PCS</v>
          </cell>
          <cell r="F2049" t="str">
            <v>16A</v>
          </cell>
          <cell r="G2049" t="str">
            <v>50010568</v>
          </cell>
          <cell r="AA2049" t="str">
            <v>DEMO STOCK</v>
          </cell>
        </row>
        <row r="2050">
          <cell r="A2050" t="str">
            <v>04130824</v>
          </cell>
          <cell r="B2050" t="str">
            <v>RF Cable Parts,6m,SMA-J,240 Series,SMA-K</v>
          </cell>
          <cell r="C2050">
            <v>3</v>
          </cell>
          <cell r="E2050" t="str">
            <v>PCS</v>
          </cell>
          <cell r="F2050" t="str">
            <v>16A</v>
          </cell>
          <cell r="G2050" t="str">
            <v>4130824</v>
          </cell>
          <cell r="AA2050" t="str">
            <v>DEMO STOCK</v>
          </cell>
        </row>
        <row r="2051">
          <cell r="A2051" t="str">
            <v>25034414</v>
          </cell>
          <cell r="B2051" t="str">
            <v>Power Cable,300V/500V,60227 IEC 53,3x1.5mm^2,Black(3Cores:Brown,Blue,Yellow/Green),Outdoor Cable,SASO CB</v>
          </cell>
          <cell r="C2051">
            <v>3</v>
          </cell>
          <cell r="E2051" t="str">
            <v>PCS</v>
          </cell>
          <cell r="F2051" t="str">
            <v>16A</v>
          </cell>
          <cell r="G2051" t="str">
            <v>25034414</v>
          </cell>
          <cell r="AA2051" t="str">
            <v>DEMO STOCK</v>
          </cell>
        </row>
        <row r="2052">
          <cell r="A2052" t="str">
            <v>27013148</v>
          </cell>
          <cell r="B2052" t="str">
            <v>Omni-directional Antenna,1575.42MHz/1561.098 MHz,&gt;=3dBi,Right Hand Circular Polarization,Omni,0.25W,SMA-J,No rack</v>
          </cell>
          <cell r="C2052">
            <v>3</v>
          </cell>
          <cell r="E2052" t="str">
            <v>PCS</v>
          </cell>
          <cell r="F2052" t="str">
            <v>16A</v>
          </cell>
          <cell r="G2052" t="str">
            <v>27013148</v>
          </cell>
          <cell r="AA2052" t="str">
            <v>DEMO STOCK</v>
          </cell>
        </row>
        <row r="2053">
          <cell r="A2053" t="str">
            <v>50010516-001</v>
          </cell>
          <cell r="B2053" t="str">
            <v>Router,AR502H-5G 2*RS485(or 2*RS232),1*DI/DO,3*GE (10/100/1000M RJ45),2*GE COMBO,1*5G(dual SIM),1*USB3.0,GPS/GLONASS/BDS,9.6-60VDC</v>
          </cell>
          <cell r="C2053">
            <v>3</v>
          </cell>
          <cell r="E2053" t="str">
            <v>PCS</v>
          </cell>
          <cell r="F2053" t="str">
            <v>16A</v>
          </cell>
          <cell r="G2053" t="str">
            <v>50010516-001</v>
          </cell>
          <cell r="AA2053" t="str">
            <v>DEMO STOCK</v>
          </cell>
        </row>
        <row r="2054">
          <cell r="A2054" t="str">
            <v>21241946</v>
          </cell>
          <cell r="B2054" t="str">
            <v>Accessories of Cabinet or Chassis,DKBA41506967.ASM,Sheet-metal,19-inch DIN rail mounting bracket,DIN Rail Mounting Equipment</v>
          </cell>
          <cell r="C2054">
            <v>1</v>
          </cell>
          <cell r="E2054" t="str">
            <v>PCS</v>
          </cell>
          <cell r="F2054" t="str">
            <v>16A</v>
          </cell>
          <cell r="G2054" t="str">
            <v>21241946</v>
          </cell>
          <cell r="AA2054" t="str">
            <v>DEMO STOCK</v>
          </cell>
        </row>
        <row r="2055">
          <cell r="A2055" t="str">
            <v>02312FFU-002</v>
          </cell>
          <cell r="B2055" t="str">
            <v>600W AC Power Module(Back to Front, Power panel side exhaust)</v>
          </cell>
          <cell r="C2055">
            <v>8</v>
          </cell>
          <cell r="E2055" t="str">
            <v>PCS</v>
          </cell>
          <cell r="F2055" t="str">
            <v>15C</v>
          </cell>
          <cell r="G2055" t="str">
            <v>02312FFU-002</v>
          </cell>
          <cell r="AA2055" t="str">
            <v>DEMO STOCK</v>
          </cell>
        </row>
        <row r="2056">
          <cell r="A2056" t="str">
            <v>02354HHV</v>
          </cell>
          <cell r="B2056" t="str">
            <v>Assembling Components,S6730-H24X6C-V2,S6730-H24X6C-V2,S6730-H24X6C-V2(24*10GE SFP+ ports, 6*40GE QSFP28 ports, optional license for upgrade to 6*100GE QSFP28, without power module)</v>
          </cell>
          <cell r="C2056">
            <v>1</v>
          </cell>
          <cell r="E2056" t="str">
            <v>PCS</v>
          </cell>
          <cell r="F2056" t="str">
            <v>15B</v>
          </cell>
          <cell r="G2056" t="str">
            <v>02354HHV</v>
          </cell>
          <cell r="AA2056" t="str">
            <v>DEMO STOCK</v>
          </cell>
        </row>
        <row r="2057">
          <cell r="A2057" t="str">
            <v>02354HHT</v>
          </cell>
          <cell r="B2057" t="str">
            <v>Assembling Components,S6730-H48X6C-V2,S6730-H48X6C-V2,S6730-H48X6C-V2(48*10GE SFP+ ports, 6*40GE QSFP28 ports, optional license for upgrade to 6*100GE QSFP28, without power module)</v>
          </cell>
          <cell r="C2057">
            <v>2</v>
          </cell>
          <cell r="E2057" t="str">
            <v>PCS</v>
          </cell>
          <cell r="F2057" t="str">
            <v>15C</v>
          </cell>
          <cell r="G2057" t="str">
            <v>02354HHT</v>
          </cell>
          <cell r="AA2057" t="str">
            <v>DEMO STOCK</v>
          </cell>
        </row>
        <row r="2058">
          <cell r="A2058" t="str">
            <v>02354NGU</v>
          </cell>
          <cell r="B2058" t="str">
            <v>Assembling Components,S6730-H48Y6C-V2,S6730-H48Y6C-V2,S6730-H48Y6C-V2(48*25GE SFP28 ports, 6*100GE QSFP28 ports, without power module)</v>
          </cell>
          <cell r="C2058">
            <v>1</v>
          </cell>
          <cell r="E2058" t="str">
            <v>PCS</v>
          </cell>
          <cell r="F2058" t="str">
            <v>15C</v>
          </cell>
          <cell r="G2058" t="str">
            <v>02354NGU</v>
          </cell>
          <cell r="AA2058" t="str">
            <v>DEMO STOCK</v>
          </cell>
        </row>
        <row r="2059">
          <cell r="A2059" t="str">
            <v>02314MXC</v>
          </cell>
          <cell r="B2059" t="str">
            <v>Function Module,HUAWEI Touch G4,HUAWEI Touch G4,Touch(powered by PoE or TYPE_C 5V/2A)</v>
          </cell>
          <cell r="C2059">
            <v>14</v>
          </cell>
          <cell r="E2059" t="str">
            <v>PCS</v>
          </cell>
          <cell r="F2059" t="str">
            <v>15B</v>
          </cell>
          <cell r="G2059" t="str">
            <v>02314MXC</v>
          </cell>
          <cell r="AA2059" t="str">
            <v>DEMO STOCK</v>
          </cell>
        </row>
        <row r="2060">
          <cell r="A2060" t="str">
            <v>55150477</v>
          </cell>
          <cell r="B2060" t="str">
            <v>HUAWEI IdeaHub Board Edu Screen Touch Pen (2pcs/one box)</v>
          </cell>
          <cell r="C2060">
            <v>2</v>
          </cell>
          <cell r="E2060" t="str">
            <v>PCS</v>
          </cell>
          <cell r="F2060" t="str">
            <v>15B</v>
          </cell>
          <cell r="G2060" t="str">
            <v>55150477</v>
          </cell>
          <cell r="AA2060" t="str">
            <v>DEMO STOCK</v>
          </cell>
        </row>
        <row r="2061">
          <cell r="A2061" t="str">
            <v>06190009</v>
          </cell>
          <cell r="B2061" t="str">
            <v>OPS,I5-10500,DDR4 8GB,128GB SSD,Windows10 IOT Entreprise SAC,195mm,180mm,30mm</v>
          </cell>
          <cell r="C2061">
            <v>4</v>
          </cell>
          <cell r="E2061" t="str">
            <v>PCS</v>
          </cell>
          <cell r="F2061" t="str">
            <v>14A</v>
          </cell>
          <cell r="G2061" t="str">
            <v>6190009</v>
          </cell>
          <cell r="AA2061" t="str">
            <v>DEMO STOCK</v>
          </cell>
        </row>
        <row r="2062">
          <cell r="A2062" t="str">
            <v>02355MXA</v>
          </cell>
          <cell r="B2062" t="str">
            <v>Assembling Components,S5736-S24U4XC,S5736-S24U4XC,S5736-S24U4XC bundle(Including  S5736-S24U4XC *2, Basic Software* 2)</v>
          </cell>
          <cell r="C2062">
            <v>1</v>
          </cell>
          <cell r="E2062" t="str">
            <v>PCS</v>
          </cell>
          <cell r="F2062" t="str">
            <v>28B</v>
          </cell>
          <cell r="G2062" t="str">
            <v>02355MXA</v>
          </cell>
          <cell r="AA2062" t="str">
            <v>DEMO STOCK</v>
          </cell>
        </row>
        <row r="2063">
          <cell r="A2063" t="str">
            <v>02312KND-001</v>
          </cell>
          <cell r="B2063" t="str">
            <v>Function Module,AC&amp;240VDC PSU,PAC1000S56-CB,1000W AC&amp;240V DC Power Module (Back to Front,Power panel side exhaust)</v>
          </cell>
          <cell r="C2063">
            <v>3</v>
          </cell>
          <cell r="E2063" t="str">
            <v>PCS</v>
          </cell>
          <cell r="F2063" t="str">
            <v>28B</v>
          </cell>
          <cell r="G2063" t="str">
            <v>02312KND-001</v>
          </cell>
          <cell r="AA2063" t="str">
            <v>DEMO STOCK</v>
          </cell>
        </row>
        <row r="2064">
          <cell r="A2064" t="str">
            <v>02310LJH</v>
          </cell>
          <cell r="B2064" t="str">
            <v>Switch Products,OGSC10DD0,Optical Transceiver,eSFP(industry),1310nm,1.25Gb/s,-9.5~-3dBm,-20dBm,LC,single-mode,10km</v>
          </cell>
          <cell r="C2064">
            <v>28</v>
          </cell>
          <cell r="E2064" t="str">
            <v>PCS</v>
          </cell>
          <cell r="F2064" t="str">
            <v>28B</v>
          </cell>
          <cell r="G2064" t="str">
            <v>02310LJH</v>
          </cell>
          <cell r="AA2064" t="str">
            <v>DEMO STOCK</v>
          </cell>
        </row>
        <row r="2065">
          <cell r="A2065" t="str">
            <v>02310LJG</v>
          </cell>
          <cell r="B2065" t="str">
            <v>Switch Products,OGSM01880,Optical Transceiver,eSFP(industry),850nm,1.25Gb/s,-10dBm,-2.5dBm,-17dBm,LC,multi-mode,0.55km</v>
          </cell>
          <cell r="C2065">
            <v>4</v>
          </cell>
          <cell r="E2065" t="str">
            <v>PCS</v>
          </cell>
          <cell r="F2065" t="str">
            <v>13B</v>
          </cell>
          <cell r="G2065" t="str">
            <v>02310LJG</v>
          </cell>
          <cell r="AA2065" t="str">
            <v>DEMO STOCK</v>
          </cell>
        </row>
        <row r="2066">
          <cell r="A2066" t="str">
            <v>21240498</v>
          </cell>
          <cell r="B2066" t="str">
            <v>IEC Box mounting ear</v>
          </cell>
          <cell r="C2066">
            <v>5</v>
          </cell>
          <cell r="E2066" t="str">
            <v>PCS</v>
          </cell>
          <cell r="F2066" t="str">
            <v>13B</v>
          </cell>
          <cell r="G2066" t="str">
            <v>21240498</v>
          </cell>
          <cell r="AA2066" t="str">
            <v>DEMO STOCK</v>
          </cell>
        </row>
        <row r="2067">
          <cell r="A2067" t="str">
            <v>21245263</v>
          </cell>
          <cell r="B2067" t="str">
            <v>Chassis accessories-21245263_DRAEN.ASM-chassis general accessories,-sheetmetal-IEC Box mounting ear, 1U(EN black)</v>
          </cell>
          <cell r="C2067">
            <v>7</v>
          </cell>
          <cell r="E2067" t="str">
            <v>PCS</v>
          </cell>
          <cell r="F2067" t="str">
            <v>13B</v>
          </cell>
          <cell r="G2067" t="str">
            <v>21245263</v>
          </cell>
          <cell r="AA2067" t="str">
            <v>DEMO STOCK</v>
          </cell>
        </row>
        <row r="2068">
          <cell r="A2068" t="str">
            <v>02354FRJ-001</v>
          </cell>
          <cell r="B2068" t="str">
            <v>Assembling Components,AC6508,AC6508,AC6508 mainframe (10*GE ports, 2*10GE SFP+ ports, with the AC/DC adapter)</v>
          </cell>
          <cell r="C2068">
            <v>3</v>
          </cell>
          <cell r="E2068" t="str">
            <v>PCS</v>
          </cell>
          <cell r="F2068" t="str">
            <v>12B</v>
          </cell>
          <cell r="G2068" t="str">
            <v>02354FRJ-001</v>
          </cell>
          <cell r="AA2068" t="str">
            <v>DEMO STOCK</v>
          </cell>
        </row>
        <row r="2069">
          <cell r="A2069" t="str">
            <v>21155908-001</v>
          </cell>
          <cell r="B2069" t="str">
            <v>Large Screen Floor Support,21155908-001_DRAEN.ASM,HUAWEI Ideahub Gray Rolling Stand II (65/75/86 inches)</v>
          </cell>
          <cell r="C2069">
            <v>42</v>
          </cell>
          <cell r="E2069" t="str">
            <v>PCS</v>
          </cell>
          <cell r="F2069" t="str">
            <v>Zone C</v>
          </cell>
          <cell r="G2069" t="str">
            <v>21155908-001</v>
          </cell>
          <cell r="AA2069" t="str">
            <v>DEMO STOCK</v>
          </cell>
        </row>
        <row r="2070">
          <cell r="A2070" t="str">
            <v>55151015</v>
          </cell>
          <cell r="B2070" t="str">
            <v>Intelligent Collaboration Device,HUAWEI IdeaHub ES2,IHE2-75SA,Intelligent Collaboration Device 75-inch infrared screen,Titanium grey,overseas</v>
          </cell>
          <cell r="C2070">
            <v>10</v>
          </cell>
          <cell r="E2070" t="str">
            <v>PCS</v>
          </cell>
          <cell r="F2070" t="str">
            <v>Zone C</v>
          </cell>
          <cell r="G2070" t="str">
            <v>55151015</v>
          </cell>
          <cell r="AA2070" t="str">
            <v>DEMO STOCK</v>
          </cell>
        </row>
        <row r="2071">
          <cell r="A2071" t="str">
            <v>55151014</v>
          </cell>
          <cell r="B2071" t="str">
            <v>Intelligent Collaboration Device,HUAWEI IdeaHub ES2,IHE2-65SA,Intelligent Collaboration Device 65-inch infrared screen,Titanium grey,overseas</v>
          </cell>
          <cell r="C2071">
            <v>12</v>
          </cell>
          <cell r="E2071" t="str">
            <v>PCS</v>
          </cell>
          <cell r="F2071" t="str">
            <v>Zone C</v>
          </cell>
          <cell r="G2071" t="str">
            <v>55151014</v>
          </cell>
          <cell r="AA2071" t="str">
            <v>DEMO STOCK</v>
          </cell>
        </row>
        <row r="2072">
          <cell r="A2072" t="str">
            <v>55151016</v>
          </cell>
          <cell r="B2072" t="str">
            <v>Intelligent Collaboration Device,HUAWEI IdeaHub ES2,IHE2-86SA,Intelligent Collaboration Device 86-inch infrared screen,Titanium grey,overseas</v>
          </cell>
          <cell r="C2072">
            <v>7</v>
          </cell>
          <cell r="E2072" t="str">
            <v>PCS</v>
          </cell>
          <cell r="F2072" t="str">
            <v>Zone C</v>
          </cell>
          <cell r="G2072" t="str">
            <v>55151016</v>
          </cell>
          <cell r="AA2072" t="str">
            <v>DEMO STOCK</v>
          </cell>
        </row>
        <row r="2073">
          <cell r="A2073" t="str">
            <v>03057400</v>
          </cell>
          <cell r="B2073" t="str">
            <v>Finished Board Unit,OptiX PTN 960,TND3MD10,32 Channels E1 Interface Board</v>
          </cell>
          <cell r="C2073">
            <v>0</v>
          </cell>
          <cell r="E2073" t="str">
            <v>PCS</v>
          </cell>
          <cell r="G2073" t="str">
            <v>3057400</v>
          </cell>
          <cell r="AA2073" t="str">
            <v>DEMO STOCK</v>
          </cell>
        </row>
        <row r="2074">
          <cell r="A2074" t="str">
            <v>02221409</v>
          </cell>
          <cell r="B2074" t="str">
            <v>Adapter,-40degC,65degC,90V,290V,56.0V/1.61A,C14/RJ45</v>
          </cell>
          <cell r="C2074">
            <v>5</v>
          </cell>
          <cell r="E2074" t="str">
            <v>PCS</v>
          </cell>
          <cell r="F2074" t="str">
            <v>15A, 16A</v>
          </cell>
          <cell r="G2074" t="str">
            <v>2221409</v>
          </cell>
          <cell r="AA2074" t="str">
            <v>DEMO STOCK</v>
          </cell>
        </row>
        <row r="2075">
          <cell r="A2075" t="str">
            <v>02355CXW</v>
          </cell>
          <cell r="B2075" t="str">
            <v>Assembling Components,AirEngine8771-X1T,AirEngine8771-X1T,AirEngine8771-X1T(11be indoor,4+4+4 Triple bands,Scan radio ,Dynamic-zoom smart antenna,USB,BLE)</v>
          </cell>
          <cell r="C2075">
            <v>4</v>
          </cell>
          <cell r="E2075" t="str">
            <v>PCS</v>
          </cell>
          <cell r="F2075" t="str">
            <v>16A</v>
          </cell>
          <cell r="G2075" t="str">
            <v>02355CXW</v>
          </cell>
          <cell r="AA2075" t="str">
            <v>DEMO STOCK</v>
          </cell>
        </row>
        <row r="2076">
          <cell r="A2076" t="str">
            <v>02356DFT</v>
          </cell>
          <cell r="B2076" t="str">
            <v>Assembling Components,AirEngine8771-X1T-BUNDLE,AE8771-X1T-BUNA,AirEngine8771-X1T-Bundle (Containing 8*AirEngine8771-X1T)</v>
          </cell>
          <cell r="C2076">
            <v>2</v>
          </cell>
          <cell r="E2076" t="str">
            <v>PCS</v>
          </cell>
          <cell r="F2076" t="str">
            <v>16A</v>
          </cell>
          <cell r="G2076" t="str">
            <v>02356DFT</v>
          </cell>
          <cell r="AA2076" t="str">
            <v>DEMO STOCK</v>
          </cell>
        </row>
        <row r="2077">
          <cell r="A2077" t="str">
            <v>21155588</v>
          </cell>
          <cell r="B2077" t="str">
            <v>Sheetmetal-21155588_DRAEN.ASM-Thin mounting bracket-AirEngine 6761-21</v>
          </cell>
          <cell r="C2077">
            <v>4</v>
          </cell>
          <cell r="E2077" t="str">
            <v>PCS</v>
          </cell>
          <cell r="F2077" t="str">
            <v>16B</v>
          </cell>
          <cell r="G2077" t="str">
            <v>21155588</v>
          </cell>
          <cell r="AA2077" t="str">
            <v>DEMO STOCK</v>
          </cell>
        </row>
        <row r="2078">
          <cell r="A2078" t="str">
            <v>02311BJJ</v>
          </cell>
          <cell r="B2078" t="str">
            <v>Function Module,Enterprise Networking Product,SFP-10G-iLR,Optical Transceiver,SFP+,9.8G,Single-mode Module(1310nm,1.4km,LC)</v>
          </cell>
          <cell r="C2078">
            <v>11</v>
          </cell>
          <cell r="E2078" t="str">
            <v>PCS</v>
          </cell>
          <cell r="F2078" t="str">
            <v>15A, 16A</v>
          </cell>
          <cell r="G2078" t="str">
            <v>02311BJJ</v>
          </cell>
          <cell r="AA2078" t="str">
            <v>DEMO STOCK</v>
          </cell>
        </row>
        <row r="2079">
          <cell r="A2079" t="str">
            <v>02313URD</v>
          </cell>
          <cell r="B2079" t="str">
            <v>Function Module,Switch Products,DP0M0ESFP,Optical Transceiver,eSFP,GE,Multi-mode Module(850nm,0.55km,LC)</v>
          </cell>
          <cell r="C2079">
            <v>10</v>
          </cell>
          <cell r="E2079" t="str">
            <v>PCS</v>
          </cell>
          <cell r="F2079" t="str">
            <v>16A</v>
          </cell>
          <cell r="G2079" t="str">
            <v>02313URD</v>
          </cell>
          <cell r="AA2079" t="str">
            <v>DEMO STOCK</v>
          </cell>
        </row>
        <row r="2080">
          <cell r="A2080" t="str">
            <v>55150960</v>
          </cell>
          <cell r="B2080" t="str">
            <v>Intelligent Collaboration Device,HUAWEI IdeaHub ES2 Plus,IHE2-86IA,Intelligent Collaboration Device 86-inch infrared screen,Titanium grey,overseas</v>
          </cell>
          <cell r="C2080">
            <v>0</v>
          </cell>
          <cell r="E2080" t="str">
            <v>PCS</v>
          </cell>
          <cell r="G2080" t="str">
            <v>55150960</v>
          </cell>
          <cell r="AA2080" t="str">
            <v>DEMO STOCK</v>
          </cell>
        </row>
        <row r="2081">
          <cell r="A2081" t="str">
            <v>02313KFB</v>
          </cell>
          <cell r="B2081" t="str">
            <v>Function Module,HUAWEI Mic 500T,CloudLink Mic 500T,Microphone Array(upside-down charging)</v>
          </cell>
          <cell r="C2081">
            <v>1</v>
          </cell>
          <cell r="E2081" t="str">
            <v>PCS</v>
          </cell>
          <cell r="G2081" t="str">
            <v>02313KFB</v>
          </cell>
          <cell r="AA2081" t="str">
            <v>DEMO STOCK</v>
          </cell>
        </row>
        <row r="2082">
          <cell r="A2082" t="str">
            <v>02355NEH</v>
          </cell>
          <cell r="B2082" t="str">
            <v>Assembling Components,S5755-H48UN4Y2CZ,S5755-H48UN4Y2CZ,S5755-H48UN4Y2CZ (48*10/100/1000/2.5GBASE-T ports, 4*25GE SFP28 ports, 2*100GE QSFP28 ports, expansion card slot, PoE++, without power module)</v>
          </cell>
          <cell r="C2082">
            <v>1</v>
          </cell>
          <cell r="E2082" t="str">
            <v>PCS</v>
          </cell>
          <cell r="F2082" t="str">
            <v>16A</v>
          </cell>
          <cell r="G2082" t="str">
            <v>02355NEH</v>
          </cell>
          <cell r="AA2082" t="str">
            <v>DEMO STOCK</v>
          </cell>
        </row>
        <row r="2083">
          <cell r="A2083" t="str">
            <v>50086768</v>
          </cell>
          <cell r="B2083" t="str">
            <v>Wireless LAN Equipment,AirEngine5773-23HW,AirEngine5773-23HW(11be indoor,2+2 dual bands,smart antenna,USB,BLE,1*2.5G/GE port with a BIDI LC connector),AirEngine5773-23HW,RJ45*4+2.5G optical*1,11be,dual bands</v>
          </cell>
          <cell r="C2083">
            <v>1</v>
          </cell>
          <cell r="E2083" t="str">
            <v>PCS</v>
          </cell>
          <cell r="F2083" t="str">
            <v>15B</v>
          </cell>
          <cell r="G2083" t="str">
            <v>50086768</v>
          </cell>
          <cell r="AA2083" t="str">
            <v>DEMO STOCK</v>
          </cell>
        </row>
        <row r="2084">
          <cell r="A2084" t="str">
            <v>98011986</v>
          </cell>
          <cell r="B2084" t="str">
            <v>Data Communication,S5735-L8P4S-A-V2,S5735-L8P4S-A-V2,S5735-L8P4S-A-V2 (8*10/100/1000BASE-T ports, 4*GE SFP ports, PoE+, AC power)</v>
          </cell>
          <cell r="C2084">
            <v>1</v>
          </cell>
          <cell r="E2084" t="str">
            <v>PCS</v>
          </cell>
          <cell r="F2084" t="str">
            <v>16A</v>
          </cell>
          <cell r="G2084" t="str">
            <v>98011986</v>
          </cell>
          <cell r="AA2084" t="str">
            <v>DEMO STOCK</v>
          </cell>
        </row>
        <row r="2085">
          <cell r="A2085" t="str">
            <v>98012074</v>
          </cell>
          <cell r="B2085" t="str">
            <v>Data Communication,S5735-L8P4X-QA-V2,S5735-L8P4X-QA-V2,S5735-L8P4X-QA-V2 (8*10/100/1000BASE-T ports, 4*10GE SFP+ ports, PoE+, AC power, Fanless)</v>
          </cell>
          <cell r="C2085">
            <v>2</v>
          </cell>
          <cell r="E2085" t="str">
            <v>PCS</v>
          </cell>
          <cell r="F2085" t="str">
            <v>12B</v>
          </cell>
          <cell r="G2085" t="str">
            <v>98012074</v>
          </cell>
          <cell r="AA2085" t="str">
            <v>DEMO STOCK</v>
          </cell>
        </row>
        <row r="2086">
          <cell r="A2086" t="str">
            <v>98012397</v>
          </cell>
          <cell r="B2086" t="str">
            <v>Data Communication,S5735-L48LPN4XE-A-V2,S5735-L48LPN4XE-A-V2,S5735-L48LPN4XE-A-V2 (48*10/100/1000/2.5GBASE-T ports(PoE+), 4*10GE SFP+ ports, 2*12GE stack ports, 360W PoE, built-in AC power)</v>
          </cell>
          <cell r="C2086">
            <v>2</v>
          </cell>
          <cell r="E2086" t="str">
            <v>PCS</v>
          </cell>
          <cell r="F2086" t="str">
            <v>16A</v>
          </cell>
          <cell r="G2086" t="str">
            <v>98012397</v>
          </cell>
          <cell r="AA2086" t="str">
            <v>DEMO STOCK</v>
          </cell>
        </row>
        <row r="2087">
          <cell r="A2087" t="str">
            <v>50086834</v>
          </cell>
          <cell r="B2087" t="str">
            <v>Wireless LAN Equipment,AirEngine5773-23H,AirEngine5773-23H(11be indoor,2+2 dual bands,smart antenna,USB,BLE,1*2.5G/GE port with a BIDI LC connector),AirEngine5773-23H,RJ45*1+2.5G optical*1,11be,dual bands</v>
          </cell>
          <cell r="C2087">
            <v>2</v>
          </cell>
          <cell r="E2087" t="str">
            <v>PCS</v>
          </cell>
          <cell r="F2087" t="str">
            <v>16A</v>
          </cell>
          <cell r="G2087" t="str">
            <v>50086834</v>
          </cell>
          <cell r="AA2087" t="str">
            <v>DEMO STOCK</v>
          </cell>
        </row>
        <row r="2088">
          <cell r="A2088" t="str">
            <v>21155758</v>
          </cell>
          <cell r="B2088" t="str">
            <v>AP Small bracket</v>
          </cell>
          <cell r="C2088">
            <v>1</v>
          </cell>
          <cell r="E2088" t="str">
            <v>PCS</v>
          </cell>
          <cell r="F2088" t="str">
            <v>15B</v>
          </cell>
          <cell r="G2088" t="str">
            <v>21155758</v>
          </cell>
          <cell r="AA2088" t="str">
            <v>DEMO STOCK</v>
          </cell>
        </row>
        <row r="2089">
          <cell r="A2089" t="str">
            <v>50086833-001</v>
          </cell>
          <cell r="B2089" t="str">
            <v>Wireless LAN Equipment,AirEngine5773-22P,AirEngine5773-22P(11be indoor,2+2 dual bands,smart antenna,USB,BLE,PoE OUT),AirEngine5773-22P,RJ45*2,11be,dual bands</v>
          </cell>
          <cell r="C2089">
            <v>1</v>
          </cell>
          <cell r="E2089" t="str">
            <v>PCS</v>
          </cell>
          <cell r="F2089" t="str">
            <v>15B</v>
          </cell>
          <cell r="G2089" t="str">
            <v>50086833-001</v>
          </cell>
          <cell r="AA2089" t="str">
            <v>DEMO STOCK</v>
          </cell>
        </row>
        <row r="2090">
          <cell r="A2090" t="str">
            <v>98012399</v>
          </cell>
          <cell r="B2090" t="str">
            <v>Data Communication,S5735-S48PN4XE-V2,S5735-S48PN4XE-V2,S5735-S48PN4XE-V2 (48*10/100/1000/2.5GBASE-T ports(PoE+), 4*10GE SFP+ ports, 2*12GE stack ports, without power module)</v>
          </cell>
          <cell r="C2090">
            <v>1</v>
          </cell>
          <cell r="E2090" t="str">
            <v>PCS</v>
          </cell>
          <cell r="F2090" t="str">
            <v>16A</v>
          </cell>
          <cell r="G2090" t="str">
            <v>98012399</v>
          </cell>
          <cell r="AA2090" t="str">
            <v>DEMO STOCK</v>
          </cell>
        </row>
        <row r="2091">
          <cell r="A2091" t="str">
            <v>50086827-001</v>
          </cell>
          <cell r="B2091" t="str">
            <v>Wireless LAN Equipment,AirEngine6776-56TP,AirEngine6776-56TP(11be indoor,2+2+4 tri bands,smart antenna,USB,BLE,PoE OUT),AirEngine6776-56TP,RJ45*2,11be, tri bands</v>
          </cell>
          <cell r="C2091">
            <v>0</v>
          </cell>
          <cell r="E2091" t="str">
            <v>PCS</v>
          </cell>
          <cell r="G2091" t="str">
            <v>50086827-001</v>
          </cell>
          <cell r="AA2091" t="str">
            <v>DEMO STOCK</v>
          </cell>
        </row>
        <row r="2092">
          <cell r="A2092" t="str">
            <v>50086829-001</v>
          </cell>
          <cell r="B2092" t="str">
            <v>Wireless LAN Equipment,AirEngine5776-26,AirEngine5776-26(11be indoor,2+4 dual bands,smart antenna,USB),AirEngine5776-26,RJ45*2,11be,dual bands</v>
          </cell>
          <cell r="C2092">
            <v>0</v>
          </cell>
          <cell r="E2092" t="str">
            <v>PCS</v>
          </cell>
          <cell r="G2092" t="str">
            <v>50086829-001</v>
          </cell>
          <cell r="AA2092" t="str">
            <v>DEMO STOCK</v>
          </cell>
        </row>
        <row r="2093">
          <cell r="A2093" t="str">
            <v>02221407</v>
          </cell>
          <cell r="B2093" t="str">
            <v>Adapter,-25degC,50degC,90V,290V,56V/35W</v>
          </cell>
          <cell r="C2093">
            <v>1</v>
          </cell>
          <cell r="E2093" t="str">
            <v>PCS</v>
          </cell>
          <cell r="F2093" t="str">
            <v>16A</v>
          </cell>
          <cell r="G2093" t="str">
            <v>2221407</v>
          </cell>
          <cell r="AA2093" t="str">
            <v>DEMO STOCK</v>
          </cell>
        </row>
        <row r="2094">
          <cell r="A2094" t="str">
            <v>50086828</v>
          </cell>
          <cell r="B2094" t="str">
            <v>Wireless LAN Equipment,AirEngine6776-57T,AirEngine6776-57T(11be indoor,2+2+4 tri bands,smart antenna,USB,BLE),AirEngine6776-57T,RJ45*2,11be,tri bands</v>
          </cell>
          <cell r="C2094">
            <v>1</v>
          </cell>
          <cell r="E2094" t="str">
            <v>PCS</v>
          </cell>
          <cell r="F2094" t="str">
            <v>16A</v>
          </cell>
          <cell r="G2094" t="str">
            <v>50086828</v>
          </cell>
          <cell r="AA2094" t="str">
            <v>DEMO STOCK</v>
          </cell>
        </row>
        <row r="2095">
          <cell r="A2095" t="str">
            <v>02356HEP</v>
          </cell>
          <cell r="B2095" t="str">
            <v>Assembling Components,AirEngine5773-21,AE5773-21-BUN,AirEngine5773-21-Bundle(Including 12 * AirEngine5773-21)</v>
          </cell>
          <cell r="C2095">
            <v>1</v>
          </cell>
          <cell r="E2095" t="str">
            <v>PCS</v>
          </cell>
          <cell r="F2095" t="str">
            <v>14A</v>
          </cell>
          <cell r="G2095" t="str">
            <v>02356HEP</v>
          </cell>
          <cell r="AA2095" t="str">
            <v>DEMO STOCK</v>
          </cell>
        </row>
        <row r="2096">
          <cell r="A2096" t="str">
            <v>02311KNX</v>
          </cell>
          <cell r="B2096" t="str">
            <v>Function Module,QSFP28-100G-CU3M,High Speed Cable,3m,QSFP28,CC8P0.254B(S),QSFP28</v>
          </cell>
          <cell r="C2096">
            <v>2</v>
          </cell>
          <cell r="E2096" t="str">
            <v>PCS</v>
          </cell>
          <cell r="F2096" t="str">
            <v>13B</v>
          </cell>
          <cell r="G2096" t="str">
            <v>02311KNX</v>
          </cell>
          <cell r="AA2096" t="str">
            <v>DEMO STOCK</v>
          </cell>
        </row>
        <row r="2097">
          <cell r="A2097" t="str">
            <v>02313BUS</v>
          </cell>
          <cell r="B2097" t="str">
            <v>Function Module,AC PSU,PAC600S12-PB,600W AC Power Module(Back to Front,Power panel side exhaust)</v>
          </cell>
          <cell r="C2097">
            <v>6</v>
          </cell>
          <cell r="E2097" t="str">
            <v>PCS</v>
          </cell>
          <cell r="F2097" t="str">
            <v>13B</v>
          </cell>
          <cell r="G2097" t="str">
            <v>02313BUS</v>
          </cell>
          <cell r="AA2097" t="str">
            <v>DEMO STOCK</v>
          </cell>
        </row>
        <row r="2098">
          <cell r="A2098" t="str">
            <v>02313NYX</v>
          </cell>
          <cell r="B2098" t="str">
            <v>Function Module,AC&amp;240VDC PSU,PAC1K2S12-PB,1200W AC&amp;240V DC Power Module (Back to Front,Power panel side exhaust)</v>
          </cell>
          <cell r="C2098">
            <v>2</v>
          </cell>
          <cell r="E2098" t="str">
            <v>PCS</v>
          </cell>
          <cell r="F2098" t="str">
            <v>13B</v>
          </cell>
          <cell r="G2098" t="str">
            <v>02313NYX</v>
          </cell>
          <cell r="AA2098" t="str">
            <v>DEMO STOCK</v>
          </cell>
        </row>
        <row r="2099">
          <cell r="A2099" t="str">
            <v>02355UEK</v>
          </cell>
          <cell r="B2099" t="str">
            <v>Assembling Components,S6750-H36C,S6750-H36C,S6750-H36C (36*100GE QSFP28 ports, without power module)</v>
          </cell>
          <cell r="C2099">
            <v>1</v>
          </cell>
          <cell r="E2099" t="str">
            <v>PCS</v>
          </cell>
          <cell r="F2099" t="str">
            <v>13B</v>
          </cell>
          <cell r="G2099" t="str">
            <v>02355UEK</v>
          </cell>
          <cell r="AA2099" t="str">
            <v>DEMO STOCK</v>
          </cell>
        </row>
        <row r="2100">
          <cell r="A2100" t="str">
            <v>02355UEL</v>
          </cell>
          <cell r="B2100" t="str">
            <v>Assembling Components,S6750-H48Y8C,S6750-H48Y8C,S6750-H48Y8C (48*25GE SFP28 ports, 8*100GE QSFP28 ports, without power module)</v>
          </cell>
          <cell r="C2100">
            <v>2</v>
          </cell>
          <cell r="E2100" t="str">
            <v>PCS</v>
          </cell>
          <cell r="F2100" t="str">
            <v>13B</v>
          </cell>
          <cell r="G2100" t="str">
            <v>02355UEL</v>
          </cell>
          <cell r="AA2100" t="str">
            <v>DEMO STOCK</v>
          </cell>
        </row>
        <row r="2101">
          <cell r="A2101" t="str">
            <v>02311MNV</v>
          </cell>
          <cell r="B2101" t="str">
            <v>Function Module,Enterprise Communication Product,SFP-25G-CU3M-N,SFP28,25G,High Speed Direct-attach Cables,3m,(SFP28),CC2P0.4B(S),(SFP28),Used indoor</v>
          </cell>
          <cell r="C2101">
            <v>0</v>
          </cell>
          <cell r="E2101" t="str">
            <v>PCS</v>
          </cell>
          <cell r="G2101" t="str">
            <v>02311MNV</v>
          </cell>
          <cell r="AA2101" t="str">
            <v>DEMO STOCK</v>
          </cell>
        </row>
        <row r="2102">
          <cell r="A2102" t="str">
            <v>06190010</v>
          </cell>
          <cell r="B2102" t="str">
            <v>OPS,I7-10700,DDR4 16GB,512GB SSD,Windows11 IOT Entreprise SAC,195mm,180mm,30mm</v>
          </cell>
          <cell r="C2102">
            <v>0</v>
          </cell>
          <cell r="E2102" t="str">
            <v>PCS</v>
          </cell>
          <cell r="G2102" t="str">
            <v>6190010</v>
          </cell>
          <cell r="AA2102" t="str">
            <v>DEMO STOCK</v>
          </cell>
        </row>
        <row r="2103">
          <cell r="A2103" t="str">
            <v>02312UUF</v>
          </cell>
          <cell r="B2103" t="str">
            <v>Function Module,Enterprise Networking Product,SFP-10G-iLR,Optical Transceiver,SFP+,9.8G,Single-mode Module(1310nm,1.4km,LC)</v>
          </cell>
          <cell r="C2103">
            <v>16</v>
          </cell>
          <cell r="E2103" t="str">
            <v>PCS</v>
          </cell>
          <cell r="F2103" t="str">
            <v>29B</v>
          </cell>
          <cell r="G2103" t="str">
            <v>02312UUF</v>
          </cell>
          <cell r="AA2103" t="str">
            <v>DEMO STOCK</v>
          </cell>
        </row>
        <row r="2104">
          <cell r="A2104" t="str">
            <v>02314APV</v>
          </cell>
          <cell r="B2104" t="str">
            <v>Function Module,AC&amp;240VDC PSU,PAC600S56-EB,600W AC&amp;240V DC Power Module (66mm Width Case,Back to Front,Power panel side exhaust)</v>
          </cell>
          <cell r="C2104">
            <v>6</v>
          </cell>
          <cell r="E2104" t="str">
            <v>PCS</v>
          </cell>
          <cell r="F2104" t="str">
            <v>14B</v>
          </cell>
          <cell r="G2104" t="str">
            <v>02314APV</v>
          </cell>
          <cell r="AA2104" t="str">
            <v>DEMO STOCK</v>
          </cell>
        </row>
        <row r="2105">
          <cell r="A2105" t="str">
            <v>02314BDD</v>
          </cell>
          <cell r="B2105" t="str">
            <v>Function Module,Enterprise Network Products,SFP-1000BaseT-G2,Electrical Transceiver,SFP,GE,Electrical Interface Module(100m,RJ45)</v>
          </cell>
          <cell r="C2105">
            <v>4</v>
          </cell>
          <cell r="E2105" t="str">
            <v>PCS</v>
          </cell>
          <cell r="F2105" t="str">
            <v>16A</v>
          </cell>
          <cell r="G2105" t="str">
            <v>02314BDD</v>
          </cell>
          <cell r="AA2105" t="str">
            <v>DEMO STOCK</v>
          </cell>
        </row>
        <row r="2106">
          <cell r="A2106" t="str">
            <v>02353KCM-001</v>
          </cell>
          <cell r="B2106" t="str">
            <v>Assembling Components,AirEngine6760R-51,AirEngine6760R-51,AirEngine6760R-51(11ax outdoor,4+4 dual bands,smart antenna,BLE)</v>
          </cell>
          <cell r="C2106">
            <v>10</v>
          </cell>
          <cell r="E2106" t="str">
            <v>PCS</v>
          </cell>
          <cell r="F2106" t="str">
            <v>29A</v>
          </cell>
          <cell r="G2106" t="str">
            <v>02353KCM-001</v>
          </cell>
          <cell r="AA2106" t="str">
            <v>DEMO STOCK</v>
          </cell>
        </row>
        <row r="2107">
          <cell r="A2107" t="str">
            <v>19020062</v>
          </cell>
          <cell r="B2107" t="str">
            <v>Power Lightning Arrester,20KA,1.8KV,220V,Terminal,Guideway Mounting</v>
          </cell>
          <cell r="C2107">
            <v>10</v>
          </cell>
          <cell r="E2107" t="str">
            <v>PCS</v>
          </cell>
          <cell r="F2107" t="str">
            <v>29B</v>
          </cell>
          <cell r="G2107" t="str">
            <v>19020062</v>
          </cell>
          <cell r="AA2107" t="str">
            <v>DEMO STOCK</v>
          </cell>
        </row>
        <row r="2108">
          <cell r="A2108" t="str">
            <v>19020303</v>
          </cell>
          <cell r="B2108" t="str">
            <v>Signal Arrester,6KA,100V,100W,1000MB/s,RJ45</v>
          </cell>
          <cell r="C2108">
            <v>10</v>
          </cell>
          <cell r="E2108" t="str">
            <v>PCS</v>
          </cell>
          <cell r="F2108" t="str">
            <v>14B</v>
          </cell>
          <cell r="G2108" t="str">
            <v>19020303</v>
          </cell>
          <cell r="AA2108" t="str">
            <v>DEMO STOCK</v>
          </cell>
        </row>
        <row r="2109">
          <cell r="A2109" t="str">
            <v>21154340</v>
          </cell>
          <cell r="B2109" t="str">
            <v>Installaion Parts of Machining,21154340_DRAEN.ASM,Outdoor Adjustable Mounting Kit for SC,Outdoor,Holder</v>
          </cell>
          <cell r="C2109">
            <v>10</v>
          </cell>
          <cell r="E2109" t="str">
            <v>PCS</v>
          </cell>
          <cell r="F2109" t="str">
            <v>14A</v>
          </cell>
          <cell r="G2109" t="str">
            <v>21154340</v>
          </cell>
          <cell r="AA2109" t="str">
            <v>DEMO STOCK</v>
          </cell>
        </row>
        <row r="2110">
          <cell r="A2110" t="str">
            <v>25030394</v>
          </cell>
          <cell r="B2110" t="str">
            <v>Electronic|Electric Cable,300V/500V,60227 IEC 53(RVV),2x1mm^2,Black(2Cores:Brown,Blue),10A,Outdoor Cable,CCC,CE</v>
          </cell>
          <cell r="C2110">
            <v>40</v>
          </cell>
          <cell r="E2110" t="str">
            <v>PCS</v>
          </cell>
          <cell r="F2110" t="str">
            <v>16B</v>
          </cell>
          <cell r="G2110" t="str">
            <v>25030394</v>
          </cell>
          <cell r="AA2110" t="str">
            <v>DEMO STOCK</v>
          </cell>
        </row>
        <row r="2111">
          <cell r="A2111" t="str">
            <v>06190037</v>
          </cell>
          <cell r="B2111" t="str">
            <v>OPS,I5-12400,DDR4 8GB,256GB SSD,Windows11 IOT Enterprise SAC,195mm,180mm,30mm</v>
          </cell>
          <cell r="C2111">
            <v>0</v>
          </cell>
          <cell r="E2111" t="str">
            <v>PCS</v>
          </cell>
          <cell r="F2111" t="str">
            <v>13A</v>
          </cell>
          <cell r="G2111" t="str">
            <v>6190037</v>
          </cell>
          <cell r="AA2111" t="str">
            <v>DEMO STOCK</v>
          </cell>
        </row>
        <row r="2112">
          <cell r="A2112" t="str">
            <v>06190034</v>
          </cell>
          <cell r="B2112" t="str">
            <v>OPS,I7-12700,DDR4 16GB,512GB SSD,Windows11 IOT Enterprise SAC,195mm,180mm,30mm</v>
          </cell>
          <cell r="C2112">
            <v>47</v>
          </cell>
          <cell r="E2112" t="str">
            <v>PCS</v>
          </cell>
          <cell r="F2112" t="str">
            <v>15A</v>
          </cell>
          <cell r="G2112" t="str">
            <v>6190034</v>
          </cell>
          <cell r="AA2112" t="str">
            <v>DEMO STOCK</v>
          </cell>
        </row>
        <row r="2113">
          <cell r="A2113" t="str">
            <v>55150939</v>
          </cell>
          <cell r="B2113" t="str">
            <v>Intelligent Collaboration Device,HUAWEI IdeaHub B3,IHB3-86SA,Intelligent Collaboration Device 86-inch infrared screen,Jade white,overseas,Distribution</v>
          </cell>
          <cell r="C2113">
            <v>0</v>
          </cell>
          <cell r="E2113" t="str">
            <v>PCS</v>
          </cell>
          <cell r="G2113" t="str">
            <v>55150939</v>
          </cell>
          <cell r="AA2113" t="str">
            <v>DEMO STOCK</v>
          </cell>
        </row>
        <row r="2114">
          <cell r="A2114" t="str">
            <v>55150937</v>
          </cell>
          <cell r="B2114" t="str">
            <v>Intelligent Collaboration Device,HUAWEI IdeaHub B3,IHB3-65SA,Intelligent Collaboration Device 65-inch infrared screen,Jade white,overseas,Distribution</v>
          </cell>
          <cell r="C2114">
            <v>0</v>
          </cell>
          <cell r="E2114" t="str">
            <v>PCS</v>
          </cell>
          <cell r="G2114" t="str">
            <v>55150937</v>
          </cell>
          <cell r="AA2114" t="str">
            <v>DEMO STOCK</v>
          </cell>
        </row>
        <row r="2115">
          <cell r="A2115" t="str">
            <v>55150938</v>
          </cell>
          <cell r="B2115" t="str">
            <v>Intelligent Collaboration Device,HUAWEI IdeaHub B3,IHB3-75SA,Intelligent Collaboration Device 75-inch infrared screen,Jade white,overseas,Distribution</v>
          </cell>
          <cell r="C2115">
            <v>0</v>
          </cell>
          <cell r="E2115" t="str">
            <v>PCS</v>
          </cell>
          <cell r="G2115" t="str">
            <v>55150938</v>
          </cell>
          <cell r="AA2115" t="str">
            <v>DEMO STOCK</v>
          </cell>
        </row>
        <row r="2116">
          <cell r="A2116" t="str">
            <v>50086767-001</v>
          </cell>
          <cell r="B2116" t="str">
            <v>Wireless LAN Equipment,AirEngine5773-21,AirEngine5773-21(11be indoor,2+2 dual bands,smart antenna,USB,BLE),AirEngine5773-21,RJ45*1,11be,dual bands</v>
          </cell>
          <cell r="C2116">
            <v>20</v>
          </cell>
          <cell r="E2116" t="str">
            <v>PCS</v>
          </cell>
          <cell r="F2116" t="str">
            <v>14A</v>
          </cell>
          <cell r="G2116" t="str">
            <v>50086767-001</v>
          </cell>
          <cell r="AA2116" t="str">
            <v>DEMO STOCK</v>
          </cell>
        </row>
        <row r="2117">
          <cell r="A2117" t="str">
            <v>50087286</v>
          </cell>
          <cell r="B2117" t="str">
            <v>Wireless LAN Equipment,AirEngine6776I-X7TH,AirEngine6776I-X7TH (11be outdoor, 2+2+4 three radios, built-in omnidirectional antenna, USB, Bluetooth),AirEngine6776I-X7TH,RJ45*2+10G optical*1,11be,tri bands</v>
          </cell>
          <cell r="C2117">
            <v>3</v>
          </cell>
          <cell r="E2117" t="str">
            <v>PCS</v>
          </cell>
          <cell r="F2117" t="str">
            <v>13B</v>
          </cell>
          <cell r="G2117" t="str">
            <v>50087286</v>
          </cell>
          <cell r="AA2117" t="str">
            <v>DEMO STOCK</v>
          </cell>
        </row>
        <row r="2118">
          <cell r="A2118" t="str">
            <v>21155588-001</v>
          </cell>
          <cell r="B2118" t="str">
            <v>Sheetmetal-21155588-001_DRAEN.ASM-Thin mounting bracket-AirEngine 6761-21</v>
          </cell>
          <cell r="C2118">
            <v>2</v>
          </cell>
          <cell r="E2118" t="str">
            <v>PCS</v>
          </cell>
          <cell r="F2118" t="str">
            <v>16A</v>
          </cell>
          <cell r="G2118" t="str">
            <v>21155588-001</v>
          </cell>
          <cell r="AA2118" t="str">
            <v>DEMO STOCK</v>
          </cell>
        </row>
        <row r="2119">
          <cell r="A2119" t="str">
            <v>50087136</v>
          </cell>
          <cell r="B2119" t="str">
            <v>Wireless LAN Equipment,AirEngine6776-58TI,AirEngine6776-58TI(11be indoor,2+4+2 tri bands,smart antenna,USB,IoT Slot,BLE),AirEngine6776-58TI,RJ45*2,11be,tri bands</v>
          </cell>
          <cell r="C2119">
            <v>1</v>
          </cell>
          <cell r="E2119" t="str">
            <v>PCS</v>
          </cell>
          <cell r="F2119" t="str">
            <v>14B</v>
          </cell>
          <cell r="G2119" t="str">
            <v>50087136</v>
          </cell>
          <cell r="AA2119" t="str">
            <v>DEMO STOCK</v>
          </cell>
        </row>
        <row r="2120">
          <cell r="A2120" t="str">
            <v>98012445</v>
          </cell>
          <cell r="B2120" t="str">
            <v>Data Communication,S6750-S16X8YZ,S6750-S16X8YZ,S6750-S16X8YZ (16*10GE SFP+ ports, 8*25GE SFP28 ports, expansion card slot, without power module)</v>
          </cell>
          <cell r="C2120">
            <v>1</v>
          </cell>
          <cell r="E2120" t="str">
            <v>PCS</v>
          </cell>
          <cell r="F2120" t="str">
            <v>13B</v>
          </cell>
          <cell r="G2120" t="str">
            <v>98012445</v>
          </cell>
          <cell r="AA2120" t="str">
            <v>DEMO STOCK</v>
          </cell>
        </row>
        <row r="2121">
          <cell r="A2121" t="str">
            <v>21154869</v>
          </cell>
          <cell r="B2121" t="str">
            <v>Tonic wire sealing.</v>
          </cell>
          <cell r="C2121">
            <v>4</v>
          </cell>
          <cell r="E2121" t="str">
            <v>PCS</v>
          </cell>
          <cell r="F2121" t="str">
            <v>16A</v>
          </cell>
          <cell r="G2121" t="str">
            <v>21154869</v>
          </cell>
          <cell r="AA2121" t="str">
            <v>DEMO STOCK</v>
          </cell>
        </row>
        <row r="2122">
          <cell r="A2122" t="str">
            <v>34060742</v>
          </cell>
          <cell r="B2122" t="str">
            <v>"Optical transceiver,SFP+,1310nm,10Gb/s,-8.2~0.5dBm,-12.6dBm,LC,SM,10km"</v>
          </cell>
          <cell r="C2122">
            <v>8</v>
          </cell>
          <cell r="E2122" t="str">
            <v>PCS</v>
          </cell>
          <cell r="F2122" t="str">
            <v>29A</v>
          </cell>
          <cell r="G2122" t="str">
            <v>34060742</v>
          </cell>
          <cell r="AA2122" t="str">
            <v>DEMO STOCK</v>
          </cell>
        </row>
        <row r="2123">
          <cell r="A2123" t="str">
            <v>14990224</v>
          </cell>
          <cell r="B2123" t="str">
            <v>Adapter,Fiber Connector Plug,1413Fiber Cable,1:1,Length 85mm,Outdoor use, Meeting to IP65&amp;IP67</v>
          </cell>
          <cell r="C2123">
            <v>4</v>
          </cell>
          <cell r="E2123" t="str">
            <v>PCS</v>
          </cell>
          <cell r="F2123" t="str">
            <v>13A</v>
          </cell>
          <cell r="G2123" t="str">
            <v>14990224</v>
          </cell>
          <cell r="AA2123" t="str">
            <v>DEMO STOCK</v>
          </cell>
        </row>
        <row r="2124">
          <cell r="A2124" t="str">
            <v>02353WAU</v>
          </cell>
          <cell r="B2124" t="str">
            <v>Assembling Components,USG6615F-AC,USG6615F-AC,USG6615F(HTM) AC Host(8*GE COMBO + 4*GE RJ45 + 4*GE SFP + 6*10GE SFP+ ,1 AC POWER)</v>
          </cell>
          <cell r="C2124">
            <v>1</v>
          </cell>
          <cell r="E2124" t="str">
            <v>PCS</v>
          </cell>
          <cell r="F2124" t="str">
            <v>12B</v>
          </cell>
          <cell r="G2124" t="str">
            <v>02353WAU</v>
          </cell>
          <cell r="AA2124" t="str">
            <v>DEMO STOCK</v>
          </cell>
        </row>
        <row r="2125">
          <cell r="A2125" t="str">
            <v>02313XED</v>
          </cell>
          <cell r="B2125" t="str">
            <v>Function Module,Public Module,SSD-SATA240G-C,Solid State Drives-SSD-SATA240G-C-240GB-SATA 6Gb/s-2.5 inch-M.2 converted to U.2</v>
          </cell>
          <cell r="C2125">
            <v>1</v>
          </cell>
          <cell r="E2125" t="str">
            <v>PCS</v>
          </cell>
          <cell r="F2125" t="str">
            <v>14A</v>
          </cell>
          <cell r="G2125" t="str">
            <v>02313XED</v>
          </cell>
          <cell r="AA2125" t="str">
            <v>DEMO STOCK</v>
          </cell>
        </row>
        <row r="2126">
          <cell r="A2126" t="str">
            <v>02354PUJ</v>
          </cell>
          <cell r="B2126" t="str">
            <v>Assembling Components,AR6710-L8T3TS1X2-T,AR6710-L8T3TS1X2-T,2*GE combo WAN, 1*10GE(SFP+) WAN, 8*GE LAN, 1*GE combo LAN, 2*USB 2.0, 2*SIC</v>
          </cell>
          <cell r="C2126">
            <v>2</v>
          </cell>
          <cell r="E2126" t="str">
            <v>PCS</v>
          </cell>
          <cell r="F2126" t="str">
            <v>13B</v>
          </cell>
          <cell r="G2126" t="str">
            <v>02354PUJ</v>
          </cell>
          <cell r="AA2126" t="str">
            <v>DEMO STOCK</v>
          </cell>
        </row>
        <row r="2127">
          <cell r="A2127" t="str">
            <v>Part Number</v>
          </cell>
          <cell r="B2127" t="str">
            <v>Material description</v>
          </cell>
          <cell r="C2127" t="str">
            <v>Available Qty</v>
          </cell>
          <cell r="E2127" t="str">
            <v>UOM</v>
          </cell>
          <cell r="F2127" t="str">
            <v>Rack#</v>
          </cell>
          <cell r="G2127" t="str">
            <v>musa</v>
          </cell>
          <cell r="AA2127" t="str">
            <v>AVAYA STOCK</v>
          </cell>
        </row>
        <row r="2128">
          <cell r="A2128" t="str">
            <v>660497</v>
          </cell>
          <cell r="B2128" t="str">
            <v>Battery Pack DH7, WH2 blk</v>
          </cell>
          <cell r="C2128">
            <v>0</v>
          </cell>
          <cell r="E2128" t="str">
            <v>Pcs</v>
          </cell>
          <cell r="G2128" t="str">
            <v>musa</v>
          </cell>
          <cell r="AA2128" t="str">
            <v>AVAYA STOCK</v>
          </cell>
        </row>
        <row r="2129">
          <cell r="A2129" t="str">
            <v>660517</v>
          </cell>
          <cell r="B2129" t="str">
            <v>Standard clip DH7,WH2 AscomBlk</v>
          </cell>
          <cell r="C2129">
            <v>0</v>
          </cell>
          <cell r="E2129" t="str">
            <v>Pcs</v>
          </cell>
          <cell r="G2129" t="str">
            <v>musa</v>
          </cell>
          <cell r="AA2129" t="str">
            <v>AVAYA STOCK</v>
          </cell>
        </row>
        <row r="2130">
          <cell r="A2130" t="str">
            <v>405362641</v>
          </cell>
          <cell r="B2130" t="str">
            <v>POWER CORD USA</v>
          </cell>
          <cell r="C2130">
            <v>42</v>
          </cell>
          <cell r="E2130" t="str">
            <v>Pcs</v>
          </cell>
          <cell r="F2130" t="str">
            <v>1A</v>
          </cell>
          <cell r="G2130" t="str">
            <v>musa</v>
          </cell>
          <cell r="AA2130" t="str">
            <v>AVAYA STOCK</v>
          </cell>
        </row>
        <row r="2131">
          <cell r="A2131" t="str">
            <v>407786599</v>
          </cell>
          <cell r="B2131" t="str">
            <v>PWR CORD UNITED KINGDOM</v>
          </cell>
          <cell r="C2131">
            <v>58</v>
          </cell>
          <cell r="E2131" t="str">
            <v>Pcs</v>
          </cell>
          <cell r="F2131" t="str">
            <v>1A</v>
          </cell>
          <cell r="G2131" t="str">
            <v>musa</v>
          </cell>
          <cell r="AA2131" t="str">
            <v>AVAYA STOCK</v>
          </cell>
        </row>
        <row r="2132">
          <cell r="A2132" t="str">
            <v>700012909</v>
          </cell>
          <cell r="B2132" t="str">
            <v>24 PORT LINE PATCH PANEL</v>
          </cell>
          <cell r="C2132">
            <v>0</v>
          </cell>
          <cell r="E2132" t="str">
            <v>Pcs</v>
          </cell>
          <cell r="G2132" t="str">
            <v>musa</v>
          </cell>
          <cell r="AA2132" t="str">
            <v>AVAYA STOCK</v>
          </cell>
        </row>
        <row r="2133">
          <cell r="A2133" t="str">
            <v>700213440</v>
          </cell>
          <cell r="B2133" t="str">
            <v>IP OFFICE ISDN CABLE RJ45/RJ45 3M RED</v>
          </cell>
          <cell r="C2133">
            <v>205</v>
          </cell>
          <cell r="E2133" t="str">
            <v>Pcs</v>
          </cell>
          <cell r="F2133" t="str">
            <v>1A</v>
          </cell>
          <cell r="G2133" t="str">
            <v>musa</v>
          </cell>
          <cell r="AA2133" t="str">
            <v>AVAYA STOCK</v>
          </cell>
        </row>
        <row r="2134">
          <cell r="A2134" t="str">
            <v>700289747</v>
          </cell>
          <cell r="B2134" t="str">
            <v>IP OFFICE POWER LEAD (EARTHED) UK</v>
          </cell>
          <cell r="C2134">
            <v>50</v>
          </cell>
          <cell r="E2134" t="str">
            <v>Pcs</v>
          </cell>
          <cell r="F2134" t="str">
            <v>7A</v>
          </cell>
          <cell r="G2134" t="str">
            <v>musa</v>
          </cell>
          <cell r="AA2134" t="str">
            <v>AVAYA STOCK</v>
          </cell>
        </row>
        <row r="2135">
          <cell r="A2135" t="str">
            <v>700383318</v>
          </cell>
          <cell r="B2135" t="str">
            <v>96XX RPLCMNT HANDSET CORD 9FT</v>
          </cell>
          <cell r="C2135">
            <v>0</v>
          </cell>
          <cell r="E2135" t="str">
            <v>Pcs</v>
          </cell>
          <cell r="G2135" t="str">
            <v>musa</v>
          </cell>
          <cell r="AA2135" t="str">
            <v>AVAYA STOCK</v>
          </cell>
        </row>
        <row r="2136">
          <cell r="A2136" t="str">
            <v>700383326</v>
          </cell>
          <cell r="B2136" t="str">
            <v>CAT 5E ETHERNET CBL 9FT/3M</v>
          </cell>
          <cell r="C2136">
            <v>14</v>
          </cell>
          <cell r="E2136" t="str">
            <v>Pcs</v>
          </cell>
          <cell r="F2136" t="str">
            <v>8A</v>
          </cell>
          <cell r="G2136" t="str">
            <v>musa</v>
          </cell>
          <cell r="AA2136" t="str">
            <v>AVAYA STOCK</v>
          </cell>
        </row>
        <row r="2137">
          <cell r="A2137" t="str">
            <v>700395445</v>
          </cell>
          <cell r="B2137" t="str">
            <v>120A CSU CABLE 50 FEET RHS</v>
          </cell>
          <cell r="C2137">
            <v>1</v>
          </cell>
          <cell r="E2137" t="str">
            <v>Pcs</v>
          </cell>
          <cell r="F2137" t="str">
            <v>1B</v>
          </cell>
          <cell r="G2137" t="str">
            <v>musa</v>
          </cell>
          <cell r="AA2137" t="str">
            <v>AVAYA STOCK</v>
          </cell>
        </row>
        <row r="2138">
          <cell r="A2138" t="str">
            <v>700406267</v>
          </cell>
          <cell r="B2138" t="str">
            <v>EXTERNAL USB CD/DVD RW DRIVE RHS</v>
          </cell>
          <cell r="C2138">
            <v>0</v>
          </cell>
          <cell r="E2138" t="str">
            <v>Pcs</v>
          </cell>
          <cell r="G2138" t="str">
            <v>musa</v>
          </cell>
          <cell r="AA2138" t="str">
            <v>AVAYA STOCK</v>
          </cell>
        </row>
        <row r="2139">
          <cell r="A2139" t="str">
            <v>700406416</v>
          </cell>
          <cell r="B2139" t="str">
            <v>CABLE ASSEMBLY B25A 25 FEET RHS</v>
          </cell>
          <cell r="C2139">
            <v>2</v>
          </cell>
          <cell r="E2139" t="str">
            <v>Pcs</v>
          </cell>
          <cell r="F2139" t="str">
            <v>1A</v>
          </cell>
          <cell r="G2139" t="str">
            <v>musa</v>
          </cell>
          <cell r="AA2139" t="str">
            <v>AVAYA STOCK</v>
          </cell>
        </row>
        <row r="2140">
          <cell r="A2140" t="str">
            <v>700406432</v>
          </cell>
          <cell r="B2140" t="str">
            <v>CABLE ASSEMBLY B25A 50 FEET RHS</v>
          </cell>
          <cell r="C2140">
            <v>25</v>
          </cell>
          <cell r="E2140" t="str">
            <v>Pcs</v>
          </cell>
          <cell r="F2140" t="str">
            <v>4A</v>
          </cell>
          <cell r="G2140" t="str">
            <v>musa</v>
          </cell>
          <cell r="AA2140" t="str">
            <v>AVAYA STOCK</v>
          </cell>
        </row>
        <row r="2141">
          <cell r="A2141" t="str">
            <v>700406457</v>
          </cell>
          <cell r="B2141" t="str">
            <v>ASP 110 DELL R340 MID RANGE SERVER ASBCE</v>
          </cell>
          <cell r="C2141">
            <v>0</v>
          </cell>
          <cell r="E2141" t="str">
            <v>Pcs</v>
          </cell>
          <cell r="G2141" t="str">
            <v>musa</v>
          </cell>
          <cell r="AA2141" t="str">
            <v>AVAYA STOCK</v>
          </cell>
        </row>
        <row r="2142">
          <cell r="A2142" t="str">
            <v>700415623</v>
          </cell>
          <cell r="B2142" t="str">
            <v>IP PHONE 1408/1608 WALLMOUNT KIT</v>
          </cell>
          <cell r="C2142">
            <v>0</v>
          </cell>
          <cell r="E2142" t="str">
            <v>Pcs</v>
          </cell>
          <cell r="G2142" t="str">
            <v>musa</v>
          </cell>
          <cell r="AA2142" t="str">
            <v>AVAYA STOCK</v>
          </cell>
        </row>
        <row r="2143">
          <cell r="A2143" t="str">
            <v>700417231</v>
          </cell>
          <cell r="B2143" t="str">
            <v>IP OFFICE IP500 EXTENSION CARD PHONE 8</v>
          </cell>
          <cell r="C2143">
            <v>3</v>
          </cell>
          <cell r="E2143" t="str">
            <v>Pcs</v>
          </cell>
          <cell r="F2143" t="str">
            <v>1B, 2B</v>
          </cell>
          <cell r="G2143" t="str">
            <v>musa</v>
          </cell>
          <cell r="AA2143" t="str">
            <v>AVAYA STOCK</v>
          </cell>
        </row>
        <row r="2144">
          <cell r="A2144" t="str">
            <v>700417439</v>
          </cell>
          <cell r="B2144" t="str">
            <v>IPO IP500 TRANK PRI UNVRSAL SNGL</v>
          </cell>
          <cell r="C2144">
            <v>0</v>
          </cell>
          <cell r="E2144" t="str">
            <v>Pcs</v>
          </cell>
          <cell r="G2144" t="str">
            <v>musa</v>
          </cell>
          <cell r="AA2144" t="str">
            <v>AVAYA STOCK</v>
          </cell>
        </row>
        <row r="2145">
          <cell r="A2145" t="str">
            <v>700426224</v>
          </cell>
          <cell r="B2145" t="str">
            <v>IP OFFICEB/5800 IP500 EXPANSION MODULE PHONE 30</v>
          </cell>
          <cell r="C2145">
            <v>7</v>
          </cell>
          <cell r="E2145" t="str">
            <v>Pcs</v>
          </cell>
          <cell r="F2145" t="str">
            <v>1B, 7B</v>
          </cell>
          <cell r="G2145" t="str">
            <v>musa</v>
          </cell>
          <cell r="AA2145" t="str">
            <v>AVAYA STOCK</v>
          </cell>
        </row>
        <row r="2146">
          <cell r="A2146" t="str">
            <v>700429202</v>
          </cell>
          <cell r="B2146" t="str">
            <v>IPO IP500 RACK MNTG KIT</v>
          </cell>
          <cell r="C2146">
            <v>126</v>
          </cell>
          <cell r="E2146" t="str">
            <v>Pcs</v>
          </cell>
          <cell r="F2146" t="str">
            <v>6A, 7A</v>
          </cell>
          <cell r="G2146" t="str">
            <v>musa</v>
          </cell>
          <cell r="AA2146" t="str">
            <v>AVAYA STOCK</v>
          </cell>
        </row>
        <row r="2147">
          <cell r="A2147" t="str">
            <v>700430150</v>
          </cell>
          <cell r="B2147" t="str">
            <v>IPO IP500 WALL MNTG KIT</v>
          </cell>
          <cell r="C2147">
            <v>3</v>
          </cell>
          <cell r="E2147" t="str">
            <v>Pcs</v>
          </cell>
          <cell r="F2147" t="str">
            <v>7B</v>
          </cell>
          <cell r="G2147" t="str">
            <v>musa</v>
          </cell>
          <cell r="AA2147" t="str">
            <v>AVAYA STOCK</v>
          </cell>
        </row>
        <row r="2148">
          <cell r="A2148" t="str">
            <v>700431778</v>
          </cell>
          <cell r="B2148" t="str">
            <v>IP OFFICE IP500 EXTENSION CARD PHONE 2</v>
          </cell>
          <cell r="C2148">
            <v>3</v>
          </cell>
          <cell r="E2148" t="str">
            <v>Pcs</v>
          </cell>
          <cell r="F2148" t="str">
            <v>5B</v>
          </cell>
          <cell r="G2148" t="str">
            <v>musa</v>
          </cell>
          <cell r="AA2148" t="str">
            <v>AVAYA STOCK</v>
          </cell>
        </row>
        <row r="2149">
          <cell r="A2149" t="str">
            <v>700438278</v>
          </cell>
          <cell r="B2149" t="str">
            <v>G450 FAN TRAY</v>
          </cell>
          <cell r="C2149">
            <v>1</v>
          </cell>
          <cell r="E2149" t="str">
            <v>Pcs</v>
          </cell>
          <cell r="F2149" t="str">
            <v>8B</v>
          </cell>
          <cell r="G2149" t="str">
            <v>musa</v>
          </cell>
          <cell r="AA2149" t="str">
            <v>AVAYA STOCK</v>
          </cell>
        </row>
        <row r="2150">
          <cell r="A2150" t="str">
            <v>700449473</v>
          </cell>
          <cell r="B2150" t="str">
            <v>IP OFFICE IP500 EXPANSION MODULE ANALOG TRUNK 16</v>
          </cell>
          <cell r="C2150">
            <v>0</v>
          </cell>
          <cell r="E2150" t="str">
            <v>Pcs</v>
          </cell>
          <cell r="G2150" t="str">
            <v>musa</v>
          </cell>
          <cell r="AA2150" t="str">
            <v>AVAYA STOCK</v>
          </cell>
        </row>
        <row r="2151">
          <cell r="A2151" t="str">
            <v>700449507</v>
          </cell>
          <cell r="B2151" t="str">
            <v>IP OFFICE IP500 EXPANSION MODULE PHONE 16</v>
          </cell>
          <cell r="C2151">
            <v>1</v>
          </cell>
          <cell r="E2151" t="str">
            <v>Pcs</v>
          </cell>
          <cell r="F2151" t="str">
            <v>6B</v>
          </cell>
          <cell r="G2151" t="str">
            <v>musa</v>
          </cell>
          <cell r="AA2151" t="str">
            <v>AVAYA STOCK</v>
          </cell>
        </row>
        <row r="2152">
          <cell r="A2152" t="str">
            <v>700466626</v>
          </cell>
          <cell r="B2152" t="str">
            <v>MM711 ANALOG MEDIA MODULE - NON GSA</v>
          </cell>
          <cell r="C2152">
            <v>5</v>
          </cell>
          <cell r="E2152" t="str">
            <v>Pcs</v>
          </cell>
          <cell r="F2152" t="str">
            <v>3B</v>
          </cell>
          <cell r="G2152" t="str">
            <v>musa</v>
          </cell>
          <cell r="AA2152" t="str">
            <v>AVAYA STOCK</v>
          </cell>
        </row>
        <row r="2153">
          <cell r="A2153" t="str">
            <v>700466634</v>
          </cell>
          <cell r="B2153" t="str">
            <v>MM710B E1/T1 MEDIA MODULE - NON</v>
          </cell>
          <cell r="C2153">
            <v>2</v>
          </cell>
          <cell r="E2153" t="str">
            <v>Pcs</v>
          </cell>
          <cell r="F2153" t="str">
            <v>5B</v>
          </cell>
          <cell r="G2153" t="str">
            <v>musa</v>
          </cell>
          <cell r="AA2153" t="str">
            <v>AVAYA STOCK</v>
          </cell>
        </row>
        <row r="2154">
          <cell r="A2154" t="str">
            <v>700466642</v>
          </cell>
          <cell r="B2154" t="str">
            <v>MM716 ANALOG MEDIA MODULE 24 FXS - NON GSA</v>
          </cell>
          <cell r="C2154">
            <v>11</v>
          </cell>
          <cell r="E2154" t="str">
            <v>Pcs</v>
          </cell>
          <cell r="F2154" t="str">
            <v>2B</v>
          </cell>
          <cell r="G2154" t="str">
            <v>musa</v>
          </cell>
          <cell r="AA2154" t="str">
            <v>AVAYA STOCK</v>
          </cell>
        </row>
        <row r="2155">
          <cell r="A2155" t="str">
            <v>700469968</v>
          </cell>
          <cell r="B2155" t="str">
            <v>BUTTON MOD FOR 1400/1500 SERIES</v>
          </cell>
          <cell r="C2155">
            <v>2</v>
          </cell>
          <cell r="E2155" t="str">
            <v>Pcs</v>
          </cell>
          <cell r="F2155" t="str">
            <v>4B</v>
          </cell>
          <cell r="G2155" t="str">
            <v>musa</v>
          </cell>
          <cell r="AA2155" t="str">
            <v>AVAYA STOCK</v>
          </cell>
        </row>
        <row r="2156">
          <cell r="A2156" t="str">
            <v>700472889</v>
          </cell>
          <cell r="B2156" t="str">
            <v>IPO IP500 EXP CARD 4PT</v>
          </cell>
          <cell r="C2156">
            <v>0</v>
          </cell>
          <cell r="E2156" t="str">
            <v>Pcs</v>
          </cell>
          <cell r="G2156" t="str">
            <v>musa</v>
          </cell>
          <cell r="AA2156" t="str">
            <v>AVAYA STOCK</v>
          </cell>
        </row>
        <row r="2157">
          <cell r="A2157" t="str">
            <v>700476401</v>
          </cell>
          <cell r="B2157" t="str">
            <v>EM200 BRANCH EXPANSION UNIT NON-GSA</v>
          </cell>
          <cell r="C2157">
            <v>2</v>
          </cell>
          <cell r="E2157" t="str">
            <v>PCS</v>
          </cell>
          <cell r="F2157" t="str">
            <v>4A</v>
          </cell>
          <cell r="G2157" t="str">
            <v>musa</v>
          </cell>
          <cell r="AA2157" t="str">
            <v>AVAYA STOCK</v>
          </cell>
        </row>
        <row r="2158">
          <cell r="A2158" t="str">
            <v>700479702</v>
          </cell>
          <cell r="B2158" t="str">
            <v>IP OFFICE IP500 V2 SYSTEM SD CARD A-LAW</v>
          </cell>
          <cell r="C2158">
            <v>62</v>
          </cell>
          <cell r="E2158" t="str">
            <v>Pcs</v>
          </cell>
          <cell r="F2158" t="str">
            <v>1A</v>
          </cell>
          <cell r="G2158" t="str">
            <v>musa</v>
          </cell>
          <cell r="AA2158" t="str">
            <v>AVAYA STOCK</v>
          </cell>
        </row>
        <row r="2159">
          <cell r="A2159" t="str">
            <v>700480643</v>
          </cell>
          <cell r="B2159" t="str">
            <v>BUTTON MOD 12B</v>
          </cell>
          <cell r="C2159">
            <v>0</v>
          </cell>
          <cell r="E2159" t="str">
            <v>Pcs</v>
          </cell>
          <cell r="F2159" t="str">
            <v>6B</v>
          </cell>
          <cell r="G2159" t="str">
            <v>musa</v>
          </cell>
          <cell r="AA2159" t="str">
            <v>AVAYA STOCK</v>
          </cell>
        </row>
        <row r="2160">
          <cell r="A2160" t="str">
            <v>700501048</v>
          </cell>
          <cell r="B2160" t="str">
            <v>MM717 24 PORT DCP MEDIA MODULE NON GSA</v>
          </cell>
          <cell r="C2160">
            <v>18</v>
          </cell>
          <cell r="E2160" t="str">
            <v>Pcs</v>
          </cell>
          <cell r="F2160" t="str">
            <v>7B</v>
          </cell>
          <cell r="G2160" t="str">
            <v>musa</v>
          </cell>
          <cell r="AA2160" t="str">
            <v>AVAYA STOCK</v>
          </cell>
        </row>
        <row r="2161">
          <cell r="A2161" t="str">
            <v>700501530</v>
          </cell>
          <cell r="B2161" t="str">
            <v>AVAYA B159 ANALOG CONFERENCE PHONE</v>
          </cell>
          <cell r="C2161">
            <v>2</v>
          </cell>
          <cell r="E2161" t="str">
            <v>Pcs</v>
          </cell>
          <cell r="F2161" t="str">
            <v>8B</v>
          </cell>
          <cell r="G2161" t="str">
            <v>musa</v>
          </cell>
          <cell r="AA2161" t="str">
            <v>AVAYA STOCK</v>
          </cell>
        </row>
        <row r="2162">
          <cell r="A2162" t="str">
            <v>700501533</v>
          </cell>
          <cell r="B2162" t="str">
            <v>AVAYA B149 ANLG CONF PHONE</v>
          </cell>
          <cell r="C2162">
            <v>10</v>
          </cell>
          <cell r="E2162" t="str">
            <v>Pcs</v>
          </cell>
          <cell r="F2162" t="str">
            <v>5B</v>
          </cell>
          <cell r="G2162" t="str">
            <v>musa</v>
          </cell>
          <cell r="AA2162" t="str">
            <v>AVAYA STOCK</v>
          </cell>
        </row>
        <row r="2163">
          <cell r="A2163" t="str">
            <v>700501539</v>
          </cell>
          <cell r="B2163" t="str">
            <v>AVAYA B100 SERIES EXPANSION MICROPHONES 1PR FOR CONFERENCE PHONE</v>
          </cell>
          <cell r="C2163">
            <v>103</v>
          </cell>
          <cell r="E2163" t="str">
            <v>Pcs</v>
          </cell>
          <cell r="F2163" t="str">
            <v>8A</v>
          </cell>
          <cell r="G2163" t="str">
            <v>musa</v>
          </cell>
          <cell r="AA2163" t="str">
            <v>AVAYA STOCK</v>
          </cell>
        </row>
        <row r="2164">
          <cell r="A2164" t="str">
            <v>700501742</v>
          </cell>
          <cell r="B2164" t="str">
            <v xml:space="preserve">IC 7.3 APPL MEDIA BNDL 2 </v>
          </cell>
          <cell r="C2164">
            <v>0</v>
          </cell>
          <cell r="E2164" t="str">
            <v>Pcs</v>
          </cell>
          <cell r="G2164" t="str">
            <v>musa</v>
          </cell>
          <cell r="AA2164" t="str">
            <v>AVAYA STOCK</v>
          </cell>
        </row>
        <row r="2165">
          <cell r="A2165" t="str">
            <v>700501743</v>
          </cell>
          <cell r="B2165" t="str">
            <v>IC 7.3 AVAYA AGT SFTW CD</v>
          </cell>
          <cell r="C2165">
            <v>0</v>
          </cell>
          <cell r="E2165" t="str">
            <v>Pcs</v>
          </cell>
          <cell r="G2165" t="str">
            <v>musa</v>
          </cell>
          <cell r="AA2165" t="str">
            <v>AVAYA STOCK</v>
          </cell>
        </row>
        <row r="2166">
          <cell r="A2166" t="str">
            <v>700503164</v>
          </cell>
          <cell r="B2166" t="str">
            <v>IP OFFICE IP500 TRUNK ANALOG 4U V2</v>
          </cell>
          <cell r="C2166">
            <v>10</v>
          </cell>
          <cell r="E2166" t="str">
            <v>Pcs</v>
          </cell>
          <cell r="F2166" t="str">
            <v>1B, 2B</v>
          </cell>
          <cell r="G2166" t="str">
            <v>musa</v>
          </cell>
          <cell r="AA2166" t="str">
            <v>AVAYA STOCK</v>
          </cell>
        </row>
        <row r="2167">
          <cell r="A2167" t="str">
            <v>700503274</v>
          </cell>
          <cell r="B2167" t="str">
            <v xml:space="preserve">G430 MP120 DSP DAUGHTER BOARD </v>
          </cell>
          <cell r="C2167">
            <v>0</v>
          </cell>
          <cell r="E2167" t="str">
            <v>Pcs</v>
          </cell>
          <cell r="G2167" t="str">
            <v>musa</v>
          </cell>
          <cell r="AA2167" t="str">
            <v>AVAYA STOCK</v>
          </cell>
        </row>
        <row r="2168">
          <cell r="A2168" t="str">
            <v>700503700</v>
          </cell>
          <cell r="B2168" t="str">
            <v>AVAYA B189 IP CONF PHONE</v>
          </cell>
          <cell r="C2168">
            <v>123</v>
          </cell>
          <cell r="E2168" t="str">
            <v>Pcs</v>
          </cell>
          <cell r="F2168" t="str">
            <v>9A, 13A</v>
          </cell>
          <cell r="G2168" t="str">
            <v>musa</v>
          </cell>
          <cell r="AA2168" t="str">
            <v>AVAYA STOCK</v>
          </cell>
        </row>
        <row r="2169">
          <cell r="A2169" t="str">
            <v>700504031</v>
          </cell>
          <cell r="B2169" t="str">
            <v>IP OFFICE MEDIA CARD VOICE (VCM) CODING MODULE 32 V2</v>
          </cell>
          <cell r="C2169">
            <v>10</v>
          </cell>
          <cell r="E2169" t="str">
            <v>Pcs</v>
          </cell>
          <cell r="F2169" t="str">
            <v>2B</v>
          </cell>
          <cell r="G2169" t="str">
            <v>musa</v>
          </cell>
          <cell r="AA2169" t="str">
            <v>AVAYA STOCK</v>
          </cell>
        </row>
        <row r="2170">
          <cell r="A2170" t="str">
            <v>700504032</v>
          </cell>
          <cell r="B2170" t="str">
            <v>IP OFFICE MEDIA CARD VOICE (VCM) CODING MODULE 64 V2</v>
          </cell>
          <cell r="C2170">
            <v>7</v>
          </cell>
          <cell r="E2170" t="str">
            <v>Pcs</v>
          </cell>
          <cell r="F2170" t="str">
            <v>4B</v>
          </cell>
          <cell r="G2170" t="str">
            <v>musa</v>
          </cell>
          <cell r="AA2170" t="str">
            <v>AVAYA STOCK</v>
          </cell>
        </row>
        <row r="2171">
          <cell r="A2171" t="str">
            <v>700504556</v>
          </cell>
          <cell r="B2171" t="str">
            <v>IP OFFICE IP500 V2 COMBO CARD ATM V2</v>
          </cell>
          <cell r="C2171">
            <v>26</v>
          </cell>
          <cell r="E2171" t="str">
            <v>Pcs</v>
          </cell>
          <cell r="F2171" t="str">
            <v>9B</v>
          </cell>
          <cell r="G2171" t="str">
            <v>musa</v>
          </cell>
          <cell r="AA2171" t="str">
            <v>AVAYA STOCK</v>
          </cell>
        </row>
        <row r="2172">
          <cell r="A2172" t="str">
            <v>700504740</v>
          </cell>
          <cell r="B2172" t="str">
            <v>AVAYA B179 SIP CONF PHONE POE ONLY</v>
          </cell>
          <cell r="C2172">
            <v>0</v>
          </cell>
          <cell r="E2172" t="str">
            <v>Pcs</v>
          </cell>
          <cell r="G2172" t="str">
            <v>musa</v>
          </cell>
          <cell r="AA2172" t="str">
            <v>AVAYA STOCK</v>
          </cell>
        </row>
        <row r="2173">
          <cell r="A2173" t="str">
            <v>700504841</v>
          </cell>
          <cell r="B2173" t="str">
            <v>1408 TELSET FOR CM/IP OFFICE/INTEGRAL ENTERPRISE UpN ICON ONLY</v>
          </cell>
          <cell r="C2173">
            <v>0</v>
          </cell>
          <cell r="E2173" t="str">
            <v>Pcs</v>
          </cell>
          <cell r="F2173" t="str">
            <v>3C, 4C, Zone A</v>
          </cell>
          <cell r="G2173" t="str">
            <v>musa</v>
          </cell>
          <cell r="AA2173" t="str">
            <v>AVAYA STOCK</v>
          </cell>
        </row>
        <row r="2174">
          <cell r="A2174" t="str">
            <v>700504842</v>
          </cell>
          <cell r="B2174" t="str">
            <v>9508 TELSET FOR IPO ICON ONLY</v>
          </cell>
          <cell r="C2174">
            <v>20</v>
          </cell>
          <cell r="E2174" t="str">
            <v>Pcs</v>
          </cell>
          <cell r="G2174" t="str">
            <v>musa</v>
          </cell>
          <cell r="AA2174" t="str">
            <v>AVAYA STOCK</v>
          </cell>
        </row>
        <row r="2175">
          <cell r="A2175" t="str">
            <v>700504843</v>
          </cell>
          <cell r="B2175" t="str">
            <v>1616-I IP DESKPHONE GLOBAL ICON ONLY</v>
          </cell>
          <cell r="C2175">
            <v>1</v>
          </cell>
          <cell r="E2175" t="str">
            <v>Pcs</v>
          </cell>
          <cell r="F2175" t="str">
            <v>Damage</v>
          </cell>
          <cell r="G2175" t="str">
            <v>musa</v>
          </cell>
          <cell r="AA2175" t="str">
            <v>AVAYA STOCK</v>
          </cell>
        </row>
        <row r="2176">
          <cell r="A2176" t="str">
            <v>700506956</v>
          </cell>
          <cell r="B2176" t="str">
            <v>G450 MP160 MEDIA GATEWAY NON GSA</v>
          </cell>
          <cell r="C2176">
            <v>6</v>
          </cell>
          <cell r="E2176" t="str">
            <v>Pcs</v>
          </cell>
          <cell r="F2176" t="str">
            <v>2A</v>
          </cell>
          <cell r="G2176" t="str">
            <v>musa</v>
          </cell>
          <cell r="AA2176" t="str">
            <v>AVAYA STOCK</v>
          </cell>
        </row>
        <row r="2177">
          <cell r="A2177" t="str">
            <v>700507394</v>
          </cell>
          <cell r="B2177" t="str">
            <v>G450 R2 POWER SUPPLY</v>
          </cell>
          <cell r="C2177">
            <v>6</v>
          </cell>
          <cell r="E2177" t="str">
            <v>Pcs</v>
          </cell>
          <cell r="F2177" t="str">
            <v>8B</v>
          </cell>
          <cell r="G2177" t="str">
            <v>musa</v>
          </cell>
          <cell r="AA2177" t="str">
            <v>AVAYA STOCK</v>
          </cell>
        </row>
        <row r="2178">
          <cell r="A2178" t="str">
            <v>700507449</v>
          </cell>
          <cell r="B2178" t="str">
            <v>IP OFFICE UNIFIED COMMUNICATIONS MODULE V2</v>
          </cell>
          <cell r="C2178">
            <v>0</v>
          </cell>
          <cell r="E2178" t="str">
            <v>Pcs</v>
          </cell>
          <cell r="G2178" t="str">
            <v>musa</v>
          </cell>
          <cell r="AA2178" t="str">
            <v>AVAYA STOCK</v>
          </cell>
        </row>
        <row r="2179">
          <cell r="A2179" t="str">
            <v>700508193</v>
          </cell>
          <cell r="B2179" t="str">
            <v>1403 TELSET FOR IP OFFICE ICON</v>
          </cell>
          <cell r="C2179">
            <v>0</v>
          </cell>
          <cell r="E2179" t="str">
            <v>Pcs</v>
          </cell>
          <cell r="G2179" t="str">
            <v>musa</v>
          </cell>
          <cell r="AA2179" t="str">
            <v>AVAYA STOCK</v>
          </cell>
        </row>
        <row r="2180">
          <cell r="A2180" t="str">
            <v>700508196</v>
          </cell>
          <cell r="B2180" t="str">
            <v>9408 TELSET FOR CMTE UpNICON</v>
          </cell>
          <cell r="C2180">
            <v>0</v>
          </cell>
          <cell r="E2180" t="str">
            <v>Pcs</v>
          </cell>
          <cell r="G2180" t="str">
            <v>musa</v>
          </cell>
          <cell r="AA2180" t="str">
            <v>AVAYA STOCK</v>
          </cell>
        </row>
        <row r="2181">
          <cell r="A2181" t="str">
            <v>700508197</v>
          </cell>
          <cell r="B2181" t="str">
            <v>9504 TELSET FOR IPO ICON</v>
          </cell>
          <cell r="C2181">
            <v>13</v>
          </cell>
          <cell r="E2181" t="str">
            <v>Pcs</v>
          </cell>
          <cell r="F2181" t="str">
            <v>6B</v>
          </cell>
          <cell r="G2181" t="str">
            <v>musa</v>
          </cell>
          <cell r="AA2181" t="str">
            <v>AVAYA STOCK</v>
          </cell>
        </row>
        <row r="2182">
          <cell r="A2182" t="str">
            <v>700508955</v>
          </cell>
          <cell r="B2182" t="str">
            <v>S8300E SERVER - NON GSA</v>
          </cell>
          <cell r="C2182">
            <v>1</v>
          </cell>
          <cell r="E2182" t="str">
            <v>Pcs</v>
          </cell>
          <cell r="F2182" t="str">
            <v>8B</v>
          </cell>
          <cell r="G2182" t="str">
            <v>musa</v>
          </cell>
          <cell r="AA2182" t="str">
            <v>AVAYA STOCK</v>
          </cell>
        </row>
        <row r="2183">
          <cell r="A2183" t="str">
            <v>700510422</v>
          </cell>
          <cell r="B2183" t="str">
            <v>CM MSGING R7.0 APPL OVA DVD</v>
          </cell>
          <cell r="C2183">
            <v>1</v>
          </cell>
          <cell r="E2183" t="str">
            <v>Pcs</v>
          </cell>
          <cell r="F2183" t="str">
            <v>1A</v>
          </cell>
          <cell r="G2183" t="str">
            <v>musa</v>
          </cell>
          <cell r="AA2183" t="str">
            <v>AVAYA STOCK</v>
          </cell>
        </row>
        <row r="2184">
          <cell r="A2184" t="str">
            <v>700511093</v>
          </cell>
          <cell r="B2184" t="str">
            <v>IP OFFICE IP500 DIGITAL STATION 16B V2 RJ45</v>
          </cell>
          <cell r="C2184">
            <v>0</v>
          </cell>
          <cell r="E2184" t="str">
            <v>Pcs</v>
          </cell>
          <cell r="G2184" t="str">
            <v>musa</v>
          </cell>
          <cell r="AA2184" t="str">
            <v>AVAYA STOCK</v>
          </cell>
        </row>
        <row r="2185">
          <cell r="A2185" t="str">
            <v>700511094</v>
          </cell>
          <cell r="B2185" t="str">
            <v>IP OFFICE IP500 DIGITAL STATION 30B V2 RJ45</v>
          </cell>
          <cell r="C2185">
            <v>0</v>
          </cell>
          <cell r="E2185" t="str">
            <v>Pcs</v>
          </cell>
          <cell r="G2185" t="str">
            <v>musa</v>
          </cell>
          <cell r="AA2185" t="str">
            <v>AVAYA STOCK</v>
          </cell>
        </row>
        <row r="2186">
          <cell r="A2186" t="str">
            <v>700511777</v>
          </cell>
          <cell r="B2186" t="str">
            <v xml:space="preserve">POE Y ADPTR FOR DGTL PHONE BM </v>
          </cell>
          <cell r="C2186">
            <v>0</v>
          </cell>
          <cell r="E2186" t="str">
            <v>Pcs</v>
          </cell>
          <cell r="G2186" t="str">
            <v>musa</v>
          </cell>
          <cell r="AA2186" t="str">
            <v>AVAYA STOCK</v>
          </cell>
        </row>
        <row r="2187">
          <cell r="A2187" t="str">
            <v>700511812</v>
          </cell>
          <cell r="B2187" t="str">
            <v>C5 POWER CORD SAUDI ARBIA</v>
          </cell>
          <cell r="C2187">
            <v>0</v>
          </cell>
          <cell r="E2187" t="str">
            <v>Pcs</v>
          </cell>
          <cell r="G2187" t="str">
            <v>musa</v>
          </cell>
          <cell r="AA2187" t="str">
            <v>AVAYA STOCK</v>
          </cell>
        </row>
        <row r="2188">
          <cell r="A2188" t="str">
            <v>700511983</v>
          </cell>
          <cell r="B2188" t="str">
            <v>C5 POWER CORD UNITED KINGDOM</v>
          </cell>
          <cell r="C2188">
            <v>13</v>
          </cell>
          <cell r="E2188" t="str">
            <v>Pcs</v>
          </cell>
          <cell r="F2188" t="str">
            <v>1A</v>
          </cell>
          <cell r="G2188" t="str">
            <v>musa</v>
          </cell>
          <cell r="AA2188" t="str">
            <v>AVAYA STOCK</v>
          </cell>
        </row>
        <row r="2189">
          <cell r="A2189" t="str">
            <v>700512174</v>
          </cell>
          <cell r="B2189" t="str">
            <v>G430 MP40 MEDIA GATEWAY NON-GSA</v>
          </cell>
          <cell r="C2189">
            <v>2</v>
          </cell>
          <cell r="E2189" t="str">
            <v>Pcs</v>
          </cell>
          <cell r="F2189" t="str">
            <v>3A</v>
          </cell>
          <cell r="G2189" t="str">
            <v>musa</v>
          </cell>
          <cell r="AA2189" t="str">
            <v>AVAYA STOCK</v>
          </cell>
        </row>
        <row r="2190">
          <cell r="A2190" t="str">
            <v>700512191</v>
          </cell>
          <cell r="B2190" t="str">
            <v>AV IX XT DLX CAMERA</v>
          </cell>
          <cell r="C2190">
            <v>2</v>
          </cell>
          <cell r="E2190" t="str">
            <v>Pcs</v>
          </cell>
          <cell r="F2190" t="str">
            <v>7A</v>
          </cell>
          <cell r="G2190" t="str">
            <v>musa</v>
          </cell>
          <cell r="AA2190" t="str">
            <v>AVAYA STOCK</v>
          </cell>
        </row>
        <row r="2191">
          <cell r="A2191" t="str">
            <v>700512394</v>
          </cell>
          <cell r="B2191" t="str">
            <v>J159 IP PHONE</v>
          </cell>
          <cell r="C2191">
            <v>273</v>
          </cell>
          <cell r="E2191" t="str">
            <v>Pcs</v>
          </cell>
          <cell r="F2191" t="str">
            <v>5C, 7B</v>
          </cell>
          <cell r="G2191" t="str">
            <v>musa</v>
          </cell>
          <cell r="AA2191" t="str">
            <v>AVAYA STOCK</v>
          </cell>
        </row>
        <row r="2192">
          <cell r="A2192" t="str">
            <v>700512396</v>
          </cell>
          <cell r="B2192" t="str">
            <v>J189 IP PHONE</v>
          </cell>
          <cell r="C2192">
            <v>509</v>
          </cell>
          <cell r="E2192" t="str">
            <v>Pcs</v>
          </cell>
          <cell r="F2192" t="str">
            <v>5A, 7C, 9C, ZONE C</v>
          </cell>
          <cell r="G2192" t="str">
            <v>musa</v>
          </cell>
          <cell r="AA2192" t="str">
            <v>AVAYA STOCK</v>
          </cell>
        </row>
        <row r="2193">
          <cell r="A2193" t="str">
            <v>700512398</v>
          </cell>
          <cell r="B2193" t="str">
            <v>VANTAGE CRDLS HANDSET KIT</v>
          </cell>
          <cell r="C2193">
            <v>89</v>
          </cell>
          <cell r="E2193" t="str">
            <v>Pcs</v>
          </cell>
          <cell r="F2193" t="str">
            <v>2A</v>
          </cell>
          <cell r="G2193" t="str">
            <v>musa</v>
          </cell>
          <cell r="AA2193" t="str">
            <v>AVAYA STOCK</v>
          </cell>
        </row>
        <row r="2194">
          <cell r="A2194" t="str">
            <v>700512399</v>
          </cell>
          <cell r="B2194" t="str">
            <v>VANTAGE CORDED HANDSET WITH CRADLE KIT</v>
          </cell>
          <cell r="C2194">
            <v>0</v>
          </cell>
          <cell r="E2194" t="str">
            <v>Pcs</v>
          </cell>
          <cell r="G2194" t="str">
            <v>musa</v>
          </cell>
          <cell r="AA2194" t="str">
            <v>AVAYA STOCK</v>
          </cell>
        </row>
        <row r="2195">
          <cell r="A2195" t="str">
            <v>700512402</v>
          </cell>
          <cell r="B2195" t="str">
            <v>J100/K100 SERIES IP PHONE WIRELESS MODULE</v>
          </cell>
          <cell r="C2195">
            <v>21</v>
          </cell>
          <cell r="E2195" t="str">
            <v>Pcs</v>
          </cell>
          <cell r="F2195" t="str">
            <v>5B</v>
          </cell>
          <cell r="G2195" t="str">
            <v>musa</v>
          </cell>
          <cell r="AA2195" t="str">
            <v>AVAYA STOCK</v>
          </cell>
        </row>
        <row r="2196">
          <cell r="A2196" t="str">
            <v>700512602</v>
          </cell>
          <cell r="B2196" t="str">
            <v>GLOBAL SNGL PT POE INJECTOR KIT</v>
          </cell>
          <cell r="C2196">
            <v>34</v>
          </cell>
          <cell r="E2196" t="str">
            <v>PCS</v>
          </cell>
          <cell r="F2196" t="str">
            <v>2B</v>
          </cell>
          <cell r="G2196" t="str">
            <v>musa</v>
          </cell>
          <cell r="AA2196" t="str">
            <v>AVAYA STOCK</v>
          </cell>
        </row>
        <row r="2197">
          <cell r="A2197" t="str">
            <v>700512776</v>
          </cell>
          <cell r="B2197" t="str">
            <v>VANTAGE CRADLE WALL MOUNT</v>
          </cell>
          <cell r="C2197">
            <v>2463</v>
          </cell>
          <cell r="E2197" t="str">
            <v>Pcs</v>
          </cell>
          <cell r="F2197" t="str">
            <v>12B</v>
          </cell>
          <cell r="G2197" t="str">
            <v>musa</v>
          </cell>
          <cell r="AA2197" t="str">
            <v>AVAYA STOCK</v>
          </cell>
        </row>
        <row r="2198">
          <cell r="A2198" t="str">
            <v>700513357</v>
          </cell>
          <cell r="B2198" t="str">
            <v>POWER ADAPTER 5V J100/1600 SERIES IP PHONES EUROPEAN LEVEL6</v>
          </cell>
          <cell r="C2198">
            <v>0</v>
          </cell>
          <cell r="E2198" t="str">
            <v>Pcs</v>
          </cell>
          <cell r="G2198" t="str">
            <v>musa</v>
          </cell>
          <cell r="AA2198" t="str">
            <v>AVAYA STOCK</v>
          </cell>
        </row>
        <row r="2199">
          <cell r="A2199" t="str">
            <v>700513359</v>
          </cell>
          <cell r="B2199" t="str">
            <v>POWER ADAPTER 5V J100/1600 SERIES IP PHONES UK LEVEL6</v>
          </cell>
          <cell r="C2199">
            <v>10</v>
          </cell>
          <cell r="E2199" t="str">
            <v>Pcs</v>
          </cell>
          <cell r="G2199" t="str">
            <v>musa</v>
          </cell>
          <cell r="AA2199" t="str">
            <v>AVAYA STOCK</v>
          </cell>
        </row>
        <row r="2200">
          <cell r="A2200" t="str">
            <v>700513568</v>
          </cell>
          <cell r="B2200" t="str">
            <v>J129 WALLMOUNT KIT W/ETH CBL</v>
          </cell>
          <cell r="C2200">
            <v>1355</v>
          </cell>
          <cell r="E2200" t="str">
            <v>Pcs</v>
          </cell>
          <cell r="F2200" t="str">
            <v>11BC</v>
          </cell>
          <cell r="G2200" t="str">
            <v>musa</v>
          </cell>
          <cell r="AA2200" t="str">
            <v>AVAYA STOCK</v>
          </cell>
        </row>
        <row r="2201">
          <cell r="A2201" t="str">
            <v>700513569</v>
          </cell>
          <cell r="B2201" t="str">
            <v>J179 IP PHONE GLOBAL NO POWER SUPPLY</v>
          </cell>
          <cell r="C2201" t="str">
            <v>164</v>
          </cell>
          <cell r="E2201" t="str">
            <v>Pcs</v>
          </cell>
          <cell r="F2201" t="str">
            <v>4ABC</v>
          </cell>
          <cell r="G2201" t="str">
            <v>musa</v>
          </cell>
          <cell r="AA2201" t="str">
            <v>AVAYA STOCK</v>
          </cell>
        </row>
        <row r="2202">
          <cell r="A2202" t="str">
            <v>700513631</v>
          </cell>
          <cell r="B2202" t="str">
            <v>J139/J159/J169/J179/J189 WALLMNT KIT</v>
          </cell>
          <cell r="C2202">
            <v>2047</v>
          </cell>
          <cell r="E2202" t="str">
            <v>Pcs</v>
          </cell>
          <cell r="F2202" t="str">
            <v>8C, 9C</v>
          </cell>
          <cell r="G2202" t="str">
            <v>musa</v>
          </cell>
          <cell r="AA2202" t="str">
            <v>AVAYA STOCK</v>
          </cell>
        </row>
        <row r="2203">
          <cell r="A2203" t="str">
            <v>700513632</v>
          </cell>
          <cell r="B2203" t="str">
            <v>J139/J159/Jl69/Jl 79/Jl89 IP PHONE STND</v>
          </cell>
          <cell r="C2203">
            <v>0</v>
          </cell>
          <cell r="E2203" t="str">
            <v>Pcs</v>
          </cell>
          <cell r="G2203" t="str">
            <v>musa</v>
          </cell>
          <cell r="AA2203" t="str">
            <v>AVAYA STOCK</v>
          </cell>
        </row>
        <row r="2204">
          <cell r="A2204" t="str">
            <v>700513657</v>
          </cell>
          <cell r="B2204" t="str">
            <v>IPO/IPO-SL R11 LX INSTALL DVD</v>
          </cell>
          <cell r="C2204">
            <v>7</v>
          </cell>
          <cell r="E2204" t="str">
            <v>Pcs</v>
          </cell>
          <cell r="F2204" t="str">
            <v>1A</v>
          </cell>
          <cell r="G2204" t="str">
            <v>musa</v>
          </cell>
          <cell r="AA2204" t="str">
            <v>AVAYA STOCK</v>
          </cell>
        </row>
        <row r="2205">
          <cell r="A2205" t="str">
            <v>700513892</v>
          </cell>
          <cell r="B2205" t="str">
            <v>AV IX COLLABORATION UNIT CU360</v>
          </cell>
          <cell r="C2205">
            <v>31</v>
          </cell>
          <cell r="E2205" t="str">
            <v>Pcs</v>
          </cell>
          <cell r="F2205" t="str">
            <v>6B</v>
          </cell>
          <cell r="G2205" t="str">
            <v>musa</v>
          </cell>
          <cell r="AA2205" t="str">
            <v>AVAYA STOCK</v>
          </cell>
        </row>
        <row r="2206">
          <cell r="A2206" t="str">
            <v>700513907</v>
          </cell>
          <cell r="B2206" t="str">
            <v>AVAYA VANTAGE K155</v>
          </cell>
          <cell r="C2206">
            <v>16</v>
          </cell>
          <cell r="E2206" t="str">
            <v>Pcs</v>
          </cell>
          <cell r="F2206" t="str">
            <v>4A</v>
          </cell>
          <cell r="G2206" t="str">
            <v>musa</v>
          </cell>
          <cell r="AA2206" t="str">
            <v>AVAYA STOCK</v>
          </cell>
        </row>
        <row r="2207">
          <cell r="A2207" t="str">
            <v>700513916</v>
          </cell>
          <cell r="B2207" t="str">
            <v>J139 IP PHONE</v>
          </cell>
          <cell r="C2207">
            <v>3005</v>
          </cell>
          <cell r="E2207" t="str">
            <v>Pcs</v>
          </cell>
          <cell r="F2207" t="str">
            <v>1ABC, 2C, 3C, 4C, 5C, 6BC, 9BC</v>
          </cell>
          <cell r="G2207" t="str">
            <v>musa</v>
          </cell>
          <cell r="AA2207" t="str">
            <v>AVAYA STOCK</v>
          </cell>
        </row>
        <row r="2208">
          <cell r="A2208" t="str">
            <v>700513932</v>
          </cell>
          <cell r="B2208" t="str">
            <v>H229 TRIM LINE SIP PHONE</v>
          </cell>
          <cell r="C2208">
            <v>0</v>
          </cell>
          <cell r="E2208" t="str">
            <v>Pcs</v>
          </cell>
          <cell r="G2208" t="str">
            <v>musa</v>
          </cell>
          <cell r="AA2208" t="str">
            <v>AVAYA STOCK</v>
          </cell>
        </row>
        <row r="2209">
          <cell r="A2209" t="str">
            <v>700513982</v>
          </cell>
          <cell r="B2209" t="str">
            <v>H239/H219 CUSTOM FCPLT INSERT</v>
          </cell>
          <cell r="C2209">
            <v>0</v>
          </cell>
          <cell r="E2209" t="str">
            <v>Pcs</v>
          </cell>
          <cell r="G2209" t="str">
            <v>musa</v>
          </cell>
          <cell r="AA2209" t="str">
            <v>AVAYA STOCK</v>
          </cell>
        </row>
        <row r="2210">
          <cell r="A2210" t="str">
            <v>700513985</v>
          </cell>
          <cell r="B2210" t="str">
            <v>APPLIANCE VIRTUAL PLATFORM R8 MEDIA KIT</v>
          </cell>
          <cell r="C2210">
            <v>2</v>
          </cell>
          <cell r="E2210" t="str">
            <v>Pcs</v>
          </cell>
          <cell r="F2210" t="str">
            <v>1A</v>
          </cell>
          <cell r="G2210" t="str">
            <v>musa</v>
          </cell>
          <cell r="AA2210" t="str">
            <v>AVAYA STOCK</v>
          </cell>
        </row>
        <row r="2211">
          <cell r="A2211" t="str">
            <v>700514009</v>
          </cell>
          <cell r="B2211" t="str">
            <v>AVAYA B109 CONFERENCE PHONE</v>
          </cell>
          <cell r="C2211">
            <v>0</v>
          </cell>
          <cell r="E2211" t="str">
            <v>Pcs</v>
          </cell>
          <cell r="G2211" t="str">
            <v>musa</v>
          </cell>
          <cell r="AA2211" t="str">
            <v>AVAYA STOCK</v>
          </cell>
        </row>
        <row r="2212">
          <cell r="A2212" t="str">
            <v>700514051</v>
          </cell>
          <cell r="B2212" t="str">
            <v>AV L119 HEADSET LEATHER RJ9 MONO</v>
          </cell>
          <cell r="C2212">
            <v>0</v>
          </cell>
          <cell r="E2212" t="str">
            <v>Pcs</v>
          </cell>
          <cell r="G2212" t="str">
            <v>musa</v>
          </cell>
          <cell r="AA2212" t="str">
            <v>AVAYA STOCK</v>
          </cell>
        </row>
        <row r="2213">
          <cell r="A2213" t="str">
            <v>700514052</v>
          </cell>
          <cell r="B2213" t="str">
            <v>AVAYA L129 HEADSET LEATHER QUICK CONNECT MONO</v>
          </cell>
          <cell r="C2213">
            <v>0</v>
          </cell>
          <cell r="E2213" t="str">
            <v>Pcs</v>
          </cell>
          <cell r="G2213" t="str">
            <v>musa</v>
          </cell>
          <cell r="AA2213" t="str">
            <v>AVAYA STOCK</v>
          </cell>
        </row>
        <row r="2214">
          <cell r="A2214" t="str">
            <v>700514094</v>
          </cell>
          <cell r="B2214" t="str">
            <v>ASP 120 DELL R640 SERVER PROFILE 2 WITH AVP BUNDLE</v>
          </cell>
          <cell r="C2214">
            <v>1</v>
          </cell>
          <cell r="E2214" t="str">
            <v>Pcs</v>
          </cell>
          <cell r="F2214" t="str">
            <v>5A</v>
          </cell>
          <cell r="G2214" t="str">
            <v>musa</v>
          </cell>
          <cell r="AA2214" t="str">
            <v>AVAYA STOCK</v>
          </cell>
        </row>
        <row r="2215">
          <cell r="A2215" t="str">
            <v>700514239</v>
          </cell>
          <cell r="B2215" t="str">
            <v>ASBCE R8.x SYSTEM SOFTWARE DVD</v>
          </cell>
          <cell r="C2215">
            <v>1</v>
          </cell>
          <cell r="E2215" t="str">
            <v>Pcs</v>
          </cell>
          <cell r="F2215" t="str">
            <v>8B</v>
          </cell>
          <cell r="G2215" t="str">
            <v>musa</v>
          </cell>
          <cell r="AA2215" t="str">
            <v>AVAYA STOCK</v>
          </cell>
        </row>
        <row r="2216">
          <cell r="A2216" t="str">
            <v>700514240</v>
          </cell>
          <cell r="B2216" t="str">
            <v>ASBCE R8.x SYSTEM SOFTWARE USB</v>
          </cell>
          <cell r="C2216">
            <v>10</v>
          </cell>
          <cell r="E2216" t="str">
            <v>Pcs</v>
          </cell>
          <cell r="F2216" t="str">
            <v>7B</v>
          </cell>
          <cell r="G2216" t="str">
            <v>musa</v>
          </cell>
          <cell r="AA2216" t="str">
            <v>AVAYA STOCK</v>
          </cell>
        </row>
        <row r="2217">
          <cell r="A2217" t="str">
            <v>700514243</v>
          </cell>
          <cell r="B2217" t="str">
            <v>AVAYA SMART EXPANSION MICROPHONE</v>
          </cell>
          <cell r="C2217">
            <v>2</v>
          </cell>
          <cell r="E2217" t="str">
            <v>Pcs</v>
          </cell>
          <cell r="F2217" t="str">
            <v>1B</v>
          </cell>
          <cell r="G2217" t="str">
            <v>musa</v>
          </cell>
          <cell r="AA2217" t="str">
            <v>AVAYA STOCK</v>
          </cell>
        </row>
        <row r="2218">
          <cell r="A2218" t="str">
            <v>700514246</v>
          </cell>
          <cell r="B2218" t="str">
            <v>AVAYA B199</v>
          </cell>
          <cell r="C2218">
            <v>9</v>
          </cell>
          <cell r="E2218" t="str">
            <v>Pcs</v>
          </cell>
          <cell r="G2218" t="str">
            <v>musa</v>
          </cell>
          <cell r="AA2218" t="str">
            <v>AVAYA STOCK</v>
          </cell>
        </row>
        <row r="2219">
          <cell r="A2219" t="str">
            <v>700514262</v>
          </cell>
          <cell r="B2219" t="str">
            <v>ACP 110 DELL SRVR P3 IPO</v>
          </cell>
          <cell r="C2219">
            <v>0</v>
          </cell>
          <cell r="E2219" t="str">
            <v>Pcs</v>
          </cell>
          <cell r="G2219" t="str">
            <v>musa</v>
          </cell>
          <cell r="AA2219" t="str">
            <v>AVAYA STOCK</v>
          </cell>
        </row>
        <row r="2220">
          <cell r="A2220" t="str">
            <v>700514263</v>
          </cell>
          <cell r="B2220" t="str">
            <v>ASP 110 DELL R640 SERVER PROFILE 3 WITH EXPERIENCE PORTAL</v>
          </cell>
          <cell r="C2220">
            <v>0</v>
          </cell>
          <cell r="E2220" t="str">
            <v>PCS</v>
          </cell>
          <cell r="G2220" t="str">
            <v>musa</v>
          </cell>
          <cell r="AA2220" t="str">
            <v>AVAYA STOCK</v>
          </cell>
        </row>
        <row r="2221">
          <cell r="A2221" t="str">
            <v>700514264</v>
          </cell>
          <cell r="B2221" t="str">
            <v>ASP 110 DELL R640 SRVR P3 ASBCE</v>
          </cell>
          <cell r="C2221">
            <v>1</v>
          </cell>
          <cell r="E2221" t="str">
            <v>Pcs</v>
          </cell>
          <cell r="F2221" t="str">
            <v>7A</v>
          </cell>
          <cell r="G2221" t="str">
            <v>musa</v>
          </cell>
          <cell r="AA2221" t="str">
            <v>AVAYA STOCK</v>
          </cell>
        </row>
        <row r="2222">
          <cell r="A2222" t="str">
            <v>700514273</v>
          </cell>
          <cell r="B2222" t="str">
            <v>ASP 110 DELL R640 SERVER PROFILE 5 WITH EQUINOX STREAM AND RECORD</v>
          </cell>
          <cell r="C2222">
            <v>2</v>
          </cell>
          <cell r="E2222" t="str">
            <v>Pcs</v>
          </cell>
          <cell r="F2222" t="str">
            <v>7A</v>
          </cell>
          <cell r="G2222" t="str">
            <v>musa</v>
          </cell>
          <cell r="AA2222" t="str">
            <v>AVAYA STOCK</v>
          </cell>
        </row>
        <row r="2223">
          <cell r="A2223" t="str">
            <v>700514292</v>
          </cell>
          <cell r="B2223" t="str">
            <v>AV B199/VNTG 3POE INJCTR KIT</v>
          </cell>
          <cell r="C2223">
            <v>0</v>
          </cell>
          <cell r="E2223" t="str">
            <v>Pcs</v>
          </cell>
          <cell r="G2223" t="str">
            <v>musa</v>
          </cell>
          <cell r="AA2223" t="str">
            <v>AVAYA STOCK</v>
          </cell>
        </row>
        <row r="2224">
          <cell r="A2224" t="str">
            <v>700514316</v>
          </cell>
          <cell r="B2224" t="str">
            <v>H239 CORDED SIP PHONE</v>
          </cell>
          <cell r="C2224">
            <v>0</v>
          </cell>
          <cell r="E2224" t="str">
            <v>Pcs</v>
          </cell>
          <cell r="G2224" t="str">
            <v>musa</v>
          </cell>
          <cell r="AA2224" t="str">
            <v>AVAYA STOCK</v>
          </cell>
        </row>
        <row r="2225">
          <cell r="A2225" t="str">
            <v>700514317</v>
          </cell>
          <cell r="B2225" t="str">
            <v>H249 CORDED IP PHONE WITH DISPLAY GLOBAL</v>
          </cell>
          <cell r="C2225">
            <v>0</v>
          </cell>
          <cell r="E2225" t="str">
            <v>Pcs</v>
          </cell>
          <cell r="G2225" t="str">
            <v>musa</v>
          </cell>
          <cell r="AA2225" t="str">
            <v>AVAYA STOCK</v>
          </cell>
        </row>
        <row r="2226">
          <cell r="A2226" t="str">
            <v>700514325</v>
          </cell>
          <cell r="B2226" t="str">
            <v>AV QUICK CONNECT TO 3.5MM HEADSET CORD 1.2M STRAIGHT</v>
          </cell>
          <cell r="C2226">
            <v>34</v>
          </cell>
          <cell r="E2226" t="str">
            <v>Pcs</v>
          </cell>
          <cell r="F2226" t="str">
            <v>1A</v>
          </cell>
          <cell r="G2226" t="str">
            <v>musa</v>
          </cell>
          <cell r="AA2226" t="str">
            <v>AVAYA STOCK</v>
          </cell>
        </row>
        <row r="2227">
          <cell r="A2227" t="str">
            <v>700514326</v>
          </cell>
          <cell r="B2227" t="str">
            <v>AV QUICK CONNECT TO USB MECHNICAL COMBOX HEADSET CBL 1.2M STRA</v>
          </cell>
          <cell r="C2227">
            <v>3</v>
          </cell>
          <cell r="E2227" t="str">
            <v>Pcs</v>
          </cell>
          <cell r="F2227" t="str">
            <v>1A</v>
          </cell>
          <cell r="G2227" t="str">
            <v>musa</v>
          </cell>
          <cell r="AA2227" t="str">
            <v>AVAYA STOCK</v>
          </cell>
        </row>
        <row r="2228">
          <cell r="A2228" t="str">
            <v>700514328</v>
          </cell>
          <cell r="B2228" t="str">
            <v>AV QUICK CONNECT TOUCH CONTROL AND BT COMBOX HEADST CBL 1.2M STRA</v>
          </cell>
          <cell r="C2228">
            <v>1</v>
          </cell>
          <cell r="E2228" t="str">
            <v>Pcs</v>
          </cell>
          <cell r="F2228" t="str">
            <v>1A</v>
          </cell>
          <cell r="G2228" t="str">
            <v>musa</v>
          </cell>
          <cell r="AA2228" t="str">
            <v>AVAYA STOCK</v>
          </cell>
        </row>
        <row r="2229">
          <cell r="A2229" t="str">
            <v>700514337</v>
          </cell>
          <cell r="B2229" t="str">
            <v>J100 EXPANSION MODULE 24</v>
          </cell>
          <cell r="C2229">
            <v>210</v>
          </cell>
          <cell r="E2229" t="str">
            <v>Pcs</v>
          </cell>
          <cell r="F2229" t="str">
            <v>1B, 3B, 8A</v>
          </cell>
          <cell r="G2229" t="str">
            <v>musa</v>
          </cell>
          <cell r="AA2229" t="str">
            <v>AVAYA STOCK</v>
          </cell>
        </row>
        <row r="2230">
          <cell r="A2230" t="str">
            <v>700514534</v>
          </cell>
          <cell r="B2230" t="str">
            <v>AV IX HUDDLE CAMERA 020</v>
          </cell>
          <cell r="C2230">
            <v>3</v>
          </cell>
          <cell r="E2230" t="str">
            <v>Pcs</v>
          </cell>
          <cell r="F2230" t="str">
            <v>4B</v>
          </cell>
          <cell r="G2230" t="str">
            <v>musa</v>
          </cell>
          <cell r="AA2230" t="str">
            <v>AVAYA STOCK</v>
          </cell>
        </row>
        <row r="2231">
          <cell r="A2231" t="str">
            <v>700514535</v>
          </cell>
          <cell r="B2231" t="str">
            <v>AV IX HC050</v>
          </cell>
          <cell r="C2231">
            <v>1</v>
          </cell>
          <cell r="E2231" t="str">
            <v>Pcs</v>
          </cell>
          <cell r="F2231" t="str">
            <v>3B</v>
          </cell>
          <cell r="G2231" t="str">
            <v>musa</v>
          </cell>
          <cell r="AA2231" t="str">
            <v>AVAYA STOCK</v>
          </cell>
        </row>
        <row r="2232">
          <cell r="A2232" t="str">
            <v>700514599</v>
          </cell>
          <cell r="B2232" t="str">
            <v>AVAYA B109 LOCKING KIT</v>
          </cell>
          <cell r="C2232">
            <v>23</v>
          </cell>
          <cell r="E2232" t="str">
            <v>Pcs</v>
          </cell>
          <cell r="F2232" t="str">
            <v>8B</v>
          </cell>
          <cell r="G2232" t="str">
            <v>musa</v>
          </cell>
          <cell r="AA2232" t="str">
            <v>AVAYA STOCK</v>
          </cell>
        </row>
        <row r="2233">
          <cell r="A2233" t="str">
            <v>700514683</v>
          </cell>
          <cell r="B2233" t="str">
            <v>AV IX OCC HUB</v>
          </cell>
          <cell r="C2233">
            <v>0</v>
          </cell>
          <cell r="E2233" t="str">
            <v>Pcs</v>
          </cell>
          <cell r="G2233" t="str">
            <v>musa</v>
          </cell>
          <cell r="AA2233" t="str">
            <v>AVAYA STOCK</v>
          </cell>
        </row>
        <row r="2234">
          <cell r="A2234" t="str">
            <v>700514685</v>
          </cell>
          <cell r="B2234" t="str">
            <v>AV VANTAGE K175 W/CAM W/WRLS</v>
          </cell>
          <cell r="C2234">
            <v>1094</v>
          </cell>
          <cell r="E2234" t="str">
            <v>Pcs</v>
          </cell>
          <cell r="F2234" t="str">
            <v>4C, 5C</v>
          </cell>
          <cell r="G2234" t="str">
            <v>musa</v>
          </cell>
          <cell r="AA2234" t="str">
            <v>AVAYA STOCK</v>
          </cell>
        </row>
        <row r="2235">
          <cell r="A2235" t="str">
            <v>700514686</v>
          </cell>
          <cell r="B2235" t="str">
            <v>AV VANTAGE K175 W/0 CAM W/WRLS</v>
          </cell>
          <cell r="C2235">
            <v>0</v>
          </cell>
          <cell r="E2235" t="str">
            <v>Pcs</v>
          </cell>
          <cell r="G2235" t="str">
            <v>musa</v>
          </cell>
          <cell r="AA2235" t="str">
            <v>AVAYA STOCK</v>
          </cell>
        </row>
        <row r="2236">
          <cell r="A2236" t="str">
            <v>700514687</v>
          </cell>
          <cell r="B2236" t="str">
            <v>AV VANTAGE K155 W/CAM W/WRLS</v>
          </cell>
          <cell r="C2236">
            <v>0</v>
          </cell>
          <cell r="E2236" t="str">
            <v>Pcs</v>
          </cell>
          <cell r="G2236" t="str">
            <v>musa</v>
          </cell>
          <cell r="AA2236" t="str">
            <v>AVAYA STOCK</v>
          </cell>
        </row>
        <row r="2237">
          <cell r="A2237" t="str">
            <v>700514693</v>
          </cell>
          <cell r="B2237" t="str">
            <v>AVAYA CONF PHONE B129</v>
          </cell>
          <cell r="C2237">
            <v>2</v>
          </cell>
          <cell r="E2237" t="str">
            <v>Pcs</v>
          </cell>
          <cell r="F2237" t="str">
            <v>3B</v>
          </cell>
          <cell r="G2237" t="str">
            <v>musa</v>
          </cell>
          <cell r="AA2237" t="str">
            <v>AVAYA STOCK</v>
          </cell>
        </row>
        <row r="2238">
          <cell r="A2238" t="str">
            <v>700514698</v>
          </cell>
          <cell r="B2238" t="str">
            <v>GLOBAL 5V USB PWR ADPTR</v>
          </cell>
          <cell r="C2238">
            <v>1</v>
          </cell>
          <cell r="E2238" t="str">
            <v>Pcs</v>
          </cell>
          <cell r="F2238" t="str">
            <v>1B</v>
          </cell>
          <cell r="G2238" t="str">
            <v>musa</v>
          </cell>
          <cell r="AA2238" t="str">
            <v>AVAYA STOCK</v>
          </cell>
        </row>
        <row r="2239">
          <cell r="A2239" t="str">
            <v>700514857</v>
          </cell>
          <cell r="B2239" t="str">
            <v>IPO IP500 EXTN CARD DGTL</v>
          </cell>
          <cell r="C2239">
            <v>1</v>
          </cell>
          <cell r="E2239" t="str">
            <v>Pcs</v>
          </cell>
          <cell r="F2239" t="str">
            <v>3B</v>
          </cell>
          <cell r="G2239" t="str">
            <v>musa</v>
          </cell>
          <cell r="AA2239" t="str">
            <v>AVAYA STOCK</v>
          </cell>
        </row>
        <row r="2240">
          <cell r="A2240" t="str">
            <v>700514867</v>
          </cell>
          <cell r="B2240" t="str">
            <v>IPO IP500 V2A CNTRL UNIT</v>
          </cell>
          <cell r="C2240">
            <v>40</v>
          </cell>
          <cell r="E2240" t="str">
            <v>Pcs</v>
          </cell>
          <cell r="F2240" t="str">
            <v>3A</v>
          </cell>
          <cell r="G2240" t="str">
            <v>musa</v>
          </cell>
          <cell r="AA2240" t="str">
            <v>AVAYA STOCK</v>
          </cell>
        </row>
        <row r="2241">
          <cell r="A2241" t="str">
            <v>700514948</v>
          </cell>
          <cell r="B2241" t="str">
            <v>ASBCE PORTWELL CAF-0251</v>
          </cell>
          <cell r="C2241">
            <v>0</v>
          </cell>
          <cell r="E2241" t="str">
            <v>Pcs</v>
          </cell>
          <cell r="G2241" t="str">
            <v>musa</v>
          </cell>
          <cell r="AA2241" t="str">
            <v>AVAYA STOCK</v>
          </cell>
        </row>
        <row r="2242">
          <cell r="A2242" t="str">
            <v>700515007</v>
          </cell>
          <cell r="B2242" t="str">
            <v>ASP 110 DELL R340 MID RANGE SERVER ASBCE</v>
          </cell>
          <cell r="C2242">
            <v>1</v>
          </cell>
          <cell r="E2242" t="str">
            <v>Pcs</v>
          </cell>
          <cell r="F2242" t="str">
            <v>9B</v>
          </cell>
          <cell r="G2242" t="str">
            <v>musa</v>
          </cell>
          <cell r="AA2242" t="str">
            <v>AVAYA STOCK</v>
          </cell>
        </row>
        <row r="2243">
          <cell r="A2243" t="str">
            <v>700515008</v>
          </cell>
          <cell r="B2243" t="str">
            <v>ASP 110 DELL R340 MID RANGE SERVER IPO ASBCE</v>
          </cell>
          <cell r="C2243">
            <v>0</v>
          </cell>
          <cell r="E2243" t="str">
            <v>Pcs</v>
          </cell>
          <cell r="G2243" t="str">
            <v>musa</v>
          </cell>
          <cell r="AA2243" t="str">
            <v>AVAYA STOCK</v>
          </cell>
        </row>
        <row r="2244">
          <cell r="A2244" t="str">
            <v>700515009</v>
          </cell>
          <cell r="B2244" t="str">
            <v>ASP 110 DELL R240 SERVER IPO UC</v>
          </cell>
          <cell r="C2244">
            <v>1</v>
          </cell>
          <cell r="E2244" t="str">
            <v>Pcs</v>
          </cell>
          <cell r="F2244" t="str">
            <v>7C</v>
          </cell>
          <cell r="G2244" t="str">
            <v>musa</v>
          </cell>
          <cell r="AA2244" t="str">
            <v>AVAYA STOCK</v>
          </cell>
        </row>
        <row r="2245">
          <cell r="A2245" t="str">
            <v>700515454</v>
          </cell>
          <cell r="B2245" t="str">
            <v>VANTAGE 3 CORDED HANDSET KIT</v>
          </cell>
          <cell r="C2245">
            <v>1136</v>
          </cell>
          <cell r="E2245" t="str">
            <v>Pcs</v>
          </cell>
          <cell r="F2245" t="str">
            <v>6BC, 13A</v>
          </cell>
          <cell r="G2245" t="str">
            <v>musa</v>
          </cell>
          <cell r="AA2245" t="str">
            <v>AVAYA STOCK</v>
          </cell>
        </row>
        <row r="2246">
          <cell r="A2246" t="str">
            <v>700515581</v>
          </cell>
          <cell r="B2246" t="str">
            <v>AV HC010</v>
          </cell>
          <cell r="C2246">
            <v>10</v>
          </cell>
          <cell r="E2246" t="str">
            <v>Pcs</v>
          </cell>
          <cell r="F2246" t="str">
            <v>1B</v>
          </cell>
          <cell r="G2246" t="str">
            <v>musa</v>
          </cell>
          <cell r="AA2246" t="str">
            <v>AVAYA STOCK</v>
          </cell>
        </row>
        <row r="2247">
          <cell r="A2247" t="str">
            <v>700515628</v>
          </cell>
          <cell r="B2247" t="str">
            <v>GLOBAL PWR ADPTR 18W USB-C</v>
          </cell>
          <cell r="C2247">
            <v>8</v>
          </cell>
          <cell r="E2247" t="str">
            <v>Pcs</v>
          </cell>
          <cell r="F2247" t="str">
            <v>8B</v>
          </cell>
          <cell r="G2247" t="str">
            <v>musa</v>
          </cell>
          <cell r="AA2247" t="str">
            <v>AVAYA STOCK</v>
          </cell>
        </row>
        <row r="2248">
          <cell r="A2248" t="str">
            <v>700515841</v>
          </cell>
          <cell r="B2248" t="str">
            <v>S8300E PRELOADED</v>
          </cell>
          <cell r="C2248">
            <v>0</v>
          </cell>
          <cell r="E2248" t="str">
            <v>Pcs</v>
          </cell>
          <cell r="G2248" t="str">
            <v>musa</v>
          </cell>
          <cell r="AA2248" t="str">
            <v>AVAYA STOCK</v>
          </cell>
        </row>
        <row r="2249">
          <cell r="A2249" t="str">
            <v>700515843</v>
          </cell>
          <cell r="B2249" t="str">
            <v>ASP 130 R5 VMW7 DELL R640 SRVR P3</v>
          </cell>
          <cell r="C2249">
            <v>1</v>
          </cell>
          <cell r="E2249" t="str">
            <v>Pcs</v>
          </cell>
          <cell r="F2249" t="str">
            <v>8C</v>
          </cell>
          <cell r="G2249" t="str">
            <v>musa</v>
          </cell>
          <cell r="AA2249" t="str">
            <v>AVAYA STOCK</v>
          </cell>
        </row>
        <row r="2250">
          <cell r="A2250" t="str">
            <v>700515844</v>
          </cell>
          <cell r="B2250" t="str">
            <v>ASP 130 R5 VMW7 DELL R640 SRVR P4</v>
          </cell>
          <cell r="C2250">
            <v>0</v>
          </cell>
          <cell r="E2250" t="str">
            <v>Pcs</v>
          </cell>
          <cell r="G2250" t="str">
            <v>musa</v>
          </cell>
          <cell r="AA2250" t="str">
            <v>AVAYA STOCK</v>
          </cell>
        </row>
        <row r="2251">
          <cell r="A2251" t="str">
            <v>700515845</v>
          </cell>
          <cell r="B2251" t="str">
            <v>ASP 130 R5 VMW7 DELL R640 SRVR P5</v>
          </cell>
          <cell r="C2251">
            <v>6</v>
          </cell>
          <cell r="E2251" t="str">
            <v>Pcs</v>
          </cell>
          <cell r="F2251" t="str">
            <v>8AC, 9B</v>
          </cell>
          <cell r="G2251" t="str">
            <v>musa</v>
          </cell>
          <cell r="AA2251" t="str">
            <v>AVAYA STOCK</v>
          </cell>
        </row>
        <row r="2252">
          <cell r="A2252" t="str">
            <v>700515846</v>
          </cell>
          <cell r="B2252" t="str">
            <v>ASP 130 R5 VMW7 DELL R640 SRVR P51</v>
          </cell>
          <cell r="C2252">
            <v>0</v>
          </cell>
          <cell r="E2252" t="str">
            <v>Pcs</v>
          </cell>
          <cell r="G2252" t="str">
            <v>musa</v>
          </cell>
          <cell r="AA2252" t="str">
            <v>AVAYA STOCK</v>
          </cell>
        </row>
        <row r="2253">
          <cell r="A2253" t="str">
            <v>700515878</v>
          </cell>
          <cell r="B2253" t="str">
            <v>CORE DELL 3240 COMPACT SRVR ASBCE</v>
          </cell>
          <cell r="C2253">
            <v>2</v>
          </cell>
          <cell r="E2253" t="str">
            <v>Pcs</v>
          </cell>
          <cell r="F2253" t="str">
            <v>8A</v>
          </cell>
          <cell r="G2253" t="str">
            <v>musa</v>
          </cell>
          <cell r="AA2253" t="str">
            <v>AVAYA STOCK</v>
          </cell>
        </row>
        <row r="2254">
          <cell r="A2254" t="str">
            <v>700515965</v>
          </cell>
          <cell r="B2254" t="str">
            <v>CORE DELL 3240 COMPACT SRVR ASBCE</v>
          </cell>
          <cell r="C2254">
            <v>0</v>
          </cell>
          <cell r="E2254" t="str">
            <v>Pcs</v>
          </cell>
          <cell r="G2254" t="str">
            <v>musa</v>
          </cell>
          <cell r="AA2254" t="str">
            <v>AVAYA STOCK</v>
          </cell>
        </row>
        <row r="2255">
          <cell r="A2255" t="str">
            <v>700517252</v>
          </cell>
          <cell r="B2255" t="str">
            <v>J129 IP PHONE GLOBAL</v>
          </cell>
          <cell r="C2255">
            <v>0</v>
          </cell>
          <cell r="E2255" t="str">
            <v>PCS</v>
          </cell>
          <cell r="F2255" t="str">
            <v>5B</v>
          </cell>
          <cell r="G2255" t="str">
            <v>musa</v>
          </cell>
          <cell r="AA2255" t="str">
            <v>AVAYA STOCK</v>
          </cell>
        </row>
        <row r="2256">
          <cell r="A2256" t="str">
            <v>700517267</v>
          </cell>
          <cell r="B2256" t="str">
            <v>ASBCE CORE DELL 1425 COMPACT SRVR</v>
          </cell>
          <cell r="C2256">
            <v>2</v>
          </cell>
          <cell r="E2256" t="str">
            <v>PCS</v>
          </cell>
          <cell r="F2256" t="str">
            <v>2B</v>
          </cell>
          <cell r="G2256" t="str">
            <v>musa</v>
          </cell>
          <cell r="AA2256" t="str">
            <v>AVAYA STOCK</v>
          </cell>
        </row>
        <row r="2257">
          <cell r="A2257" t="str">
            <v>700517268</v>
          </cell>
          <cell r="B2257" t="str">
            <v>ASBCE CORE DELL 1425 COMPACT IPO</v>
          </cell>
          <cell r="C2257">
            <v>9</v>
          </cell>
          <cell r="E2257" t="str">
            <v>PCS</v>
          </cell>
          <cell r="F2257" t="str">
            <v>3B</v>
          </cell>
          <cell r="G2257" t="str">
            <v>musa</v>
          </cell>
          <cell r="AA2257" t="str">
            <v>AVAYA STOCK</v>
          </cell>
        </row>
        <row r="2258">
          <cell r="A2258" t="str">
            <v>700517306</v>
          </cell>
          <cell r="B2258" t="str">
            <v>ASCOM CHRGNG RACK DH5/6/7/8 WH1/WH2</v>
          </cell>
          <cell r="C2258">
            <v>0</v>
          </cell>
          <cell r="E2258" t="str">
            <v>Pcs</v>
          </cell>
          <cell r="G2258" t="str">
            <v>musa</v>
          </cell>
          <cell r="AA2258" t="str">
            <v>AVAYA STOCK</v>
          </cell>
        </row>
        <row r="2259">
          <cell r="A2259" t="str">
            <v>700519834</v>
          </cell>
          <cell r="B2259" t="str">
            <v>ASP 110 DELL R660 SRVR A2 IPO</v>
          </cell>
          <cell r="C2259">
            <v>0</v>
          </cell>
          <cell r="E2259" t="str">
            <v>Pcs</v>
          </cell>
          <cell r="G2259" t="str">
            <v>musa</v>
          </cell>
          <cell r="AA2259" t="str">
            <v>AVAYA STOCK</v>
          </cell>
        </row>
        <row r="2260">
          <cell r="A2260" t="str">
            <v>700519836</v>
          </cell>
          <cell r="B2260" t="str">
            <v>ASP 130 DELL R660 HYPRVSR A1 SRVR BNDL</v>
          </cell>
          <cell r="C2260">
            <v>2</v>
          </cell>
          <cell r="E2260" t="str">
            <v>Pcs</v>
          </cell>
          <cell r="F2260" t="str">
            <v>5B</v>
          </cell>
          <cell r="G2260" t="str">
            <v>musa</v>
          </cell>
          <cell r="AA2260" t="str">
            <v>AVAYA STOCK</v>
          </cell>
        </row>
        <row r="2261">
          <cell r="A2261" t="str">
            <v>700519837</v>
          </cell>
          <cell r="B2261" t="str">
            <v>ASP 130 DELL R660 HYPRVSR A2 SRVR BNDL</v>
          </cell>
          <cell r="C2261">
            <v>0</v>
          </cell>
          <cell r="E2261" t="str">
            <v>Pcs</v>
          </cell>
          <cell r="F2261" t="str">
            <v>6A</v>
          </cell>
          <cell r="G2261" t="str">
            <v>musa</v>
          </cell>
          <cell r="AA2261" t="str">
            <v>AVAYA STOCK</v>
          </cell>
        </row>
        <row r="2262">
          <cell r="A2262" t="str">
            <v>700519838</v>
          </cell>
          <cell r="B2262" t="str">
            <v>ASP 130 DELL R660 HYPRVSR A3 SRVR BNDL</v>
          </cell>
          <cell r="C2262">
            <v>2</v>
          </cell>
          <cell r="E2262" t="str">
            <v>Pcs</v>
          </cell>
          <cell r="F2262" t="str">
            <v>6A</v>
          </cell>
          <cell r="G2262" t="str">
            <v>musa</v>
          </cell>
          <cell r="AA2262" t="str">
            <v>AVAYA STOCK</v>
          </cell>
        </row>
        <row r="2263">
          <cell r="A2263" t="str">
            <v>700519839</v>
          </cell>
          <cell r="B2263" t="str">
            <v>ASP 130 DELL R660 HYPRVSR A31 SVR BNDL</v>
          </cell>
          <cell r="C2263">
            <v>0</v>
          </cell>
          <cell r="E2263" t="str">
            <v>Pcs</v>
          </cell>
          <cell r="G2263" t="str">
            <v>musa</v>
          </cell>
          <cell r="AA2263" t="str">
            <v>AVAYA STOCK</v>
          </cell>
        </row>
        <row r="2264">
          <cell r="A2264" t="str">
            <v>700519840</v>
          </cell>
          <cell r="B2264" t="str">
            <v>ASP 110 DELL R660 SRVR A3 AAMS</v>
          </cell>
          <cell r="C2264">
            <v>0</v>
          </cell>
          <cell r="E2264" t="str">
            <v>Pcs</v>
          </cell>
          <cell r="G2264" t="str">
            <v>musa</v>
          </cell>
          <cell r="AA2264" t="str">
            <v>AVAYA STOCK</v>
          </cell>
        </row>
        <row r="2265">
          <cell r="A2265" t="str">
            <v>700519870</v>
          </cell>
          <cell r="B2265" t="str">
            <v>ASPll0 DELL R360 MIDRANGE SRVR ASBCE</v>
          </cell>
          <cell r="C2265">
            <v>3</v>
          </cell>
          <cell r="E2265" t="str">
            <v>Pcs</v>
          </cell>
          <cell r="G2265" t="str">
            <v>musa</v>
          </cell>
          <cell r="AA2265" t="str">
            <v>AVAYA STOCK</v>
          </cell>
        </row>
        <row r="2266">
          <cell r="A2266" t="str">
            <v>700520309</v>
          </cell>
          <cell r="B2266" t="str">
            <v>S8300 R6 PRELOADED</v>
          </cell>
          <cell r="C2266">
            <v>0</v>
          </cell>
          <cell r="E2266" t="str">
            <v>Pcs</v>
          </cell>
          <cell r="G2266" t="str">
            <v>musa</v>
          </cell>
          <cell r="AA2266" t="str">
            <v>AVAYA STOCK</v>
          </cell>
        </row>
        <row r="2267">
          <cell r="A2267" t="str">
            <v>39000-00005</v>
          </cell>
          <cell r="B2267" t="str">
            <v>AV IX PWR CORD 125V 1.83M USA</v>
          </cell>
          <cell r="C2267">
            <v>5</v>
          </cell>
          <cell r="E2267" t="str">
            <v>Pcs</v>
          </cell>
          <cell r="F2267" t="str">
            <v>1A</v>
          </cell>
          <cell r="G2267" t="str">
            <v>musa</v>
          </cell>
          <cell r="AA2267" t="str">
            <v>AVAYA STOCK</v>
          </cell>
        </row>
        <row r="2268">
          <cell r="A2268" t="str">
            <v>39000-00009</v>
          </cell>
          <cell r="B2268" t="str">
            <v>AV IX PWR CORD 250V 1.83M UK</v>
          </cell>
          <cell r="C2268">
            <v>1</v>
          </cell>
          <cell r="E2268" t="str">
            <v>Pcs</v>
          </cell>
          <cell r="F2268" t="str">
            <v>1A</v>
          </cell>
          <cell r="G2268" t="str">
            <v>musa</v>
          </cell>
          <cell r="AA2268" t="str">
            <v>AVAYA STOCK</v>
          </cell>
        </row>
        <row r="2269">
          <cell r="A2269" t="str">
            <v>55111-00057</v>
          </cell>
          <cell r="B2269" t="str">
            <v>AV IX XT SIMPLIFIED REMOTE CONTROL</v>
          </cell>
          <cell r="C2269">
            <v>0</v>
          </cell>
          <cell r="E2269" t="str">
            <v>Pcs</v>
          </cell>
          <cell r="G2269" t="str">
            <v>musa</v>
          </cell>
          <cell r="AA2269" t="str">
            <v>AVAYA STOCK</v>
          </cell>
        </row>
        <row r="2270">
          <cell r="A2270" t="str">
            <v>55411-00016</v>
          </cell>
          <cell r="B2270" t="str">
            <v>AV IX PWRCORD KIT UNITED KINGDOM</v>
          </cell>
          <cell r="C2270">
            <v>2</v>
          </cell>
          <cell r="E2270" t="str">
            <v>Pcs</v>
          </cell>
          <cell r="F2270" t="str">
            <v>11B</v>
          </cell>
          <cell r="G2270" t="str">
            <v>musa</v>
          </cell>
          <cell r="AA2270" t="str">
            <v>AVAYA STOCK</v>
          </cell>
        </row>
        <row r="2271">
          <cell r="A2271" t="str">
            <v>55411-10001</v>
          </cell>
          <cell r="B2271" t="str">
            <v>AV IX EXECUTIVE XTE240 R</v>
          </cell>
          <cell r="C2271">
            <v>7</v>
          </cell>
          <cell r="E2271" t="str">
            <v>Pcs</v>
          </cell>
          <cell r="F2271" t="str">
            <v>8C</v>
          </cell>
          <cell r="G2271" t="str">
            <v>musa</v>
          </cell>
          <cell r="AA2271" t="str">
            <v>AVAYA STOCK</v>
          </cell>
        </row>
        <row r="2272">
          <cell r="A2272" t="str">
            <v>55511-00004</v>
          </cell>
          <cell r="B2272" t="str">
            <v>AV IX RMSYS XTE7100 CODEC ONLY</v>
          </cell>
          <cell r="C2272">
            <v>1</v>
          </cell>
          <cell r="E2272" t="str">
            <v>Pcs</v>
          </cell>
          <cell r="F2272" t="str">
            <v>11B</v>
          </cell>
          <cell r="G2272" t="str">
            <v>musa</v>
          </cell>
          <cell r="AA2272" t="str">
            <v>AVAYA STOCK</v>
          </cell>
        </row>
        <row r="2273">
          <cell r="A2273" t="str">
            <v>55511-00007</v>
          </cell>
          <cell r="B2273" t="str">
            <v>AV IX XT 3-WAY PREMIUM MIC POD</v>
          </cell>
          <cell r="C2273">
            <v>2</v>
          </cell>
          <cell r="E2273" t="str">
            <v>Pcs</v>
          </cell>
          <cell r="F2273" t="str">
            <v>11B</v>
          </cell>
          <cell r="G2273" t="str">
            <v>musa</v>
          </cell>
          <cell r="AA2273" t="str">
            <v>AVAYA STOCK</v>
          </cell>
        </row>
        <row r="2274">
          <cell r="A2274" t="str">
            <v>700515842</v>
          </cell>
          <cell r="B2274" t="str">
            <v>ASP 130 R5 VMW7 DELL R640 SRVR P2</v>
          </cell>
          <cell r="C2274">
            <v>0</v>
          </cell>
          <cell r="E2274" t="str">
            <v>Pcs</v>
          </cell>
          <cell r="G2274" t="str">
            <v>musa</v>
          </cell>
          <cell r="AA2274" t="str">
            <v>AVAYA STOCK</v>
          </cell>
        </row>
        <row r="2275">
          <cell r="A2275" t="str">
            <v>WH2-AAAA</v>
          </cell>
          <cell r="B2275" t="str">
            <v>WH2-AAAA Ascom i63 Talker</v>
          </cell>
          <cell r="C2275">
            <v>0</v>
          </cell>
          <cell r="E2275" t="str">
            <v>Pcs</v>
          </cell>
          <cell r="G2275" t="str">
            <v>musa</v>
          </cell>
          <cell r="AA2275" t="str">
            <v>AVAYA STOCK</v>
          </cell>
        </row>
        <row r="2276">
          <cell r="A2276" t="str">
            <v>Part Number</v>
          </cell>
          <cell r="B2276" t="str">
            <v>Material description</v>
          </cell>
          <cell r="C2276" t="str">
            <v>Available Qty</v>
          </cell>
          <cell r="E2276" t="str">
            <v>UOM</v>
          </cell>
          <cell r="F2276" t="str">
            <v>Rack#</v>
          </cell>
          <cell r="G2276" t="str">
            <v>SAP PartNumber</v>
          </cell>
          <cell r="AA2276" t="str">
            <v>DAHUA TECH STOCK</v>
          </cell>
        </row>
        <row r="2277">
          <cell r="A2277" t="str">
            <v>DH-IPC-HDBW5541E-ZE</v>
          </cell>
          <cell r="B2277" t="str">
            <v>DH-IPC-HDBW5541E 5MP IR Vari-focal Vandal-proof Dome WizM</v>
          </cell>
          <cell r="C2277">
            <v>599</v>
          </cell>
          <cell r="E2277" t="str">
            <v>PCS</v>
          </cell>
          <cell r="F2277" t="str">
            <v>52C, 54B, 54C</v>
          </cell>
          <cell r="G2277" t="str">
            <v>DH-IPC-HDBW5541E</v>
          </cell>
          <cell r="AA2277" t="str">
            <v>DAHUA TECH STOCK</v>
          </cell>
        </row>
        <row r="2278">
          <cell r="A2278" t="str">
            <v>DHI-ASF280ZL-V1</v>
          </cell>
          <cell r="B2278" t="str">
            <v>DHI-ASF280ZL-V1 DAHUA ZL BRACKET FOR 280KGC MAGNETIC LOC</v>
          </cell>
          <cell r="C2278">
            <v>127</v>
          </cell>
          <cell r="E2278" t="str">
            <v>PCS</v>
          </cell>
          <cell r="F2278" t="str">
            <v>52C</v>
          </cell>
          <cell r="G2278" t="str">
            <v>DHI-ASF280ZL-V1</v>
          </cell>
          <cell r="AA2278" t="str">
            <v>DAHUA TECH STOCK</v>
          </cell>
        </row>
        <row r="2279">
          <cell r="A2279" t="str">
            <v>ASF280ZL</v>
          </cell>
          <cell r="B2279" t="str">
            <v>Magnetic Lock Bracket</v>
          </cell>
          <cell r="C2279">
            <v>1</v>
          </cell>
          <cell r="E2279" t="str">
            <v>PCS</v>
          </cell>
          <cell r="F2279" t="str">
            <v>127C</v>
          </cell>
          <cell r="G2279" t="str">
            <v>ASF280ZL</v>
          </cell>
          <cell r="AA2279" t="str">
            <v>DAHUA TECH STOCK</v>
          </cell>
        </row>
        <row r="2280">
          <cell r="A2280" t="str">
            <v>ASF908</v>
          </cell>
          <cell r="B2280" t="str">
            <v>Infrared Exit Button</v>
          </cell>
          <cell r="C2280">
            <v>112</v>
          </cell>
          <cell r="E2280" t="str">
            <v>PCS</v>
          </cell>
          <cell r="F2280" t="str">
            <v>54B, 127C</v>
          </cell>
          <cell r="G2280" t="str">
            <v>ASF908</v>
          </cell>
          <cell r="AA2280" t="str">
            <v>DAHUA TECH STOCK</v>
          </cell>
        </row>
        <row r="2281">
          <cell r="A2281" t="str">
            <v>DHI-ASF280A</v>
          </cell>
          <cell r="B2281" t="str">
            <v>Single Door Magnetic Lock</v>
          </cell>
          <cell r="C2281">
            <v>1</v>
          </cell>
          <cell r="E2281" t="str">
            <v>PCS</v>
          </cell>
          <cell r="F2281" t="str">
            <v>128C</v>
          </cell>
          <cell r="G2281" t="str">
            <v>DHI-ASF280A</v>
          </cell>
          <cell r="AA2281" t="str">
            <v>DAHUA TECH STOCK</v>
          </cell>
        </row>
        <row r="2282">
          <cell r="A2282" t="str">
            <v>IC-S50</v>
          </cell>
          <cell r="B2282" t="str">
            <v>IC Card: Mifare card, 13.56MHz</v>
          </cell>
          <cell r="C2282">
            <v>1500</v>
          </cell>
          <cell r="E2282" t="str">
            <v>PCS</v>
          </cell>
          <cell r="F2282" t="str">
            <v>56B</v>
          </cell>
          <cell r="G2282" t="str">
            <v>IC-S50</v>
          </cell>
          <cell r="AA2282" t="str">
            <v>DAHUA TECH STOCK</v>
          </cell>
        </row>
        <row r="2283">
          <cell r="A2283" t="str">
            <v>PFA121</v>
          </cell>
          <cell r="B2283" t="str">
            <v>Junction Box</v>
          </cell>
          <cell r="C2283">
            <v>159</v>
          </cell>
          <cell r="E2283" t="str">
            <v>PCS</v>
          </cell>
          <cell r="F2283" t="str">
            <v>52C, 59B</v>
          </cell>
          <cell r="G2283" t="str">
            <v>PFA121</v>
          </cell>
          <cell r="AA2283" t="str">
            <v>DAHUA TECH STOCK</v>
          </cell>
        </row>
        <row r="2284">
          <cell r="A2284" t="str">
            <v>DHI-ASI6214S</v>
          </cell>
          <cell r="B2284" t="str">
            <v>Access Reader Outdoor / Indoor</v>
          </cell>
          <cell r="C2284">
            <v>0</v>
          </cell>
          <cell r="E2284" t="str">
            <v>PCS</v>
          </cell>
          <cell r="G2284" t="str">
            <v>DHI-ASI6214S</v>
          </cell>
          <cell r="AA2284" t="str">
            <v>DAHUA TECH STOCK</v>
          </cell>
        </row>
        <row r="2285">
          <cell r="A2285" t="str">
            <v>DHI-ASC2202C-D</v>
          </cell>
          <cell r="B2285" t="str">
            <v>2 Door Tow-way Access Controller</v>
          </cell>
          <cell r="C2285">
            <v>0</v>
          </cell>
          <cell r="E2285" t="str">
            <v>PCS</v>
          </cell>
          <cell r="G2285" t="str">
            <v>DHI-ASC2202C-D</v>
          </cell>
          <cell r="AA2285" t="str">
            <v>DAHUA TECH STOCK</v>
          </cell>
        </row>
        <row r="2286">
          <cell r="A2286" t="str">
            <v>ASF921</v>
          </cell>
          <cell r="B2286" t="str">
            <v>Emergency Break Glass Button</v>
          </cell>
          <cell r="C2286">
            <v>150</v>
          </cell>
          <cell r="E2286" t="str">
            <v>PCS</v>
          </cell>
          <cell r="F2286" t="str">
            <v>57A, 58A</v>
          </cell>
          <cell r="G2286" t="str">
            <v>ASF921</v>
          </cell>
          <cell r="AA2286" t="str">
            <v>DAHUA TECH STOCK</v>
          </cell>
        </row>
        <row r="2287">
          <cell r="A2287" t="str">
            <v>DHI-NVR616-64-4KS2</v>
          </cell>
          <cell r="B2287" t="str">
            <v>64 Channel 3U 16HDDs Ultra series Networ</v>
          </cell>
          <cell r="C2287">
            <v>0</v>
          </cell>
          <cell r="E2287" t="str">
            <v>PCS</v>
          </cell>
          <cell r="G2287" t="str">
            <v>DHI-NVR616-64-4KS2</v>
          </cell>
          <cell r="AA2287" t="str">
            <v>DAHUA TECH STOCK</v>
          </cell>
        </row>
        <row r="2288">
          <cell r="A2288" t="str">
            <v>DH-IPC-HFW5541E-ZE</v>
          </cell>
          <cell r="B2288" t="str">
            <v>5MP IR Vari-focal Bullet WizMind Network</v>
          </cell>
          <cell r="C2288">
            <v>63</v>
          </cell>
          <cell r="E2288" t="str">
            <v>PCS</v>
          </cell>
          <cell r="F2288" t="str">
            <v>52C, 54B, 54C</v>
          </cell>
          <cell r="G2288" t="str">
            <v>DH-IPC-HFW5541E-ZE</v>
          </cell>
          <cell r="AA2288" t="str">
            <v>DAHUA TECH STOCK</v>
          </cell>
        </row>
        <row r="2289">
          <cell r="A2289" t="str">
            <v>DHI-ASB1C-B</v>
          </cell>
          <cell r="B2289" t="str">
            <v>Access Box</v>
          </cell>
          <cell r="C2289">
            <v>0</v>
          </cell>
          <cell r="E2289" t="str">
            <v>PCS</v>
          </cell>
          <cell r="G2289" t="str">
            <v>DHI-ASB1C-B</v>
          </cell>
          <cell r="AA2289" t="str">
            <v>DAHUA TECH STOCK</v>
          </cell>
        </row>
        <row r="2290">
          <cell r="A2290" t="str">
            <v>DHI-ASGG500T</v>
          </cell>
          <cell r="B2290" t="str">
            <v>Tripod Turnstile Case</v>
          </cell>
          <cell r="C2290">
            <v>0</v>
          </cell>
          <cell r="E2290" t="str">
            <v>PCS</v>
          </cell>
          <cell r="G2290" t="str">
            <v>DHI-ASGG500T</v>
          </cell>
          <cell r="AA2290" t="str">
            <v>DAHUA TECH STOCK</v>
          </cell>
        </row>
        <row r="2291">
          <cell r="A2291" t="str">
            <v>DHI-ASGG520T</v>
          </cell>
          <cell r="B2291" t="str">
            <v>Tripod Turnstile with Two Holes for FR</v>
          </cell>
          <cell r="C2291">
            <v>0</v>
          </cell>
          <cell r="E2291" t="str">
            <v>PCS</v>
          </cell>
          <cell r="G2291" t="str">
            <v>DHI-ASGG520T</v>
          </cell>
          <cell r="AA2291" t="str">
            <v>DAHUA TECH STOCK</v>
          </cell>
        </row>
        <row r="2292">
          <cell r="A2292" t="str">
            <v>DHI-ASI7213K-W</v>
          </cell>
          <cell r="B2292" t="str">
            <v>Face Recognition Access Controller</v>
          </cell>
          <cell r="C2292">
            <v>0</v>
          </cell>
          <cell r="E2292" t="str">
            <v>PCS</v>
          </cell>
          <cell r="G2292" t="str">
            <v>DHI-ASI7213K-W</v>
          </cell>
          <cell r="AA2292" t="str">
            <v>DAHUA TECH STOCK</v>
          </cell>
        </row>
        <row r="2293">
          <cell r="A2293" t="str">
            <v>DHI-ASM100</v>
          </cell>
          <cell r="B2293" t="str">
            <v>Mifare card Enrollment Reader</v>
          </cell>
          <cell r="C2293">
            <v>3</v>
          </cell>
          <cell r="E2293" t="str">
            <v>PCS</v>
          </cell>
          <cell r="F2293" t="str">
            <v>56B</v>
          </cell>
          <cell r="G2293" t="str">
            <v>DHI-ASM100</v>
          </cell>
          <cell r="AA2293" t="str">
            <v>DAHUA TECH STOCK</v>
          </cell>
        </row>
        <row r="2294">
          <cell r="A2294" t="str">
            <v>DHI-IPMECD-2032-RM35-T15</v>
          </cell>
          <cell r="B2294" t="str">
            <v>Right straight arm Variable frequency mo</v>
          </cell>
          <cell r="C2294">
            <v>0</v>
          </cell>
          <cell r="E2294" t="str">
            <v>PCS</v>
          </cell>
          <cell r="G2294" t="str">
            <v>DHI-IPMECD-2032</v>
          </cell>
          <cell r="AA2294" t="str">
            <v>DAHUA TECH STOCK</v>
          </cell>
        </row>
        <row r="2295">
          <cell r="A2295" t="str">
            <v>DHI-IPMECD-3022-RM50-T30</v>
          </cell>
          <cell r="B2295" t="str">
            <v>Right straight arm Variable frequency 5M</v>
          </cell>
          <cell r="C2295">
            <v>0</v>
          </cell>
          <cell r="E2295" t="str">
            <v>PCS</v>
          </cell>
          <cell r="G2295" t="str">
            <v>DHI-IPMECD-3022-</v>
          </cell>
          <cell r="AA2295" t="str">
            <v>DAHUA TECH STOCK</v>
          </cell>
        </row>
        <row r="2296">
          <cell r="A2296" t="str">
            <v>DHI-ITC436-PW9H-IZP</v>
          </cell>
          <cell r="B2296" t="str">
            <v>4MP Smart ANPR Camera with Integrated Po</v>
          </cell>
          <cell r="C2296">
            <v>15</v>
          </cell>
          <cell r="E2296" t="str">
            <v>PCS</v>
          </cell>
          <cell r="G2296" t="str">
            <v>DHI-ITC436-PW9H-IZ</v>
          </cell>
          <cell r="AA2296" t="str">
            <v>DAHUA TECH STOCK</v>
          </cell>
        </row>
        <row r="2297">
          <cell r="A2297" t="str">
            <v>DHI-ITSJC-2303-DC12</v>
          </cell>
          <cell r="B2297" t="str">
            <v>79GHz Anti-smashing Radar</v>
          </cell>
          <cell r="C2297">
            <v>2</v>
          </cell>
          <cell r="E2297" t="str">
            <v>PCS</v>
          </cell>
          <cell r="G2297" t="str">
            <v>DHI-ITSJC-2303-DC</v>
          </cell>
          <cell r="AA2297" t="str">
            <v>DAHUA TECH STOCK</v>
          </cell>
        </row>
        <row r="2298">
          <cell r="A2298" t="str">
            <v>DHI-LM55-F400</v>
          </cell>
          <cell r="B2298" t="str">
            <v>55'' UHD LED Monitor</v>
          </cell>
          <cell r="C2298">
            <v>0</v>
          </cell>
          <cell r="E2298" t="str">
            <v>PCS</v>
          </cell>
          <cell r="G2298" t="str">
            <v>DHI-LM55-F400</v>
          </cell>
          <cell r="AA2298" t="str">
            <v>DAHUA TECH STOCK</v>
          </cell>
        </row>
        <row r="2299">
          <cell r="A2299" t="str">
            <v>DHI-NVD0405DU-2I-8K</v>
          </cell>
          <cell r="B2299" t="str">
            <v>4 Channel Ultra HD Network Video Decoder</v>
          </cell>
          <cell r="C2299">
            <v>0</v>
          </cell>
          <cell r="E2299" t="str">
            <v>PCS</v>
          </cell>
          <cell r="G2299" t="str">
            <v>DHI-NVD0405DU-2I</v>
          </cell>
          <cell r="AA2299" t="str">
            <v>DAHUA TECH STOCK</v>
          </cell>
        </row>
        <row r="2300">
          <cell r="A2300" t="str">
            <v>DHI-NVR616H-64-XI</v>
          </cell>
          <cell r="B2300" t="str">
            <v>64CH 3U 16HDDs WizMind Network Video Rec</v>
          </cell>
          <cell r="C2300">
            <v>0</v>
          </cell>
          <cell r="E2300" t="str">
            <v>PCS</v>
          </cell>
          <cell r="G2300" t="str">
            <v>DHI-NVR616H-64-XI</v>
          </cell>
          <cell r="AA2300" t="str">
            <v>DAHUA TECH STOCK</v>
          </cell>
        </row>
        <row r="2301">
          <cell r="A2301" t="str">
            <v>DH-IPC-HDBW7842E1-Z- X</v>
          </cell>
          <cell r="B2301" t="str">
            <v>8MP IR Dome WizMind Network Camera</v>
          </cell>
          <cell r="C2301">
            <v>0</v>
          </cell>
          <cell r="E2301" t="str">
            <v>PCS</v>
          </cell>
          <cell r="G2301" t="str">
            <v>DH-IPC-HDBW7842E1</v>
          </cell>
          <cell r="AA2301" t="str">
            <v>DAHUA TECH STOCK</v>
          </cell>
        </row>
        <row r="2302">
          <cell r="A2302" t="str">
            <v>DH-IPC-HDW8441X-BV- 3D</v>
          </cell>
          <cell r="B2302" t="str">
            <v>4MP WizMind Dual-Lens Stereo Analysis Ne</v>
          </cell>
          <cell r="C2302">
            <v>0</v>
          </cell>
          <cell r="E2302" t="str">
            <v>PCS</v>
          </cell>
          <cell r="G2302" t="str">
            <v>DH-IPC-HDW8441X-BV</v>
          </cell>
          <cell r="AA2302" t="str">
            <v>DAHUA TECH STOCK</v>
          </cell>
        </row>
        <row r="2303">
          <cell r="A2303" t="str">
            <v>DH-IPC-HFW7842H-Z-X</v>
          </cell>
          <cell r="B2303" t="str">
            <v>8-MP 1/1.8"" CMOS image sensor, low lum</v>
          </cell>
          <cell r="C2303">
            <v>8</v>
          </cell>
          <cell r="E2303" t="str">
            <v>PCS</v>
          </cell>
          <cell r="F2303" t="str">
            <v>53B</v>
          </cell>
          <cell r="G2303" t="str">
            <v>DH-IPC-HFW7842H-Z-</v>
          </cell>
          <cell r="AA2303" t="str">
            <v>DAHUA TECH STOCK</v>
          </cell>
        </row>
        <row r="2304">
          <cell r="A2304" t="str">
            <v>DHI-VTH8A21KMS-CW</v>
          </cell>
          <cell r="B2304" t="str">
            <v>IP &amp; Wi-Fi Indoor Monitor</v>
          </cell>
          <cell r="C2304">
            <v>0</v>
          </cell>
          <cell r="E2304" t="str">
            <v>PCS</v>
          </cell>
          <cell r="G2304" t="str">
            <v>DHI-VTH8A21KMS-CW</v>
          </cell>
          <cell r="AA2304" t="str">
            <v>DAHUA TECH STOCK</v>
          </cell>
        </row>
        <row r="2305">
          <cell r="A2305" t="str">
            <v>DHI-VTO2311R-WP</v>
          </cell>
          <cell r="B2305" t="str">
            <v>Video Door Station</v>
          </cell>
          <cell r="C2305">
            <v>0</v>
          </cell>
          <cell r="E2305" t="str">
            <v>PCS</v>
          </cell>
          <cell r="G2305" t="str">
            <v>DHI-VTO2311R-WP</v>
          </cell>
          <cell r="AA2305" t="str">
            <v>DAHUA TECH STOCK</v>
          </cell>
        </row>
        <row r="2306">
          <cell r="A2306" t="str">
            <v>DHL42/43/49/55-BG</v>
          </cell>
          <cell r="B2306" t="str">
            <v>Monitor Wall Mount</v>
          </cell>
          <cell r="C2306">
            <v>0</v>
          </cell>
          <cell r="E2306" t="str">
            <v>PCS</v>
          </cell>
          <cell r="G2306" t="str">
            <v>DHL42/43/49/55-BG</v>
          </cell>
          <cell r="AA2306" t="str">
            <v>DAHUA TECH STOCK</v>
          </cell>
        </row>
        <row r="2307">
          <cell r="A2307" t="str">
            <v>DH-PFA154</v>
          </cell>
          <cell r="B2307" t="str">
            <v>Pole mount bracket</v>
          </cell>
          <cell r="C2307">
            <v>308</v>
          </cell>
          <cell r="E2307" t="str">
            <v>PCS</v>
          </cell>
          <cell r="F2307" t="str">
            <v>54C, 55A, 57C, 58C</v>
          </cell>
          <cell r="G2307" t="str">
            <v>DH-PFA154</v>
          </cell>
          <cell r="AA2307" t="str">
            <v>DAHUA TECH STOCK</v>
          </cell>
        </row>
        <row r="2308">
          <cell r="A2308" t="str">
            <v>IPMECD-0232-M35</v>
          </cell>
          <cell r="B2308" t="str">
            <v>Straight arm 3.5m</v>
          </cell>
          <cell r="C2308">
            <v>0</v>
          </cell>
          <cell r="E2308" t="str">
            <v>PCS</v>
          </cell>
          <cell r="G2308" t="str">
            <v>IPMECD-0232-M35</v>
          </cell>
          <cell r="AA2308" t="str">
            <v>DAHUA TECH STOCK</v>
          </cell>
        </row>
        <row r="2309">
          <cell r="A2309" t="str">
            <v>IPMECD-0322-RM50</v>
          </cell>
          <cell r="B2309" t="str">
            <v>Right straight arm 5m</v>
          </cell>
          <cell r="C2309">
            <v>0</v>
          </cell>
          <cell r="E2309" t="str">
            <v>PCS</v>
          </cell>
          <cell r="G2309" t="str">
            <v>IPMECD-0322-RM50</v>
          </cell>
          <cell r="AA2309" t="str">
            <v>DAHUA TECH STOCK</v>
          </cell>
        </row>
        <row r="2310">
          <cell r="A2310" t="str">
            <v>ITSZJ-1202-10</v>
          </cell>
          <cell r="B2310" t="str">
            <v>Anti-smashing Radar support</v>
          </cell>
          <cell r="C2310">
            <v>0</v>
          </cell>
          <cell r="E2310" t="str">
            <v>PCS</v>
          </cell>
          <cell r="G2310" t="str">
            <v>ITSZJ-1202-10</v>
          </cell>
          <cell r="AA2310" t="str">
            <v>DAHUA TECH STOCK</v>
          </cell>
        </row>
        <row r="2311">
          <cell r="A2311" t="str">
            <v>ST8000NM017B</v>
          </cell>
          <cell r="B2311" t="str">
            <v>HDD-STANDARD-8TB</v>
          </cell>
          <cell r="C2311">
            <v>0</v>
          </cell>
          <cell r="E2311" t="str">
            <v>PCS</v>
          </cell>
          <cell r="G2311" t="str">
            <v>ST8000NM017B</v>
          </cell>
          <cell r="AA2311" t="str">
            <v>DAHUA TECH STOCK</v>
          </cell>
        </row>
        <row r="2312">
          <cell r="A2312" t="str">
            <v>ASF053-ZJ</v>
          </cell>
          <cell r="B2312" t="str">
            <v>Turnstile Bracket</v>
          </cell>
          <cell r="C2312">
            <v>2</v>
          </cell>
          <cell r="E2312" t="str">
            <v>PCS</v>
          </cell>
          <cell r="G2312" t="str">
            <v>ASF053-ZJ</v>
          </cell>
          <cell r="AA2312" t="str">
            <v>DAHUA TECH STOCK</v>
          </cell>
        </row>
        <row r="2313">
          <cell r="A2313" t="str">
            <v>DHI-ASF280A-V1</v>
          </cell>
          <cell r="B2313" t="str">
            <v>Magnetic Lock</v>
          </cell>
          <cell r="C2313">
            <v>65</v>
          </cell>
          <cell r="E2313" t="str">
            <v>PCS</v>
          </cell>
          <cell r="F2313" t="str">
            <v>55A</v>
          </cell>
          <cell r="G2313" t="str">
            <v>DHI-ASF280A-V1</v>
          </cell>
          <cell r="AA2313" t="str">
            <v>DAHUA TECH STOCK</v>
          </cell>
        </row>
        <row r="2314">
          <cell r="A2314" t="str">
            <v>DHI-ASI3213A-W</v>
          </cell>
          <cell r="B2314" t="str">
            <v>Face Recognition Access Controller for T</v>
          </cell>
          <cell r="C2314">
            <v>0</v>
          </cell>
          <cell r="E2314" t="str">
            <v>PCS</v>
          </cell>
          <cell r="G2314" t="str">
            <v>DHI-ASI3213A-W</v>
          </cell>
          <cell r="AA2314" t="str">
            <v>DAHUA TECH STOCK</v>
          </cell>
        </row>
        <row r="2315">
          <cell r="A2315" t="str">
            <v>DHI-ASI6214S-PW</v>
          </cell>
          <cell r="B2315" t="str">
            <v>Face Recognition Access Controller</v>
          </cell>
          <cell r="C2315">
            <v>0</v>
          </cell>
          <cell r="E2315" t="str">
            <v>PCS</v>
          </cell>
          <cell r="G2315" t="str">
            <v>DHI-ASI6214S-PW</v>
          </cell>
          <cell r="AA2315" t="str">
            <v>DAHUA TECH STOCK</v>
          </cell>
        </row>
        <row r="2316">
          <cell r="A2316" t="str">
            <v>DHI-ARD811</v>
          </cell>
          <cell r="B2316" t="str">
            <v>Emergency Button</v>
          </cell>
          <cell r="C2316">
            <v>0</v>
          </cell>
          <cell r="E2316" t="str">
            <v>PCS</v>
          </cell>
          <cell r="G2316" t="str">
            <v>DHI-ARD811</v>
          </cell>
          <cell r="AA2316" t="str">
            <v>DAHUA TECH STOCK</v>
          </cell>
        </row>
        <row r="2317">
          <cell r="A2317" t="str">
            <v>DHI-ASR2101H</v>
          </cell>
          <cell r="B2317" t="str">
            <v>Keypad and Mifare 13.56MHz RFID Reader</v>
          </cell>
          <cell r="C2317">
            <v>0</v>
          </cell>
          <cell r="E2317" t="str">
            <v>PCS</v>
          </cell>
          <cell r="G2317" t="str">
            <v>DHI-ASR2101H</v>
          </cell>
          <cell r="AA2317" t="str">
            <v>DAHUA TECH STOCK</v>
          </cell>
        </row>
        <row r="2318">
          <cell r="A2318" t="str">
            <v>DH-SD6AL245GB-HNV</v>
          </cell>
          <cell r="B2318" t="str">
            <v>2MP 45 Starlight Laser Network PTZ Camer</v>
          </cell>
          <cell r="C2318">
            <v>0</v>
          </cell>
          <cell r="E2318" t="str">
            <v>PCS</v>
          </cell>
          <cell r="G2318" t="str">
            <v>DH-SD6AL245GB-HNV</v>
          </cell>
          <cell r="AA2318" t="str">
            <v>DAHUA TECH STOCK</v>
          </cell>
        </row>
        <row r="2319">
          <cell r="A2319" t="str">
            <v>DHI-ARD323-W2(868S)</v>
          </cell>
          <cell r="B2319" t="str">
            <v>Wireless Door Detector</v>
          </cell>
          <cell r="C2319">
            <v>0</v>
          </cell>
          <cell r="E2319" t="str">
            <v>PCS</v>
          </cell>
          <cell r="G2319" t="str">
            <v>DHI-ARD323-W2(868S</v>
          </cell>
          <cell r="AA2319" t="str">
            <v>DAHUA TECH STOCK</v>
          </cell>
        </row>
        <row r="2320">
          <cell r="A2320" t="str">
            <v>DHI-ARC3000H- FW2(868)</v>
          </cell>
          <cell r="B2320" t="str">
            <v>Alarm hub 4G &amp; WiFi</v>
          </cell>
          <cell r="C2320">
            <v>0</v>
          </cell>
          <cell r="E2320" t="str">
            <v>PCS</v>
          </cell>
          <cell r="G2320" t="str">
            <v>DHI-ARC3000H-FW2</v>
          </cell>
          <cell r="AA2320" t="str">
            <v>DAHUA TECH STOCK</v>
          </cell>
        </row>
        <row r="2321">
          <cell r="A2321" t="str">
            <v>DHI-EVS5148S-S2</v>
          </cell>
          <cell r="B2321" t="str">
            <v>48-bay Embedded Video Storage</v>
          </cell>
          <cell r="C2321">
            <v>2</v>
          </cell>
          <cell r="E2321" t="str">
            <v>PCS</v>
          </cell>
          <cell r="G2321" t="str">
            <v>DHI-EVS5148S</v>
          </cell>
          <cell r="AA2321" t="str">
            <v>DAHUA TECH STOCK</v>
          </cell>
        </row>
        <row r="2322">
          <cell r="A2322" t="str">
            <v>DHI-ARK30T-W2(868)</v>
          </cell>
          <cell r="B2322" t="str">
            <v>Wireless Keypad</v>
          </cell>
          <cell r="C2322">
            <v>0</v>
          </cell>
          <cell r="E2322" t="str">
            <v>PCS</v>
          </cell>
          <cell r="G2322" t="str">
            <v>DHI-ARK30T-W2(868)</v>
          </cell>
          <cell r="AA2322" t="str">
            <v>DAHUA TECH STOCK</v>
          </cell>
        </row>
        <row r="2323">
          <cell r="A2323" t="str">
            <v>DH-PFA120</v>
          </cell>
          <cell r="B2323" t="str">
            <v>Junction Box</v>
          </cell>
          <cell r="C2323">
            <v>25</v>
          </cell>
          <cell r="E2323" t="str">
            <v>PCS</v>
          </cell>
          <cell r="F2323" t="str">
            <v>55A, 57C</v>
          </cell>
          <cell r="G2323" t="str">
            <v>DH-PFA120</v>
          </cell>
          <cell r="AA2323" t="str">
            <v>DAHUA TECH STOCK</v>
          </cell>
        </row>
        <row r="2324">
          <cell r="A2324" t="str">
            <v>DH-PFA121</v>
          </cell>
          <cell r="B2324" t="str">
            <v>Water-proof Junction Box</v>
          </cell>
          <cell r="C2324">
            <v>32</v>
          </cell>
          <cell r="E2324" t="str">
            <v>PCS</v>
          </cell>
          <cell r="F2324" t="str">
            <v>51A, 53A, 55C, 58A</v>
          </cell>
          <cell r="G2324" t="str">
            <v>DH-PFA121</v>
          </cell>
          <cell r="AA2324" t="str">
            <v>DAHUA TECH STOCK</v>
          </cell>
        </row>
        <row r="2325">
          <cell r="A2325" t="str">
            <v>DH-PFA130-E</v>
          </cell>
          <cell r="B2325" t="str">
            <v>Junction Box</v>
          </cell>
          <cell r="C2325">
            <v>0</v>
          </cell>
          <cell r="E2325" t="str">
            <v>PCS</v>
          </cell>
          <cell r="G2325" t="str">
            <v>DH-PFA130-E</v>
          </cell>
          <cell r="AA2325" t="str">
            <v>DAHUA TECH STOCK</v>
          </cell>
        </row>
        <row r="2326">
          <cell r="A2326" t="str">
            <v>DHI-ARA13-W2(868)</v>
          </cell>
          <cell r="B2326" t="str">
            <v>Outdoor Wireless siren</v>
          </cell>
          <cell r="C2326">
            <v>0</v>
          </cell>
          <cell r="E2326" t="str">
            <v>PCS</v>
          </cell>
          <cell r="G2326" t="str">
            <v>DHI-ARA13-W2(868B)</v>
          </cell>
          <cell r="AA2326" t="str">
            <v>DAHUA TECH STOCK</v>
          </cell>
        </row>
        <row r="2327">
          <cell r="A2327" t="str">
            <v>DHI-ARA12-W2(868)</v>
          </cell>
          <cell r="B2327" t="str">
            <v>Indoor Wireless siren</v>
          </cell>
          <cell r="C2327">
            <v>0</v>
          </cell>
          <cell r="E2327" t="str">
            <v>PCS</v>
          </cell>
          <cell r="G2327" t="str">
            <v>DHI-ARA12-W2(868)</v>
          </cell>
          <cell r="AA2327" t="str">
            <v>DAHUA TECH STOCK</v>
          </cell>
        </row>
        <row r="2328">
          <cell r="A2328" t="str">
            <v>DHI-ARA13</v>
          </cell>
          <cell r="B2328" t="str">
            <v>External Siren</v>
          </cell>
          <cell r="C2328">
            <v>0</v>
          </cell>
          <cell r="E2328" t="str">
            <v>PCS</v>
          </cell>
          <cell r="G2328" t="str">
            <v>DHI-ARA13</v>
          </cell>
          <cell r="AA2328" t="str">
            <v>DAHUA TECH STOCK</v>
          </cell>
        </row>
        <row r="2329">
          <cell r="A2329" t="str">
            <v>LS550-X2</v>
          </cell>
          <cell r="B2329" t="str">
            <v>Wooden case for 55" display unit (2 in 1</v>
          </cell>
          <cell r="C2329">
            <v>0</v>
          </cell>
          <cell r="E2329" t="str">
            <v>PCS</v>
          </cell>
          <cell r="G2329" t="str">
            <v>LS550-X2</v>
          </cell>
          <cell r="AA2329" t="str">
            <v>DAHUA TECH STOCK</v>
          </cell>
        </row>
        <row r="2330">
          <cell r="A2330" t="str">
            <v>DHI-ITC952-AU3F-IRL8ZF1640</v>
          </cell>
          <cell r="B2330" t="str">
            <v>9MP All-in-one IR Al Enforcement Camera</v>
          </cell>
          <cell r="C2330">
            <v>0</v>
          </cell>
          <cell r="E2330" t="str">
            <v>PCS</v>
          </cell>
          <cell r="G2330" t="str">
            <v>DHI-ITC952-AU3F-IR</v>
          </cell>
          <cell r="AA2330" t="str">
            <v>DAHUA TECH STOCK</v>
          </cell>
        </row>
        <row r="2331">
          <cell r="A2331" t="str">
            <v>LS550-WS</v>
          </cell>
          <cell r="B2331" t="str">
            <v>55" Bracket of Front-Maintenance</v>
          </cell>
          <cell r="C2331">
            <v>32</v>
          </cell>
          <cell r="E2331" t="str">
            <v>PCS</v>
          </cell>
          <cell r="F2331" t="str">
            <v>50A, 53A</v>
          </cell>
          <cell r="G2331" t="str">
            <v>LS550-WS</v>
          </cell>
          <cell r="AA2331" t="str">
            <v>DAHUA TECH STOCK</v>
          </cell>
        </row>
        <row r="2332">
          <cell r="A2332" t="str">
            <v>DH-PFA153-SG</v>
          </cell>
          <cell r="B2332" t="str">
            <v>Heavy-duty Pole Mount Bracket</v>
          </cell>
          <cell r="C2332">
            <v>5</v>
          </cell>
          <cell r="E2332" t="str">
            <v>PCS</v>
          </cell>
          <cell r="G2332" t="str">
            <v>DH-PFA153-SG</v>
          </cell>
          <cell r="AA2332" t="str">
            <v>DAHUA TECH STOCK</v>
          </cell>
        </row>
        <row r="2333">
          <cell r="A2333" t="str">
            <v>DH-PFB606W</v>
          </cell>
          <cell r="B2333" t="str">
            <v>Wall Mount Bracket</v>
          </cell>
          <cell r="C2333">
            <v>0</v>
          </cell>
          <cell r="E2333" t="str">
            <v>PCS</v>
          </cell>
          <cell r="G2333" t="str">
            <v>DH-PFB606W</v>
          </cell>
          <cell r="AA2333" t="str">
            <v>DAHUA TECH STOCK</v>
          </cell>
        </row>
        <row r="2334">
          <cell r="A2334" t="str">
            <v>PFB710W-SG</v>
          </cell>
          <cell r="B2334" t="str">
            <v>Wall Mount Bracket</v>
          </cell>
          <cell r="C2334">
            <v>5</v>
          </cell>
          <cell r="E2334" t="str">
            <v>PCS</v>
          </cell>
          <cell r="G2334" t="str">
            <v>PFB710W-SG</v>
          </cell>
          <cell r="AA2334" t="str">
            <v>DAHUA TECH STOCK</v>
          </cell>
        </row>
        <row r="2335">
          <cell r="A2335" t="str">
            <v>PFB206W</v>
          </cell>
          <cell r="B2335" t="str">
            <v>Wall Mount Bracket</v>
          </cell>
          <cell r="C2335">
            <v>0</v>
          </cell>
          <cell r="E2335" t="str">
            <v>PCS</v>
          </cell>
          <cell r="G2335" t="str">
            <v>PFB206W</v>
          </cell>
          <cell r="AA2335" t="str">
            <v>DAHUA TECH STOCK</v>
          </cell>
        </row>
        <row r="2336">
          <cell r="A2336" t="str">
            <v>DHI-ARA24-W2(868)</v>
          </cell>
          <cell r="B2336" t="str">
            <v>Wireless keyfob</v>
          </cell>
          <cell r="C2336">
            <v>0</v>
          </cell>
          <cell r="E2336" t="str">
            <v>PCS</v>
          </cell>
          <cell r="G2336" t="str">
            <v>DHI-ARA24-W2(868)</v>
          </cell>
          <cell r="AA2336" t="str">
            <v>DAHUA TECH STOCK</v>
          </cell>
        </row>
        <row r="2337">
          <cell r="A2337" t="str">
            <v>DHI-ITC413-PW4D-Z1</v>
          </cell>
          <cell r="B2337" t="str">
            <v>4MP Dahua Access ANPR Camera</v>
          </cell>
          <cell r="C2337">
            <v>5</v>
          </cell>
          <cell r="E2337" t="str">
            <v>PCS</v>
          </cell>
          <cell r="F2337" t="str">
            <v>57B</v>
          </cell>
          <cell r="G2337" t="str">
            <v>DHI-ITC413-PW4D-Z1</v>
          </cell>
          <cell r="AA2337" t="str">
            <v>DAHUA TECH STOCK</v>
          </cell>
        </row>
        <row r="2338">
          <cell r="A2338" t="str">
            <v>DHI-VTO7541G</v>
          </cell>
          <cell r="B2338" t="str">
            <v>Digital Face Recognition Outdoor Station</v>
          </cell>
          <cell r="C2338">
            <v>0</v>
          </cell>
          <cell r="E2338" t="str">
            <v>PCS</v>
          </cell>
          <cell r="G2338" t="str">
            <v>DHI-VTO7541G</v>
          </cell>
          <cell r="AA2338" t="str">
            <v>DAHUA TECH STOCK</v>
          </cell>
        </row>
        <row r="2339">
          <cell r="A2339" t="str">
            <v>D6728 L=3000MM</v>
          </cell>
          <cell r="B2339" t="str">
            <v>IR extended cable</v>
          </cell>
          <cell r="C2339">
            <v>0</v>
          </cell>
          <cell r="E2339" t="str">
            <v>PCS</v>
          </cell>
          <cell r="G2339" t="str">
            <v>D6728 L=3000MM</v>
          </cell>
          <cell r="AA2339" t="str">
            <v>DAHUA TECH STOCK</v>
          </cell>
        </row>
        <row r="2340">
          <cell r="A2340" t="str">
            <v>DHI-ARD312</v>
          </cell>
          <cell r="B2340" t="str">
            <v>Iron Door Contact</v>
          </cell>
          <cell r="C2340">
            <v>140</v>
          </cell>
          <cell r="E2340" t="str">
            <v>PCS</v>
          </cell>
          <cell r="F2340" t="str">
            <v>54B, 56B</v>
          </cell>
          <cell r="G2340" t="str">
            <v>DHI-ARD312</v>
          </cell>
          <cell r="AA2340" t="str">
            <v>DAHUA TECH STOCK</v>
          </cell>
        </row>
        <row r="2341">
          <cell r="A2341" t="str">
            <v>8018</v>
          </cell>
          <cell r="B2341" t="str">
            <v>Cardan bracket</v>
          </cell>
          <cell r="C2341">
            <v>0</v>
          </cell>
          <cell r="E2341" t="str">
            <v>PCS</v>
          </cell>
          <cell r="G2341">
            <v>8018</v>
          </cell>
          <cell r="AA2341" t="str">
            <v>DAHUA TECH STOCK</v>
          </cell>
        </row>
        <row r="2342">
          <cell r="A2342" t="str">
            <v>ASF280F</v>
          </cell>
          <cell r="B2342" t="str">
            <v>Magnetic Lock Bracket</v>
          </cell>
          <cell r="C2342">
            <v>0</v>
          </cell>
          <cell r="E2342" t="str">
            <v>PCS</v>
          </cell>
          <cell r="G2342" t="str">
            <v>ASF280F</v>
          </cell>
          <cell r="AA2342" t="str">
            <v>DAHUA TECH STOCK</v>
          </cell>
        </row>
        <row r="2343">
          <cell r="A2343" t="str">
            <v>DH-PFA150-T</v>
          </cell>
          <cell r="B2343" t="str">
            <v>Cardan bracket</v>
          </cell>
          <cell r="C2343">
            <v>0</v>
          </cell>
          <cell r="E2343" t="str">
            <v>PCS</v>
          </cell>
          <cell r="G2343" t="str">
            <v>DH-PFA150-T</v>
          </cell>
          <cell r="AA2343" t="str">
            <v>DAHUA TECH STOCK</v>
          </cell>
        </row>
        <row r="2344">
          <cell r="A2344" t="str">
            <v>DHI-VTS8A40B-CG</v>
          </cell>
          <cell r="B2344" t="str">
            <v>Master Station</v>
          </cell>
          <cell r="C2344">
            <v>1</v>
          </cell>
          <cell r="E2344" t="str">
            <v>PCS</v>
          </cell>
          <cell r="F2344" t="str">
            <v>55B</v>
          </cell>
          <cell r="G2344" t="str">
            <v>DHI-VTS8A40B-CG</v>
          </cell>
          <cell r="AA2344" t="str">
            <v>DAHUA TECH STOCK</v>
          </cell>
        </row>
        <row r="2345">
          <cell r="A2345" t="str">
            <v>DH-IPC-HFW3849T1-AS- PV</v>
          </cell>
          <cell r="B2345" t="str">
            <v>8MP Smart Dual Light Active Deterrence F</v>
          </cell>
          <cell r="C2345">
            <v>0</v>
          </cell>
          <cell r="E2345" t="str">
            <v>PCS</v>
          </cell>
          <cell r="G2345" t="str">
            <v>DH-IPC-HFW3849T1P</v>
          </cell>
          <cell r="AA2345" t="str">
            <v>DAHUA TECH STOCK</v>
          </cell>
        </row>
        <row r="2346">
          <cell r="A2346" t="str">
            <v>DH-IPC-HDW3849H-AS- PV</v>
          </cell>
          <cell r="B2346" t="str">
            <v>8 MP Smart Dual Light Active Deterrence</v>
          </cell>
          <cell r="C2346">
            <v>0</v>
          </cell>
          <cell r="E2346" t="str">
            <v>PCS</v>
          </cell>
          <cell r="G2346" t="str">
            <v>DH-IPC-HDW3849HP</v>
          </cell>
          <cell r="AA2346" t="str">
            <v>DAHUA TECH STOCK</v>
          </cell>
        </row>
        <row r="2347">
          <cell r="A2347" t="str">
            <v>DH-PSDW81642M-A360- D440-S3</v>
          </cell>
          <cell r="B2347" t="str">
            <v>8x 2MP Multi-Sensor Panoramic Network</v>
          </cell>
          <cell r="C2347">
            <v>5</v>
          </cell>
          <cell r="E2347" t="str">
            <v>PCS</v>
          </cell>
          <cell r="G2347" t="str">
            <v>DH-PSDW81642M-A360</v>
          </cell>
          <cell r="AA2347" t="str">
            <v>DAHUA TECH STOCK</v>
          </cell>
        </row>
        <row r="2348">
          <cell r="A2348" t="str">
            <v>DH-IPC-HDBW5241R- ASE</v>
          </cell>
          <cell r="B2348" t="str">
            <v>2MP IR Fixed-focal Dome WizMind Network</v>
          </cell>
          <cell r="C2348">
            <v>0</v>
          </cell>
          <cell r="E2348" t="str">
            <v>PCS</v>
          </cell>
          <cell r="G2348" t="str">
            <v>DH-IPC-HDBW5241R</v>
          </cell>
          <cell r="AA2348" t="str">
            <v>DAHUA TECH STOCK</v>
          </cell>
        </row>
        <row r="2349">
          <cell r="A2349" t="str">
            <v>DHI-ASM101A</v>
          </cell>
          <cell r="B2349" t="str">
            <v>Fingerprint &amp; Card Enrolment Reader</v>
          </cell>
          <cell r="C2349">
            <v>2</v>
          </cell>
          <cell r="E2349" t="str">
            <v>PCS</v>
          </cell>
          <cell r="F2349" t="str">
            <v>54B</v>
          </cell>
          <cell r="G2349" t="str">
            <v>DHI-ASM101A</v>
          </cell>
          <cell r="AA2349" t="str">
            <v>DAHUA TECH STOCK</v>
          </cell>
        </row>
        <row r="2350">
          <cell r="A2350" t="str">
            <v>DHI-ITALE-160BA-IR8-P</v>
          </cell>
          <cell r="B2350" t="str">
            <v>LED Strobe lamp</v>
          </cell>
          <cell r="C2350">
            <v>0</v>
          </cell>
          <cell r="E2350" t="str">
            <v>PCS</v>
          </cell>
          <cell r="G2350" t="str">
            <v>DHI-ITALE-160BA-IR</v>
          </cell>
          <cell r="AA2350" t="str">
            <v>DAHUA TECH STOCK</v>
          </cell>
        </row>
        <row r="2351">
          <cell r="A2351" t="str">
            <v>DHI-DSS7016D-S2</v>
          </cell>
          <cell r="B2351" t="str">
            <v>All-in-One Security Platform</v>
          </cell>
          <cell r="C2351">
            <v>0</v>
          </cell>
          <cell r="E2351" t="str">
            <v>PCS</v>
          </cell>
          <cell r="G2351" t="str">
            <v>DHI-DSS7016D-S2</v>
          </cell>
          <cell r="AA2351" t="str">
            <v>DAHUA TECH STOCK</v>
          </cell>
        </row>
        <row r="2352">
          <cell r="A2352" t="str">
            <v>DHI-NKB1000-E</v>
          </cell>
          <cell r="B2352" t="str">
            <v>Network Keyboard</v>
          </cell>
          <cell r="C2352">
            <v>2</v>
          </cell>
          <cell r="E2352" t="str">
            <v>PCS</v>
          </cell>
          <cell r="G2352" t="str">
            <v>DHI-NKB1000-E</v>
          </cell>
          <cell r="AA2352" t="str">
            <v>DAHUA TECH STOCK</v>
          </cell>
        </row>
        <row r="2353">
          <cell r="A2353" t="str">
            <v>VTM130</v>
          </cell>
          <cell r="B2353" t="str">
            <v>Surface Mounting Plate for VTO65/75 Seri</v>
          </cell>
          <cell r="C2353">
            <v>0</v>
          </cell>
          <cell r="E2353" t="str">
            <v>PCS</v>
          </cell>
          <cell r="G2353" t="str">
            <v>VTM130</v>
          </cell>
          <cell r="AA2353" t="str">
            <v>DAHUA TECH STOCK</v>
          </cell>
        </row>
        <row r="2354">
          <cell r="A2354" t="str">
            <v>VTM121</v>
          </cell>
          <cell r="B2354" t="str">
            <v>Flush Mount Plate of 8 Inch Face Recogni</v>
          </cell>
          <cell r="C2354">
            <v>0</v>
          </cell>
          <cell r="E2354" t="str">
            <v>PCS</v>
          </cell>
          <cell r="G2354" t="str">
            <v>VTM121</v>
          </cell>
          <cell r="AA2354" t="str">
            <v>DAHUA TECH STOCK</v>
          </cell>
        </row>
        <row r="2355">
          <cell r="A2355" t="str">
            <v>ST10000NM017B</v>
          </cell>
          <cell r="B2355" t="str">
            <v>10TB HDD</v>
          </cell>
          <cell r="C2355">
            <v>4</v>
          </cell>
          <cell r="E2355" t="str">
            <v>PCS</v>
          </cell>
          <cell r="F2355" t="str">
            <v>44A</v>
          </cell>
          <cell r="G2355" t="str">
            <v>ST10000NM017B</v>
          </cell>
          <cell r="AA2355" t="str">
            <v>DAHUA TECH STOCK</v>
          </cell>
        </row>
        <row r="2356">
          <cell r="A2356" t="str">
            <v>DH-PFA150</v>
          </cell>
          <cell r="B2356" t="str">
            <v>Pole Mount Bracket</v>
          </cell>
          <cell r="C2356">
            <v>102</v>
          </cell>
          <cell r="E2356" t="str">
            <v>PCS</v>
          </cell>
          <cell r="F2356" t="str">
            <v>54C, 56B, 57AC</v>
          </cell>
          <cell r="G2356" t="str">
            <v>DH-PFA150</v>
          </cell>
          <cell r="AA2356" t="str">
            <v>DAHUA TECH STOCK</v>
          </cell>
        </row>
        <row r="2357">
          <cell r="A2357" t="str">
            <v>ITC-BRACKET-1200</v>
          </cell>
          <cell r="B2357" t="str">
            <v>Pole Mount Bracket 1.2Meter Long</v>
          </cell>
          <cell r="C2357">
            <v>5</v>
          </cell>
          <cell r="E2357" t="str">
            <v>PCS</v>
          </cell>
          <cell r="F2357" t="str">
            <v>52B, Zone D</v>
          </cell>
          <cell r="G2357" t="str">
            <v>ITC-BRACKET-1200</v>
          </cell>
          <cell r="AA2357" t="str">
            <v>DAHUA TECH STOCK</v>
          </cell>
        </row>
        <row r="2358">
          <cell r="A2358" t="str">
            <v>DH-DHL-FJ</v>
          </cell>
          <cell r="B2358" t="str">
            <v>Project Accessory Kit</v>
          </cell>
          <cell r="C2358">
            <v>3</v>
          </cell>
          <cell r="E2358" t="str">
            <v>PCS</v>
          </cell>
          <cell r="F2358" t="str">
            <v>Zone G</v>
          </cell>
          <cell r="G2358" t="str">
            <v>DH-DHL-FJ</v>
          </cell>
          <cell r="AA2358" t="str">
            <v>DAHUA TECH STOCK</v>
          </cell>
        </row>
        <row r="2359">
          <cell r="A2359" t="str">
            <v>DH-W-HDMI15M</v>
          </cell>
          <cell r="B2359" t="str">
            <v>HDMI 15m Male-Male/1080P with Buckle</v>
          </cell>
          <cell r="C2359">
            <v>30</v>
          </cell>
          <cell r="E2359" t="str">
            <v>PCS</v>
          </cell>
          <cell r="F2359" t="str">
            <v>Zone G</v>
          </cell>
          <cell r="G2359" t="str">
            <v>DH-W-HDMI15M</v>
          </cell>
          <cell r="AA2359" t="str">
            <v>DAHUA TECH STOCK</v>
          </cell>
        </row>
        <row r="2360">
          <cell r="A2360" t="str">
            <v>DHI-LS550UCM-EF</v>
          </cell>
          <cell r="B2360" t="str">
            <v>55" FHD Video Wall Display Unit (Ultra N</v>
          </cell>
          <cell r="C2360">
            <v>0</v>
          </cell>
          <cell r="E2360" t="str">
            <v>PCS</v>
          </cell>
          <cell r="G2360" t="str">
            <v>DHI-LS550UCM-EF</v>
          </cell>
          <cell r="AA2360" t="str">
            <v>DAHUA TECH STOCK</v>
          </cell>
        </row>
        <row r="2361">
          <cell r="A2361" t="str">
            <v>DH-PFA162</v>
          </cell>
          <cell r="B2361" t="str">
            <v>Universal Joint</v>
          </cell>
          <cell r="C2361">
            <v>0</v>
          </cell>
          <cell r="E2361" t="str">
            <v>PCS</v>
          </cell>
          <cell r="G2361" t="str">
            <v>DH-PFA162</v>
          </cell>
          <cell r="AA2361" t="str">
            <v>DAHUA TECH STOCK</v>
          </cell>
        </row>
        <row r="2362">
          <cell r="A2362" t="str">
            <v>DHI-ARC2016C-V3</v>
          </cell>
          <cell r="B2362" t="str">
            <v>RS485 Alarm Controller 16 inputs / 4 out</v>
          </cell>
          <cell r="C2362">
            <v>0</v>
          </cell>
          <cell r="E2362" t="str">
            <v>PCS</v>
          </cell>
          <cell r="G2362" t="str">
            <v>DHI-ARC2016C-V3</v>
          </cell>
          <cell r="AA2362" t="str">
            <v>DAHUA TECH STOCK</v>
          </cell>
        </row>
        <row r="2363">
          <cell r="A2363" t="str">
            <v>DHI-ASF280B</v>
          </cell>
          <cell r="B2363" t="str">
            <v>Double Door Magnetic Lock</v>
          </cell>
          <cell r="C2363">
            <v>0</v>
          </cell>
          <cell r="E2363" t="str">
            <v>PCS</v>
          </cell>
          <cell r="G2363" t="str">
            <v>DHI-ASF280B</v>
          </cell>
          <cell r="AA2363" t="str">
            <v>DAHUA TECH STOCK</v>
          </cell>
        </row>
        <row r="2364">
          <cell r="A2364" t="str">
            <v>DHI-ASC2202C-S</v>
          </cell>
          <cell r="B2364" t="str">
            <v>2 Door 1 Way Access Controller</v>
          </cell>
          <cell r="C2364">
            <v>99</v>
          </cell>
          <cell r="E2364" t="str">
            <v>PCS</v>
          </cell>
          <cell r="F2364" t="str">
            <v>52C, 55B</v>
          </cell>
          <cell r="G2364" t="str">
            <v>DHI-ASC2202C-S</v>
          </cell>
          <cell r="AA2364" t="str">
            <v>DAHUA TECH STOCK</v>
          </cell>
        </row>
        <row r="2365">
          <cell r="A2365" t="str">
            <v>DHI-ASC2204C-S</v>
          </cell>
          <cell r="B2365" t="str">
            <v>4 Door 1 Way Access Controller</v>
          </cell>
          <cell r="C2365">
            <v>1</v>
          </cell>
          <cell r="E2365" t="str">
            <v>PCS</v>
          </cell>
          <cell r="G2365" t="str">
            <v>DHI-ASC2204C-S</v>
          </cell>
          <cell r="AA2365" t="str">
            <v>DAHUA TECH STOCK</v>
          </cell>
        </row>
        <row r="2366">
          <cell r="A2366" t="str">
            <v>DH-IS4210-8GT-120</v>
          </cell>
          <cell r="B2366" t="str">
            <v>Managed Industrial Gigabit Switch with 8</v>
          </cell>
          <cell r="C2366">
            <v>33</v>
          </cell>
          <cell r="E2366" t="str">
            <v>PCS</v>
          </cell>
          <cell r="F2366" t="str">
            <v>51A</v>
          </cell>
          <cell r="G2366" t="str">
            <v>DH-IS4210-8GT-120</v>
          </cell>
          <cell r="AA2366" t="str">
            <v>DAHUA TECH STOCK</v>
          </cell>
        </row>
        <row r="2367">
          <cell r="A2367" t="str">
            <v>DH-SD8A3440GA-HNV</v>
          </cell>
          <cell r="B2367" t="str">
            <v>4MP 40× Starlight IR NETWORK PTZ CAMERA</v>
          </cell>
          <cell r="C2367">
            <v>0</v>
          </cell>
          <cell r="E2367" t="str">
            <v>PCS</v>
          </cell>
          <cell r="G2367" t="str">
            <v>DH-SD8A3440GA-HNV</v>
          </cell>
          <cell r="AA2367" t="str">
            <v>DAHUA TECH STOCK</v>
          </cell>
        </row>
        <row r="2368">
          <cell r="A2368" t="str">
            <v>DH-IPC-HFW5442E-ZE</v>
          </cell>
          <cell r="B2368" t="str">
            <v>4MP IR Vari-focal Bullet WizMind Network</v>
          </cell>
          <cell r="C2368">
            <v>32</v>
          </cell>
          <cell r="E2368" t="str">
            <v>PCS</v>
          </cell>
          <cell r="F2368" t="str">
            <v>53A, 55BC</v>
          </cell>
          <cell r="G2368" t="str">
            <v>DH-IPC-HFW5442E-ZE</v>
          </cell>
          <cell r="AA2368" t="str">
            <v>DAHUA TECH STOCK</v>
          </cell>
        </row>
        <row r="2369">
          <cell r="A2369" t="str">
            <v>DHI-LM24-V200</v>
          </cell>
          <cell r="B2369" t="str">
            <v>23.8'' FHD Monitor</v>
          </cell>
          <cell r="C2369">
            <v>0</v>
          </cell>
          <cell r="E2369" t="str">
            <v>PCS</v>
          </cell>
          <cell r="G2369" t="str">
            <v>DHI-LM24-V200</v>
          </cell>
          <cell r="AA2369" t="str">
            <v>DAHUA TECH STOCK</v>
          </cell>
        </row>
        <row r="2370">
          <cell r="A2370" t="str">
            <v>ZZM10/PDU(8 British 250)</v>
          </cell>
          <cell r="B2370" t="str">
            <v>8 Outlet Rackmount Power Strip</v>
          </cell>
          <cell r="C2370">
            <v>53</v>
          </cell>
          <cell r="E2370" t="str">
            <v>PCS</v>
          </cell>
          <cell r="F2370" t="str">
            <v>57A</v>
          </cell>
          <cell r="G2370" t="str">
            <v>ZZM10/PDU(8 BRI</v>
          </cell>
          <cell r="AA2370" t="str">
            <v>DAHUA TECH STOCK</v>
          </cell>
        </row>
        <row r="2371">
          <cell r="A2371" t="str">
            <v>DHI-LS550UEM-EG</v>
          </cell>
          <cell r="B2371" t="str">
            <v>55" FHD Video Wall Display Unit (Ultra</v>
          </cell>
          <cell r="C2371">
            <v>0</v>
          </cell>
          <cell r="E2371" t="str">
            <v>PCS</v>
          </cell>
          <cell r="G2371" t="str">
            <v>DHI-LS550UEM-EG</v>
          </cell>
          <cell r="AA2371" t="str">
            <v>DAHUA TECH STOCK</v>
          </cell>
        </row>
        <row r="2372">
          <cell r="A2372" t="str">
            <v>DH-IPC-HFW2541TP-AS</v>
          </cell>
          <cell r="B2372" t="str">
            <v>5MP IR Fixed-focal Bullet WizSense Network Camera</v>
          </cell>
          <cell r="C2372">
            <v>0</v>
          </cell>
          <cell r="E2372" t="str">
            <v>PCS</v>
          </cell>
          <cell r="G2372" t="str">
            <v>DH-IPC-HFW2541TP-AS</v>
          </cell>
          <cell r="AA2372" t="str">
            <v>DAHUA TECH STOCK</v>
          </cell>
        </row>
        <row r="2373">
          <cell r="A2373" t="str">
            <v>ST18000NM000J</v>
          </cell>
          <cell r="B2373" t="str">
            <v>HDD-ST18000NM000J-18TB-256MB-7200RPM-3.5</v>
          </cell>
          <cell r="C2373">
            <v>0</v>
          </cell>
          <cell r="E2373" t="str">
            <v>PCS</v>
          </cell>
          <cell r="G2373" t="str">
            <v>ST18000NM000J</v>
          </cell>
          <cell r="AA2373" t="str">
            <v>DAHUA TECH STOCK</v>
          </cell>
        </row>
        <row r="2374">
          <cell r="A2374" t="str">
            <v>DH-PFC610-8D</v>
          </cell>
          <cell r="B2374" t="str">
            <v>Cabinet Tray</v>
          </cell>
          <cell r="C2374">
            <v>0</v>
          </cell>
          <cell r="E2374" t="str">
            <v>PCS</v>
          </cell>
          <cell r="G2374" t="str">
            <v>DH-PFC610-8D</v>
          </cell>
          <cell r="AA2374" t="str">
            <v>DAHUA TECH STOCK</v>
          </cell>
        </row>
        <row r="2375">
          <cell r="A2375" t="str">
            <v>DH-W-HDMI10M-4K</v>
          </cell>
          <cell r="B2375" t="str">
            <v>HDMI 10m male-male/4K with buckle</v>
          </cell>
          <cell r="C2375">
            <v>8</v>
          </cell>
          <cell r="E2375" t="str">
            <v>PCS</v>
          </cell>
          <cell r="G2375" t="str">
            <v>DH-W-HDMI10M-4K</v>
          </cell>
          <cell r="AA2375" t="str">
            <v>DAHUA TECH STOCK</v>
          </cell>
        </row>
        <row r="2376">
          <cell r="A2376" t="str">
            <v>DHI-LS-HW</v>
          </cell>
          <cell r="B2376" t="str">
            <v>IR to RS232 Controller</v>
          </cell>
          <cell r="C2376">
            <v>3</v>
          </cell>
          <cell r="E2376" t="str">
            <v>PCS</v>
          </cell>
          <cell r="F2376" t="str">
            <v>Zone G</v>
          </cell>
          <cell r="G2376" t="str">
            <v>DHI-LS-HW</v>
          </cell>
          <cell r="AA2376" t="str">
            <v>DAHUA TECH STOCK</v>
          </cell>
        </row>
        <row r="2377">
          <cell r="A2377" t="str">
            <v>DH-IPC-HFW7442H-Z-X</v>
          </cell>
          <cell r="B2377" t="str">
            <v>4MP IR Dome WizMind Network Camera</v>
          </cell>
          <cell r="C2377">
            <v>0</v>
          </cell>
          <cell r="E2377" t="str">
            <v>PCS</v>
          </cell>
          <cell r="G2377" t="str">
            <v>DH-IPC-HFW7442H-Z</v>
          </cell>
          <cell r="AA2377" t="str">
            <v>DAHUA TECH STOCK</v>
          </cell>
        </row>
        <row r="2378">
          <cell r="A2378" t="str">
            <v>DH-IPC-HFW5442H-ZHE</v>
          </cell>
          <cell r="B2378" t="str">
            <v>4MP IR Vari-focal Bullet WizMind Network</v>
          </cell>
          <cell r="C2378">
            <v>0</v>
          </cell>
          <cell r="E2378" t="str">
            <v>PCS</v>
          </cell>
          <cell r="G2378" t="str">
            <v>DH-IPC-HFW5442H-Z</v>
          </cell>
          <cell r="AA2378" t="str">
            <v>DAHUA TECH STOCK</v>
          </cell>
        </row>
        <row r="2379">
          <cell r="A2379" t="str">
            <v>DH-PFA156</v>
          </cell>
          <cell r="B2379" t="str">
            <v>Pole Mount</v>
          </cell>
          <cell r="C2379">
            <v>63</v>
          </cell>
          <cell r="E2379" t="str">
            <v>PCS</v>
          </cell>
          <cell r="F2379" t="str">
            <v>52A, 57C, 55A</v>
          </cell>
          <cell r="G2379" t="str">
            <v>DH-PFA156</v>
          </cell>
          <cell r="AA2379" t="str">
            <v>DAHUA TECH STOCK</v>
          </cell>
        </row>
        <row r="2380">
          <cell r="A2380" t="str">
            <v>CFT04-68</v>
          </cell>
          <cell r="B2380" t="str">
            <v>Four-unit cabinet fan for 42U cabinet</v>
          </cell>
          <cell r="C2380">
            <v>2</v>
          </cell>
          <cell r="E2380" t="str">
            <v>PCS</v>
          </cell>
          <cell r="F2380" t="str">
            <v>55B</v>
          </cell>
          <cell r="G2380" t="str">
            <v>CFT04-68</v>
          </cell>
          <cell r="AA2380" t="str">
            <v>DAHUA TECH STOCK</v>
          </cell>
        </row>
        <row r="2381">
          <cell r="A2381" t="str">
            <v>CFT02</v>
          </cell>
          <cell r="B2381" t="str">
            <v>Two-unit cabinet fan for 6/9/12U cabinet</v>
          </cell>
          <cell r="C2381">
            <v>0</v>
          </cell>
          <cell r="E2381" t="str">
            <v>PCS</v>
          </cell>
          <cell r="G2381" t="str">
            <v>CFT02</v>
          </cell>
          <cell r="AA2381" t="str">
            <v>DAHUA TECH STOCK</v>
          </cell>
        </row>
        <row r="2382">
          <cell r="A2382" t="str">
            <v>TSFP-1310-20-SMF</v>
          </cell>
          <cell r="B2382" t="str">
            <v>10Gbps Single mode double fiber; LC port</v>
          </cell>
          <cell r="C2382">
            <v>294</v>
          </cell>
          <cell r="E2382" t="str">
            <v>PCS</v>
          </cell>
          <cell r="F2382" t="str">
            <v>51A</v>
          </cell>
          <cell r="G2382" t="str">
            <v>TSFP-1310-20-SMF</v>
          </cell>
          <cell r="AA2382" t="str">
            <v>DAHUA TECH STOCK</v>
          </cell>
        </row>
        <row r="2383">
          <cell r="A2383" t="str">
            <v>DH-AS5500-24GT4XF-370</v>
          </cell>
          <cell r="B2383" t="str">
            <v>L3 Managed Gigabit Switch with 24-Port P</v>
          </cell>
          <cell r="C2383">
            <v>16</v>
          </cell>
          <cell r="E2383" t="str">
            <v>PCS</v>
          </cell>
          <cell r="F2383" t="str">
            <v>51A</v>
          </cell>
          <cell r="G2383" t="str">
            <v>DH-AS5500-24GT4XF</v>
          </cell>
          <cell r="AA2383" t="str">
            <v>DAHUA TECH STOCK</v>
          </cell>
        </row>
        <row r="2384">
          <cell r="A2384" t="str">
            <v>DH-AS5500-48GF4XF</v>
          </cell>
          <cell r="B2384" t="str">
            <v>L3 Managed Gigabit Switch with 48-Port G</v>
          </cell>
          <cell r="C2384">
            <v>0</v>
          </cell>
          <cell r="E2384" t="str">
            <v>PCS</v>
          </cell>
          <cell r="G2384" t="str">
            <v>DH-AS5500-48GF4XF</v>
          </cell>
          <cell r="AA2384" t="str">
            <v>DAHUA TECH STOCK</v>
          </cell>
        </row>
        <row r="2385">
          <cell r="A2385" t="str">
            <v>DH-PFC200D-9U4D</v>
          </cell>
          <cell r="B2385" t="str">
            <v>19" 9U Rack Cabinet</v>
          </cell>
          <cell r="C2385">
            <v>0</v>
          </cell>
          <cell r="E2385" t="str">
            <v>PCS</v>
          </cell>
          <cell r="G2385" t="str">
            <v>DH-PFC200D-9U4D</v>
          </cell>
          <cell r="AA2385" t="str">
            <v>DAHUA TECH STOCK</v>
          </cell>
        </row>
        <row r="2386">
          <cell r="A2386" t="str">
            <v>DH-PFC200D-42U8D</v>
          </cell>
          <cell r="B2386" t="str">
            <v>9" 42U Rack Cabinet</v>
          </cell>
          <cell r="C2386">
            <v>2</v>
          </cell>
          <cell r="E2386" t="str">
            <v>PCS</v>
          </cell>
          <cell r="G2386" t="str">
            <v>DH-PFC200D-42U8D</v>
          </cell>
          <cell r="AA2386" t="str">
            <v>DAHUA TECH STOCK</v>
          </cell>
        </row>
        <row r="2387">
          <cell r="A2387" t="str">
            <v>DELLSERR450-WINSER</v>
          </cell>
          <cell r="B2387" t="str">
            <v>Server-R450-4310*1-16G*1-2T*1-6 Gigabit</v>
          </cell>
          <cell r="C2387">
            <v>5</v>
          </cell>
          <cell r="E2387" t="str">
            <v>PCS</v>
          </cell>
          <cell r="F2387" t="str">
            <v>39A</v>
          </cell>
          <cell r="G2387" t="str">
            <v>DELLSERR450-WINSER</v>
          </cell>
          <cell r="AA2387" t="str">
            <v>DAHUA TECH STOCK</v>
          </cell>
        </row>
        <row r="2388">
          <cell r="A2388" t="str">
            <v>GSFP-1310-20-SMF</v>
          </cell>
          <cell r="B2388" t="str">
            <v>1Gbps Single mode double fiber; LC port;</v>
          </cell>
          <cell r="C2388">
            <v>336</v>
          </cell>
          <cell r="E2388" t="str">
            <v>PCS</v>
          </cell>
          <cell r="F2388" t="str">
            <v>51A, 53A, 54C, 55BC</v>
          </cell>
          <cell r="G2388" t="str">
            <v>GSFP-1310-20-SMF</v>
          </cell>
          <cell r="AA2388" t="str">
            <v>DAHUA TECH STOCK</v>
          </cell>
        </row>
        <row r="2389">
          <cell r="A2389" t="str">
            <v>DRL-48V120W1AA</v>
          </cell>
          <cell r="B2389" t="str">
            <v>Rail power supply-48V2.5A</v>
          </cell>
          <cell r="C2389">
            <v>29</v>
          </cell>
          <cell r="E2389" t="str">
            <v>PCS</v>
          </cell>
          <cell r="F2389" t="str">
            <v>51A, 59B</v>
          </cell>
          <cell r="G2389" t="str">
            <v>DRL-48V120W1AA</v>
          </cell>
          <cell r="AA2389" t="str">
            <v>DAHUA TECH STOCK</v>
          </cell>
        </row>
        <row r="2390">
          <cell r="A2390" t="str">
            <v>DHI-SP-PI7B82IS</v>
          </cell>
          <cell r="B2390" t="str">
            <v>Detachable PC Module Gen11 I7  8G+ 256G</v>
          </cell>
          <cell r="C2390">
            <v>0</v>
          </cell>
          <cell r="E2390" t="str">
            <v>PCS</v>
          </cell>
          <cell r="G2390" t="str">
            <v>DHI-SP-PI7B82IS</v>
          </cell>
          <cell r="AA2390" t="str">
            <v>DAHUA TECH STOCK</v>
          </cell>
        </row>
        <row r="2391">
          <cell r="A2391" t="str">
            <v>DHI-NVD0905DH-4I-4K</v>
          </cell>
          <cell r="B2391" t="str">
            <v>9 Channel Ultra HD Network Video Decode</v>
          </cell>
          <cell r="C2391">
            <v>0</v>
          </cell>
          <cell r="E2391" t="str">
            <v>PCS</v>
          </cell>
          <cell r="G2391" t="str">
            <v>DHI-NVD0905DH-4I4K</v>
          </cell>
          <cell r="AA2391" t="str">
            <v>DAHUA TECH STOCK</v>
          </cell>
        </row>
        <row r="2392">
          <cell r="A2392" t="str">
            <v>DHI-LPH98-MC470-P</v>
          </cell>
          <cell r="B2392" t="str">
            <v>98 inch Smart interactive whiteboard</v>
          </cell>
          <cell r="C2392">
            <v>0</v>
          </cell>
          <cell r="E2392" t="str">
            <v>PCS</v>
          </cell>
          <cell r="G2392" t="str">
            <v>DHI-LPH98-MC470-P</v>
          </cell>
          <cell r="AA2392" t="str">
            <v>DAHUA TECH STOCK</v>
          </cell>
        </row>
        <row r="2393">
          <cell r="A2393" t="str">
            <v>DHI-EVS7285S</v>
          </cell>
          <cell r="B2393" t="str">
            <v>85-bay Embedded Video Storage For 50% Ex</v>
          </cell>
          <cell r="C2393">
            <v>0</v>
          </cell>
          <cell r="E2393" t="str">
            <v>PCS</v>
          </cell>
          <cell r="G2393" t="str">
            <v>DHI-EVS7285S</v>
          </cell>
          <cell r="AA2393" t="str">
            <v>DAHUA TECH STOCK</v>
          </cell>
        </row>
        <row r="2394">
          <cell r="A2394" t="str">
            <v>DHI-ASI8214S-W</v>
          </cell>
          <cell r="B2394" t="str">
            <v>Face Recognition Access Controller</v>
          </cell>
          <cell r="C2394">
            <v>0</v>
          </cell>
          <cell r="E2394" t="str">
            <v>PCS</v>
          </cell>
          <cell r="G2394" t="str">
            <v>DHI-ASI8214S-W</v>
          </cell>
          <cell r="AA2394" t="str">
            <v>DAHUA TECH STOCK</v>
          </cell>
        </row>
        <row r="2395">
          <cell r="A2395" t="str">
            <v>DH-VCS-MCA400</v>
          </cell>
          <cell r="B2395" t="str">
            <v>Bluetooth Speakerphone</v>
          </cell>
          <cell r="C2395">
            <v>0</v>
          </cell>
          <cell r="E2395" t="str">
            <v>PCS</v>
          </cell>
          <cell r="G2395" t="str">
            <v>DH-VCS-MCA400</v>
          </cell>
          <cell r="AA2395" t="str">
            <v>DAHUA TECH STOCK</v>
          </cell>
        </row>
        <row r="2396">
          <cell r="A2396" t="str">
            <v>DH-PFM350-900-A</v>
          </cell>
          <cell r="B2396" t="str">
            <v>1500VA/900W Uninterruptible Power Supply</v>
          </cell>
          <cell r="C2396">
            <v>0</v>
          </cell>
          <cell r="E2396" t="str">
            <v>PCS</v>
          </cell>
          <cell r="G2396" t="str">
            <v>DH-PFM350-900-A</v>
          </cell>
          <cell r="AA2396" t="str">
            <v>DAHUA TECH STOCK</v>
          </cell>
        </row>
        <row r="2397">
          <cell r="A2397" t="str">
            <v>DH-PFA121A</v>
          </cell>
          <cell r="B2397" t="str">
            <v>Junction Box</v>
          </cell>
          <cell r="C2397">
            <v>0</v>
          </cell>
          <cell r="E2397" t="str">
            <v>PCS</v>
          </cell>
          <cell r="G2397" t="str">
            <v>DH-PFA121A</v>
          </cell>
          <cell r="AA2397" t="str">
            <v>DAHUA TECH STOCK</v>
          </cell>
        </row>
        <row r="2398">
          <cell r="A2398" t="str">
            <v>DH-IPC-HDBW7442H-Z-S2</v>
          </cell>
          <cell r="B2398" t="str">
            <v>4MP IR Dome WizMind Network Camera</v>
          </cell>
          <cell r="C2398">
            <v>0</v>
          </cell>
          <cell r="E2398" t="str">
            <v>PCS</v>
          </cell>
          <cell r="G2398" t="str">
            <v>DH-IPC-HDBW7442H-Z</v>
          </cell>
          <cell r="AA2398" t="str">
            <v>DAHUA TECH STOCK</v>
          </cell>
        </row>
        <row r="2399">
          <cell r="A2399" t="str">
            <v>DH-IPC-HDBW5442E-ZE</v>
          </cell>
          <cell r="B2399" t="str">
            <v>4MP IR Vari-focal Vandal-proof Dome WizM</v>
          </cell>
          <cell r="C2399">
            <v>380</v>
          </cell>
          <cell r="E2399" t="str">
            <v>PCS</v>
          </cell>
          <cell r="F2399" t="str">
            <v>55C</v>
          </cell>
          <cell r="G2399" t="str">
            <v>DH-IPC-HDBW5442E-Z</v>
          </cell>
          <cell r="AA2399" t="str">
            <v>DAHUA TECH STOCK</v>
          </cell>
        </row>
        <row r="2400">
          <cell r="A2400" t="str">
            <v>DH-IPC-HFW5241E-ZE</v>
          </cell>
          <cell r="B2400" t="str">
            <v>2MP IR Vari-focal Bullet WizMind Network</v>
          </cell>
          <cell r="C2400">
            <v>0</v>
          </cell>
          <cell r="E2400" t="str">
            <v>PCS</v>
          </cell>
          <cell r="G2400" t="str">
            <v>DH-IPC-HFW5241E-ZE</v>
          </cell>
          <cell r="AA2400" t="str">
            <v>DAHUA TECH STOCK</v>
          </cell>
        </row>
        <row r="2401">
          <cell r="A2401" t="str">
            <v>DH-IPC-HFW5442E-Z4E</v>
          </cell>
          <cell r="B2401" t="str">
            <v>4MP IR Vari-focal Bullet WizMind Network</v>
          </cell>
          <cell r="C2401">
            <v>0</v>
          </cell>
          <cell r="E2401" t="str">
            <v>PCS</v>
          </cell>
          <cell r="G2401" t="str">
            <v>DH-IPC-HFW5442E-Z4</v>
          </cell>
          <cell r="AA2401" t="str">
            <v>DAHUA TECH STOCK</v>
          </cell>
        </row>
        <row r="2402">
          <cell r="A2402" t="str">
            <v>DHI-TPC-BF2241-T</v>
          </cell>
          <cell r="B2402" t="str">
            <v>Thermal Network Hybrid Bullet Camera</v>
          </cell>
          <cell r="C2402">
            <v>0</v>
          </cell>
          <cell r="E2402" t="str">
            <v>PCS</v>
          </cell>
          <cell r="G2402" t="str">
            <v>DHI-TPC-BF2241-T</v>
          </cell>
          <cell r="AA2402" t="str">
            <v>DAHUA TECH STOCK</v>
          </cell>
        </row>
        <row r="2403">
          <cell r="A2403" t="str">
            <v>DHI-ASC2208C-S</v>
          </cell>
          <cell r="B2403" t="str">
            <v>Access Controller</v>
          </cell>
          <cell r="C2403">
            <v>0</v>
          </cell>
          <cell r="E2403" t="str">
            <v>PCS</v>
          </cell>
          <cell r="G2403" t="str">
            <v>DHI-ASC2208C-S</v>
          </cell>
          <cell r="AA2403" t="str">
            <v>DAHUA TECH STOCK</v>
          </cell>
        </row>
        <row r="2404">
          <cell r="A2404" t="str">
            <v>DHI-ITRSD-024A</v>
          </cell>
          <cell r="B2404" t="str">
            <v>Signal detector</v>
          </cell>
          <cell r="C2404">
            <v>0</v>
          </cell>
          <cell r="E2404" t="str">
            <v>PCS</v>
          </cell>
          <cell r="G2404" t="str">
            <v>DHI-ITRSD-024A</v>
          </cell>
          <cell r="AA2404" t="str">
            <v>DAHUA TECH STOCK</v>
          </cell>
        </row>
        <row r="2405">
          <cell r="A2405" t="str">
            <v>VDF5042CSE-02</v>
          </cell>
          <cell r="B2405" t="str">
            <v>Classic UVSS Kits</v>
          </cell>
          <cell r="C2405">
            <v>0</v>
          </cell>
          <cell r="E2405" t="str">
            <v>(3 Set, Each pallet contain 1 Set)</v>
          </cell>
          <cell r="G2405" t="str">
            <v>VDF5042CSE-02</v>
          </cell>
          <cell r="AA2405" t="str">
            <v>DAHUA TECH STOCK</v>
          </cell>
        </row>
        <row r="2406">
          <cell r="A2406" t="str">
            <v>DH-IPC-HDBW7842H-ZS2</v>
          </cell>
          <cell r="B2406" t="str">
            <v>8MP IR Dome WizMind Network Camera</v>
          </cell>
          <cell r="C2406">
            <v>0</v>
          </cell>
          <cell r="E2406" t="str">
            <v>PCS</v>
          </cell>
          <cell r="G2406" t="str">
            <v>DH-IPC-HDBW7842H-Z</v>
          </cell>
          <cell r="AA2406" t="str">
            <v>DAHUA TECH STOCK</v>
          </cell>
        </row>
        <row r="2407">
          <cell r="A2407" t="str">
            <v>DH-IPC-HFW7842H-Z-S2</v>
          </cell>
          <cell r="B2407" t="str">
            <v>8MP IR Bullet WizMind Network Camera</v>
          </cell>
          <cell r="C2407">
            <v>0</v>
          </cell>
          <cell r="E2407" t="str">
            <v>PCS</v>
          </cell>
          <cell r="G2407" t="str">
            <v>DH-IPC-HFW7842H-Z</v>
          </cell>
          <cell r="AA2407" t="str">
            <v>DAHUA TECH STOCK</v>
          </cell>
        </row>
        <row r="2408">
          <cell r="A2408" t="str">
            <v>DHI-NVR608RH-64-XI</v>
          </cell>
          <cell r="B2408" t="str">
            <v>Dahua 64CH 8HDD 2U NETWORK VIDEO RECORDE</v>
          </cell>
          <cell r="C2408">
            <v>0</v>
          </cell>
          <cell r="E2408" t="str">
            <v>PCS</v>
          </cell>
          <cell r="G2408" t="str">
            <v>DHI-NVR608RH-64-XI</v>
          </cell>
          <cell r="AA2408" t="str">
            <v>DAHUA TECH STOCK</v>
          </cell>
        </row>
        <row r="2409">
          <cell r="A2409" t="str">
            <v>ST16000NM000J</v>
          </cell>
          <cell r="B2409" t="str">
            <v>Seagate Exos X18 16TB Enterprise HOD</v>
          </cell>
          <cell r="C2409">
            <v>288</v>
          </cell>
          <cell r="E2409" t="str">
            <v>PCS</v>
          </cell>
          <cell r="F2409" t="str">
            <v>44A</v>
          </cell>
          <cell r="G2409" t="str">
            <v>ST16000NM000J</v>
          </cell>
          <cell r="AA2409" t="str">
            <v>DAHUA TECH STOCK</v>
          </cell>
        </row>
        <row r="2410">
          <cell r="A2410" t="str">
            <v>DELL-R450-H</v>
          </cell>
          <cell r="B2410" t="str">
            <v>DELL-R450-H</v>
          </cell>
          <cell r="C2410">
            <v>0</v>
          </cell>
          <cell r="E2410" t="str">
            <v>PCS</v>
          </cell>
          <cell r="G2410" t="str">
            <v>DELL-R450-H</v>
          </cell>
          <cell r="AA2410" t="str">
            <v>DAHUA TECH STOCK</v>
          </cell>
        </row>
        <row r="2411">
          <cell r="A2411" t="str">
            <v>DHI-DISPLAY10</v>
          </cell>
          <cell r="B2411" t="str">
            <v>10.1-inch Conference Room Panel</v>
          </cell>
          <cell r="C2411">
            <v>0</v>
          </cell>
          <cell r="E2411" t="str">
            <v>PCS</v>
          </cell>
          <cell r="G2411" t="str">
            <v>HTI-DISPLAY10</v>
          </cell>
          <cell r="AA2411" t="str">
            <v>DAHUA TECH STOCK</v>
          </cell>
        </row>
        <row r="2412">
          <cell r="A2412" t="str">
            <v>DHI-PKP-WP1B</v>
          </cell>
          <cell r="B2412" t="str">
            <v>Wireless Screen Sharing Dongle</v>
          </cell>
          <cell r="C2412">
            <v>0</v>
          </cell>
          <cell r="E2412" t="str">
            <v>PCS</v>
          </cell>
          <cell r="G2412" t="str">
            <v>DHI-PKP-WP1B</v>
          </cell>
          <cell r="AA2412" t="str">
            <v>DAHUA TECH STOCK</v>
          </cell>
        </row>
        <row r="2413">
          <cell r="A2413" t="str">
            <v>DHI-Meeting-OA</v>
          </cell>
          <cell r="B2413" t="str">
            <v>Intelligent Conference Reservation Serve</v>
          </cell>
          <cell r="C2413">
            <v>0</v>
          </cell>
          <cell r="E2413" t="str">
            <v>PCS</v>
          </cell>
          <cell r="G2413" t="str">
            <v>HTI-MEETING-OA</v>
          </cell>
          <cell r="AA2413" t="str">
            <v>DAHUA TECH STOCK</v>
          </cell>
        </row>
        <row r="2414">
          <cell r="A2414" t="str">
            <v>DHI-LDH43-SAI400K</v>
          </cell>
          <cell r="B2414" t="str">
            <v>43" Wall-mounted Digital Signage</v>
          </cell>
          <cell r="C2414">
            <v>12</v>
          </cell>
          <cell r="E2414" t="str">
            <v>PCS</v>
          </cell>
          <cell r="F2414" t="str">
            <v>111B</v>
          </cell>
          <cell r="G2414" t="str">
            <v>DHI-LDH43-SAI400K</v>
          </cell>
          <cell r="AA2414" t="str">
            <v>DAHUA TECH STOCK</v>
          </cell>
        </row>
        <row r="2415">
          <cell r="A2415" t="str">
            <v>DHI-LDH55-SAI400K</v>
          </cell>
          <cell r="B2415" t="str">
            <v>Dahua 55 inch Wall-mounted LCD Digital S</v>
          </cell>
          <cell r="C2415">
            <v>10</v>
          </cell>
          <cell r="E2415" t="str">
            <v>PCS</v>
          </cell>
          <cell r="F2415" t="str">
            <v>60C</v>
          </cell>
          <cell r="G2415" t="str">
            <v>DHI-LDH55-SAI400K</v>
          </cell>
          <cell r="AA2415" t="str">
            <v>DAHUA TECH STOCK</v>
          </cell>
        </row>
        <row r="2416">
          <cell r="A2416" t="str">
            <v>DHI-LDH13-SAI200L</v>
          </cell>
          <cell r="B2416" t="str">
            <v>Dahua 13.3inch Wall-mounted LCD Digital</v>
          </cell>
          <cell r="C2416">
            <v>188</v>
          </cell>
          <cell r="E2416" t="str">
            <v>PCS</v>
          </cell>
          <cell r="F2416" t="str">
            <v>81A, 112B, 113B</v>
          </cell>
          <cell r="G2416" t="str">
            <v>DHI-LDH13-SAI200L</v>
          </cell>
          <cell r="AA2416" t="str">
            <v>DAHUA TECH STOCK</v>
          </cell>
        </row>
        <row r="2417">
          <cell r="A2417" t="str">
            <v>DHI-LDH65-SAI400K</v>
          </cell>
          <cell r="B2417" t="str">
            <v>Dahua 65 inch Wall-mounted LCD Digital S</v>
          </cell>
          <cell r="C2417">
            <v>2</v>
          </cell>
          <cell r="E2417" t="str">
            <v>PCS</v>
          </cell>
          <cell r="F2417" t="str">
            <v>80A</v>
          </cell>
          <cell r="G2417" t="str">
            <v>DHI-LDH65-SAI400K</v>
          </cell>
          <cell r="AA2417" t="str">
            <v>DAHUA TECH STOCK</v>
          </cell>
        </row>
        <row r="2418">
          <cell r="A2418" t="str">
            <v>DHI-TPC-BF5441</v>
          </cell>
          <cell r="B2418" t="str">
            <v>Thermal Network Hybrid Bullet Camera The</v>
          </cell>
          <cell r="C2418">
            <v>0</v>
          </cell>
          <cell r="E2418" t="str">
            <v>PCS</v>
          </cell>
          <cell r="G2418" t="str">
            <v>DHI-TPC-BF5441</v>
          </cell>
          <cell r="AA2418" t="str">
            <v>DAHUA TECH STOCK</v>
          </cell>
        </row>
        <row r="2419">
          <cell r="A2419" t="str">
            <v>DHI-IVSS7112-2I</v>
          </cell>
          <cell r="B2419" t="str">
            <v>Video Surveillance Server</v>
          </cell>
          <cell r="C2419">
            <v>0</v>
          </cell>
          <cell r="E2419" t="str">
            <v>PCS</v>
          </cell>
          <cell r="G2419" t="str">
            <v>DHI-IVSS7112-2I</v>
          </cell>
          <cell r="AA2419" t="str">
            <v>DAHUA TECH STOCK</v>
          </cell>
        </row>
        <row r="2420">
          <cell r="A2420" t="str">
            <v>DHI-VTO2201F-P</v>
          </cell>
          <cell r="B2420" t="str">
            <v>Dahua 2MP Video Intercom</v>
          </cell>
          <cell r="C2420">
            <v>0</v>
          </cell>
          <cell r="E2420" t="str">
            <v>PCS</v>
          </cell>
          <cell r="G2420" t="str">
            <v>DHI-VTO2201F-P</v>
          </cell>
          <cell r="AA2420" t="str">
            <v>DAHUA TECH STOCK</v>
          </cell>
        </row>
        <row r="2421">
          <cell r="A2421" t="str">
            <v>DHI-TPC-SD8441B</v>
          </cell>
          <cell r="B2421" t="str">
            <v>DHI-TPC-SD8441 B-B25Z56-DC-S22-V3</v>
          </cell>
          <cell r="C2421">
            <v>0</v>
          </cell>
          <cell r="E2421" t="str">
            <v>PCS</v>
          </cell>
          <cell r="G2421" t="str">
            <v>DHI-TPC-SD8441B</v>
          </cell>
          <cell r="AA2421" t="str">
            <v>DAHUA TECH STOCK</v>
          </cell>
        </row>
        <row r="2422">
          <cell r="A2422" t="str">
            <v>DH-SD8A840N-HNF-P</v>
          </cell>
          <cell r="B2422" t="str">
            <v>8MP 40x Starlight IR PTZ Al Network Came</v>
          </cell>
          <cell r="C2422">
            <v>29</v>
          </cell>
          <cell r="E2422" t="str">
            <v>PCS</v>
          </cell>
          <cell r="F2422" t="str">
            <v>57C, 59C, Zone G, 57C, 52C, 56A</v>
          </cell>
          <cell r="G2422" t="str">
            <v>DH-SD8A840N-HNF-P</v>
          </cell>
          <cell r="AA2422" t="str">
            <v>DAHUA TECH STOCK</v>
          </cell>
        </row>
        <row r="2423">
          <cell r="A2423" t="str">
            <v>DH-IPC-HDW5842TM-ASE</v>
          </cell>
          <cell r="B2423" t="str">
            <v>8MP IR Fixed-focal Eyeball WizMind Netwo</v>
          </cell>
          <cell r="C2423">
            <v>0</v>
          </cell>
          <cell r="E2423" t="str">
            <v>PCS</v>
          </cell>
          <cell r="G2423" t="str">
            <v>DH-IPC-HDW5842TM-A</v>
          </cell>
          <cell r="AA2423" t="str">
            <v>DAHUA TECH STOCK</v>
          </cell>
        </row>
        <row r="2424">
          <cell r="A2424" t="str">
            <v>DH-PFA138</v>
          </cell>
          <cell r="B2424" t="str">
            <v>DH-PFA138-V2</v>
          </cell>
          <cell r="C2424">
            <v>20</v>
          </cell>
          <cell r="E2424" t="str">
            <v>PCS</v>
          </cell>
          <cell r="F2424" t="str">
            <v>54C, 57C</v>
          </cell>
          <cell r="G2424" t="str">
            <v>DH-PFA138</v>
          </cell>
          <cell r="AA2424" t="str">
            <v>DAHUA TECH STOCK</v>
          </cell>
        </row>
        <row r="2425">
          <cell r="A2425" t="str">
            <v>DH-PFA152-E</v>
          </cell>
          <cell r="B2425" t="str">
            <v>DH-PFA152-E</v>
          </cell>
          <cell r="C2425">
            <v>0</v>
          </cell>
          <cell r="E2425" t="str">
            <v>PCS</v>
          </cell>
          <cell r="G2425" t="str">
            <v>DH-PFA152-E</v>
          </cell>
          <cell r="AA2425" t="str">
            <v>DAHUA TECH STOCK</v>
          </cell>
        </row>
        <row r="2426">
          <cell r="A2426" t="str">
            <v>DH-IPC-HFW5842E-ZE</v>
          </cell>
          <cell r="B2426" t="str">
            <v>8MP IR Vari-focal Bullet WizMind Network</v>
          </cell>
          <cell r="C2426">
            <v>95</v>
          </cell>
          <cell r="E2426" t="str">
            <v>PCS</v>
          </cell>
          <cell r="F2426" t="str">
            <v>58A</v>
          </cell>
          <cell r="G2426" t="str">
            <v>DH-IPC-HFW5842E-ZE</v>
          </cell>
          <cell r="AA2426" t="str">
            <v>DAHUA TECH STOCK</v>
          </cell>
        </row>
        <row r="2427">
          <cell r="A2427" t="str">
            <v>DH-IPC-HFW5541E-Z5E</v>
          </cell>
          <cell r="B2427" t="str">
            <v>DH-IPC-HFW5541EP-ZE-0735-S3</v>
          </cell>
          <cell r="C2427">
            <v>0</v>
          </cell>
          <cell r="E2427" t="str">
            <v>PCS</v>
          </cell>
          <cell r="G2427" t="str">
            <v>DH-IPC-HFW5541E-Z5</v>
          </cell>
          <cell r="AA2427" t="str">
            <v>DAHUA TECH STOCK</v>
          </cell>
        </row>
        <row r="2428">
          <cell r="A2428" t="str">
            <v>DHI-EVS5016S-R-V2</v>
          </cell>
          <cell r="B2428" t="str">
            <v>DHI-EVS5016S-R-V2</v>
          </cell>
          <cell r="C2428">
            <v>0</v>
          </cell>
          <cell r="E2428" t="str">
            <v>PCS</v>
          </cell>
          <cell r="G2428" t="str">
            <v>DHI-EVS5016S-R-V2</v>
          </cell>
          <cell r="AA2428" t="str">
            <v>DAHUA TECH STOCK</v>
          </cell>
        </row>
        <row r="2429">
          <cell r="A2429" t="str">
            <v>DH-SD8A440N-HNF-PA</v>
          </cell>
          <cell r="B2429" t="str">
            <v>DH-SD8A440N-HNF-PA</v>
          </cell>
          <cell r="C2429">
            <v>0</v>
          </cell>
          <cell r="E2429" t="str">
            <v>PCS</v>
          </cell>
          <cell r="G2429" t="str">
            <v>DH-SD8A440N-HNF-PA</v>
          </cell>
          <cell r="AA2429" t="str">
            <v>DAHUA TECH STOCK</v>
          </cell>
        </row>
        <row r="2430">
          <cell r="A2430" t="str">
            <v>DHI-NKB5200</v>
          </cell>
          <cell r="B2430" t="str">
            <v>DHI-NKB5200</v>
          </cell>
          <cell r="C2430">
            <v>1</v>
          </cell>
          <cell r="E2430" t="str">
            <v>PCS</v>
          </cell>
          <cell r="F2430" t="str">
            <v>55A</v>
          </cell>
          <cell r="G2430" t="str">
            <v>DHI-NKB5200</v>
          </cell>
          <cell r="AA2430" t="str">
            <v>DAHUA TECH STOCK</v>
          </cell>
        </row>
        <row r="2431">
          <cell r="A2431" t="str">
            <v>DHI-ARC2008C-V3</v>
          </cell>
          <cell r="B2431" t="str">
            <v>DHI-ARC2008C-V3</v>
          </cell>
          <cell r="C2431">
            <v>0</v>
          </cell>
          <cell r="E2431" t="str">
            <v>PCS</v>
          </cell>
          <cell r="G2431" t="str">
            <v>DHI-ARC2008C-V3</v>
          </cell>
          <cell r="AA2431" t="str">
            <v>DAHUA TECH STOCK</v>
          </cell>
        </row>
        <row r="2432">
          <cell r="A2432" t="str">
            <v>DHI-M70-4U-E</v>
          </cell>
          <cell r="B2432" t="str">
            <v>Wooden case for 55" display unit (2 in 1</v>
          </cell>
          <cell r="C2432">
            <v>1</v>
          </cell>
          <cell r="E2432" t="str">
            <v>PCS</v>
          </cell>
          <cell r="F2432" t="str">
            <v>Zone G</v>
          </cell>
          <cell r="G2432" t="str">
            <v>DHI-M70-4U-E</v>
          </cell>
          <cell r="AA2432" t="str">
            <v>DAHUA TECH STOCK</v>
          </cell>
        </row>
        <row r="2433">
          <cell r="A2433" t="str">
            <v>ASF500ZL</v>
          </cell>
          <cell r="B2433" t="str">
            <v>Magnetic Lock LZ Bracket</v>
          </cell>
          <cell r="C2433">
            <v>0</v>
          </cell>
          <cell r="E2433" t="str">
            <v>PCS</v>
          </cell>
          <cell r="G2433" t="str">
            <v>ASF500ZL</v>
          </cell>
          <cell r="AA2433" t="str">
            <v>DAHUA TECH STOCK</v>
          </cell>
        </row>
        <row r="2434">
          <cell r="A2434" t="str">
            <v>DHI-ASF500A</v>
          </cell>
          <cell r="B2434" t="str">
            <v>Single Door Magnetic Lock</v>
          </cell>
          <cell r="C2434">
            <v>0</v>
          </cell>
          <cell r="E2434" t="str">
            <v>PCS</v>
          </cell>
          <cell r="G2434" t="str">
            <v>DHI-ASF500A</v>
          </cell>
          <cell r="AA2434" t="str">
            <v>DAHUA TECH STOCK</v>
          </cell>
        </row>
        <row r="2435">
          <cell r="A2435" t="str">
            <v>VEC0404HH-M70</v>
          </cell>
          <cell r="B2435" t="str">
            <v>4CH HDMI encoding card</v>
          </cell>
          <cell r="C2435">
            <v>2</v>
          </cell>
          <cell r="E2435" t="str">
            <v>PCS</v>
          </cell>
          <cell r="F2435" t="str">
            <v>Zone G</v>
          </cell>
          <cell r="G2435" t="str">
            <v>VEC0404HH-M70</v>
          </cell>
          <cell r="AA2435" t="str">
            <v>DAHUA TECH STOCK</v>
          </cell>
        </row>
        <row r="2436">
          <cell r="A2436" t="str">
            <v>DH-UZ5+</v>
          </cell>
          <cell r="B2436" t="str">
            <v>5MP USB Camera (ID Camera)</v>
          </cell>
          <cell r="C2436">
            <v>0</v>
          </cell>
          <cell r="E2436" t="str">
            <v>PCS</v>
          </cell>
          <cell r="G2436" t="str">
            <v>DH-UZ5+</v>
          </cell>
          <cell r="AA2436" t="str">
            <v>DAHUA TECH STOCK</v>
          </cell>
        </row>
        <row r="2437">
          <cell r="A2437" t="str">
            <v>DHI-ASGB811X-L</v>
          </cell>
          <cell r="B2437" t="str">
            <v>Single Swing Barier - Left with NEOM LOG</v>
          </cell>
          <cell r="C2437">
            <v>0</v>
          </cell>
          <cell r="E2437" t="str">
            <v>PCS</v>
          </cell>
          <cell r="G2437" t="str">
            <v>DHI-ASGB811X-L</v>
          </cell>
          <cell r="AA2437" t="str">
            <v>DAHUA TECH STOCK</v>
          </cell>
        </row>
        <row r="2438">
          <cell r="A2438" t="str">
            <v>DHI-ASGB811X-R</v>
          </cell>
          <cell r="B2438" t="str">
            <v>Single Swing Barier - Right with NEOM LO</v>
          </cell>
          <cell r="C2438">
            <v>0</v>
          </cell>
          <cell r="E2438" t="str">
            <v>PCS</v>
          </cell>
          <cell r="G2438" t="str">
            <v>DHI-ASGB811X-R</v>
          </cell>
          <cell r="AA2438" t="str">
            <v>DAHUA TECH STOCK</v>
          </cell>
        </row>
        <row r="2439">
          <cell r="A2439" t="str">
            <v>DHI-ASGB822X-D</v>
          </cell>
          <cell r="B2439" t="str">
            <v>Single Swing Barier - Middle with NEOM L</v>
          </cell>
          <cell r="C2439">
            <v>0</v>
          </cell>
          <cell r="E2439" t="str">
            <v>PCS</v>
          </cell>
          <cell r="G2439" t="str">
            <v>DHI-ASGB822X-D</v>
          </cell>
          <cell r="AA2439" t="str">
            <v>DAHUA TECH STOCK</v>
          </cell>
        </row>
        <row r="2440">
          <cell r="A2440" t="str">
            <v>DHL27/32-DZ</v>
          </cell>
          <cell r="B2440" t="str">
            <v>Desktop Mount</v>
          </cell>
          <cell r="C2440">
            <v>0</v>
          </cell>
          <cell r="E2440" t="str">
            <v>PCS</v>
          </cell>
          <cell r="G2440" t="str">
            <v>DHL27/32-DZ</v>
          </cell>
          <cell r="AA2440" t="str">
            <v>DAHUA TECH STOCK</v>
          </cell>
        </row>
        <row r="2441">
          <cell r="A2441" t="str">
            <v>DHI-LM50-F400</v>
          </cell>
          <cell r="B2441" t="str">
            <v>50" UHD LED Monitor</v>
          </cell>
          <cell r="C2441">
            <v>0</v>
          </cell>
          <cell r="E2441" t="str">
            <v>PCS</v>
          </cell>
          <cell r="G2441" t="str">
            <v>DHI-LM50-F400</v>
          </cell>
          <cell r="AA2441" t="str">
            <v>DAHUA TECH STOCK</v>
          </cell>
        </row>
        <row r="2442">
          <cell r="A2442" t="str">
            <v>DHI-LM32-F200</v>
          </cell>
          <cell r="B2442" t="str">
            <v>32" FHD Monitor</v>
          </cell>
          <cell r="C2442">
            <v>0</v>
          </cell>
          <cell r="E2442" t="str">
            <v>PCS</v>
          </cell>
          <cell r="G2442" t="str">
            <v>DHI-LM32-F200</v>
          </cell>
          <cell r="AA2442" t="str">
            <v>DAHUA TECH STOCK</v>
          </cell>
        </row>
        <row r="2443">
          <cell r="A2443" t="str">
            <v>DHI-ARA11</v>
          </cell>
          <cell r="B2443" t="str">
            <v>lndoor Siren</v>
          </cell>
          <cell r="C2443">
            <v>0</v>
          </cell>
          <cell r="E2443" t="str">
            <v>PCS</v>
          </cell>
          <cell r="G2443" t="str">
            <v>DHI-ARA11</v>
          </cell>
          <cell r="AA2443" t="str">
            <v>DAHUA TECH STOCK</v>
          </cell>
        </row>
        <row r="2444">
          <cell r="A2444" t="str">
            <v>DH-IPC-HFW5842T-SE</v>
          </cell>
          <cell r="B2444" t="str">
            <v>8MP IR Fixed-focal Bullet WizMind Networ</v>
          </cell>
          <cell r="C2444">
            <v>0</v>
          </cell>
          <cell r="E2444" t="str">
            <v>PCS</v>
          </cell>
          <cell r="G2444" t="str">
            <v>DH-IPC-HFW5842T-SE</v>
          </cell>
          <cell r="AA2444" t="str">
            <v>DAHUA TECH STOCK</v>
          </cell>
        </row>
        <row r="2445">
          <cell r="A2445" t="str">
            <v>LS550-E/U-B11</v>
          </cell>
          <cell r="B2445" t="str">
            <v>LS550-E/U-B11</v>
          </cell>
          <cell r="C2445">
            <v>0</v>
          </cell>
          <cell r="E2445" t="str">
            <v>PCS</v>
          </cell>
          <cell r="G2445" t="str">
            <v>LS550-E/U-B11</v>
          </cell>
          <cell r="AA2445" t="str">
            <v>DAHUA TECH STOCK</v>
          </cell>
        </row>
        <row r="2446">
          <cell r="A2446" t="str">
            <v>DHI-ASI6213J-MW-V1</v>
          </cell>
          <cell r="B2446" t="str">
            <v>DHI-ASI6213J-MW-V1</v>
          </cell>
          <cell r="C2446">
            <v>0</v>
          </cell>
          <cell r="E2446" t="str">
            <v>PCS</v>
          </cell>
          <cell r="G2446" t="str">
            <v>DHI-ASI6213J-MW-V1</v>
          </cell>
          <cell r="AA2446" t="str">
            <v>DAHUA TECH STOCK</v>
          </cell>
        </row>
        <row r="2447">
          <cell r="A2447" t="str">
            <v>DHI-ASR2101A-ME</v>
          </cell>
          <cell r="B2447" t="str">
            <v>DHI-ASR2101A-ME</v>
          </cell>
          <cell r="C2447">
            <v>0</v>
          </cell>
          <cell r="E2447" t="str">
            <v>PCS</v>
          </cell>
          <cell r="G2447" t="str">
            <v>DHI-ASR2101A-M</v>
          </cell>
          <cell r="AA2447" t="str">
            <v>DAHUA TECH STOCK</v>
          </cell>
        </row>
        <row r="2448">
          <cell r="A2448" t="str">
            <v>DHI-ARD812</v>
          </cell>
          <cell r="B2448" t="str">
            <v>DHI-ARD812</v>
          </cell>
          <cell r="C2448">
            <v>0</v>
          </cell>
          <cell r="E2448" t="str">
            <v>PCS</v>
          </cell>
          <cell r="G2448" t="str">
            <v>DHI-ARD812</v>
          </cell>
          <cell r="AA2448" t="str">
            <v>DAHUA TECH STOCK</v>
          </cell>
        </row>
        <row r="2449">
          <cell r="A2449" t="str">
            <v>DH-IPC-HDBW5842E-ZE</v>
          </cell>
          <cell r="B2449" t="str">
            <v>4MP IR Vari-focal Vandal-proof Dome WizM</v>
          </cell>
          <cell r="C2449">
            <v>0</v>
          </cell>
          <cell r="E2449" t="str">
            <v>PCS</v>
          </cell>
          <cell r="G2449" t="str">
            <v>DH-IPC-HDBW5842E-Z</v>
          </cell>
          <cell r="AA2449" t="str">
            <v>DAHUA TECH STOCK</v>
          </cell>
        </row>
        <row r="2450">
          <cell r="A2450" t="str">
            <v>DHI-LS550UDM-UF</v>
          </cell>
          <cell r="B2450" t="str">
            <v>DHI-LS550UDM-YUF-V2</v>
          </cell>
          <cell r="C2450">
            <v>0</v>
          </cell>
          <cell r="E2450" t="str">
            <v>PCS</v>
          </cell>
          <cell r="G2450" t="str">
            <v>DHI-LS550UDM-UF</v>
          </cell>
          <cell r="AA2450" t="str">
            <v>DAHUA TECH STOCK</v>
          </cell>
        </row>
        <row r="2451">
          <cell r="A2451" t="str">
            <v>VDC0605H-M70</v>
          </cell>
          <cell r="B2451" t="str">
            <v>6CH HDMI decoding card</v>
          </cell>
          <cell r="C2451">
            <v>4</v>
          </cell>
          <cell r="E2451" t="str">
            <v>PCS</v>
          </cell>
          <cell r="F2451" t="str">
            <v>Zone G</v>
          </cell>
          <cell r="G2451" t="str">
            <v>VDC0605H-M70</v>
          </cell>
          <cell r="AA2451" t="str">
            <v>DAHUA TECH STOCK</v>
          </cell>
        </row>
        <row r="2452">
          <cell r="A2452" t="str">
            <v>DH-AS5600-48GF4XF</v>
          </cell>
          <cell r="B2452" t="str">
            <v>DH-AS5600-48GF4XF</v>
          </cell>
          <cell r="C2452">
            <v>1</v>
          </cell>
          <cell r="E2452" t="str">
            <v>PCS</v>
          </cell>
          <cell r="F2452" t="str">
            <v>53A, 55C</v>
          </cell>
          <cell r="G2452" t="str">
            <v>DH-AS5600-48GF4XF</v>
          </cell>
          <cell r="AA2452" t="str">
            <v>DAHUA TECH STOCK</v>
          </cell>
        </row>
        <row r="2453">
          <cell r="A2453" t="str">
            <v>DH-IPC-HFW2841T-AS</v>
          </cell>
          <cell r="B2453" t="str">
            <v>8MP IR Fixed-focal Bullet WizSense Netwo</v>
          </cell>
          <cell r="C2453">
            <v>0</v>
          </cell>
          <cell r="E2453" t="str">
            <v>PCS</v>
          </cell>
          <cell r="G2453" t="str">
            <v>DH-IPC-HFW2841T-AS</v>
          </cell>
          <cell r="AA2453" t="str">
            <v>DAHUA TECH STOCK</v>
          </cell>
        </row>
        <row r="2454">
          <cell r="A2454" t="str">
            <v>DH-IPC-HFW2841T-ZAS</v>
          </cell>
          <cell r="B2454" t="str">
            <v>8MP IR Vari-focal Bullet WizSense Networ</v>
          </cell>
          <cell r="C2454">
            <v>0</v>
          </cell>
          <cell r="E2454" t="str">
            <v>PCS</v>
          </cell>
          <cell r="G2454" t="str">
            <v>DH-IPC-HFW2841T-Z</v>
          </cell>
          <cell r="AA2454" t="str">
            <v>DAHUA TECH STOCK</v>
          </cell>
        </row>
        <row r="2455">
          <cell r="A2455" t="str">
            <v>DHI-EVS7148S</v>
          </cell>
          <cell r="B2455" t="str">
            <v>48-bay Embedded Video Storage</v>
          </cell>
          <cell r="C2455">
            <v>2</v>
          </cell>
          <cell r="E2455" t="str">
            <v>PCS</v>
          </cell>
          <cell r="G2455" t="str">
            <v>DHI-EVS7148S</v>
          </cell>
          <cell r="AA2455" t="str">
            <v>DAHUA TECH STOCK</v>
          </cell>
        </row>
        <row r="2456">
          <cell r="A2456" t="str">
            <v>DHI-VTO6521H-D</v>
          </cell>
          <cell r="B2456" t="str">
            <v>2Mp IC Card Touchless 4-ch IP55 Apartmen</v>
          </cell>
          <cell r="C2456">
            <v>0</v>
          </cell>
          <cell r="E2456" t="str">
            <v>PCS</v>
          </cell>
          <cell r="G2456" t="str">
            <v>DHI-VTO6521H-D</v>
          </cell>
          <cell r="AA2456" t="str">
            <v>DAHUA TECH STOCK</v>
          </cell>
        </row>
        <row r="2457">
          <cell r="A2457" t="str">
            <v>DHI-VTH5321GB-W</v>
          </cell>
          <cell r="B2457" t="str">
            <v>Digital Indoor Monitor, 7" ANDRIOD WIFI</v>
          </cell>
          <cell r="C2457">
            <v>0</v>
          </cell>
          <cell r="E2457" t="str">
            <v>PCS</v>
          </cell>
          <cell r="G2457" t="str">
            <v>VTH5321GB</v>
          </cell>
          <cell r="AA2457" t="str">
            <v>DAHUA TECH STOCK</v>
          </cell>
        </row>
        <row r="2458">
          <cell r="A2458" t="str">
            <v>DHI-VTS5A40B</v>
          </cell>
          <cell r="B2458" t="str">
            <v>Password Touch 6-ch Video Intercom Manag</v>
          </cell>
          <cell r="C2458">
            <v>0</v>
          </cell>
          <cell r="E2458" t="str">
            <v>PCS</v>
          </cell>
          <cell r="G2458" t="str">
            <v>DHI-VTS5A40B</v>
          </cell>
          <cell r="AA2458" t="str">
            <v>DAHUA TECH STOCK</v>
          </cell>
        </row>
        <row r="2459">
          <cell r="A2459" t="str">
            <v>DH-S4220-16GT-190</v>
          </cell>
          <cell r="B2459" t="str">
            <v>16 Port PoE Managed Gigabit Switch</v>
          </cell>
          <cell r="C2459">
            <v>29</v>
          </cell>
          <cell r="E2459" t="str">
            <v>PCS</v>
          </cell>
          <cell r="F2459" t="str">
            <v>52C</v>
          </cell>
          <cell r="G2459" t="str">
            <v>DH-S4220-16GT-190</v>
          </cell>
          <cell r="AA2459" t="str">
            <v>DAHUA TECH STOCK</v>
          </cell>
        </row>
        <row r="2460">
          <cell r="A2460" t="str">
            <v>DH-IPC-HFW71242H-Z-X</v>
          </cell>
          <cell r="B2460" t="str">
            <v>DH-IPC-HFW71242HP-Z-2712-DC12AC24V-ATC-X</v>
          </cell>
          <cell r="C2460">
            <v>300</v>
          </cell>
          <cell r="E2460" t="str">
            <v>PCS</v>
          </cell>
          <cell r="F2460" t="str">
            <v>55A, 56AC, 57C, 58C</v>
          </cell>
          <cell r="G2460" t="str">
            <v>DH-IPC-HFW71242H-Z</v>
          </cell>
          <cell r="AA2460" t="str">
            <v>DAHUA TECH STOCK</v>
          </cell>
        </row>
        <row r="2461">
          <cell r="A2461" t="str">
            <v>DHI-TF-P100/512GB</v>
          </cell>
          <cell r="B2461" t="str">
            <v>DHI-TF-P100/512GB</v>
          </cell>
          <cell r="C2461">
            <v>350</v>
          </cell>
          <cell r="E2461" t="str">
            <v>PCS</v>
          </cell>
          <cell r="F2461" t="str">
            <v>55A, 56B, 85B</v>
          </cell>
          <cell r="G2461" t="str">
            <v>DHI-TF-P100/512GB</v>
          </cell>
          <cell r="AA2461" t="str">
            <v>DAHUA TECH STOCK</v>
          </cell>
        </row>
        <row r="2462">
          <cell r="A2462" t="str">
            <v>DH-IPC-HDBW71242E1-Z-X</v>
          </cell>
          <cell r="B2462" t="str">
            <v>DH-IPC-HDBW71242E1P-Z-2712-DC12AC24V-X</v>
          </cell>
          <cell r="C2462">
            <v>20</v>
          </cell>
          <cell r="E2462" t="str">
            <v>PCS</v>
          </cell>
          <cell r="F2462" t="str">
            <v>54C, 55A, 56A, 56C</v>
          </cell>
          <cell r="G2462" t="str">
            <v>DH-IPC-HDBW71242E1</v>
          </cell>
          <cell r="AA2462" t="str">
            <v>DAHUA TECH STOCK</v>
          </cell>
        </row>
        <row r="2463">
          <cell r="A2463" t="str">
            <v>DH-S5452-48GT4XF-750</v>
          </cell>
          <cell r="B2463" t="str">
            <v>52-Port L2+ Managed Switch with  48-Port</v>
          </cell>
          <cell r="C2463">
            <v>29</v>
          </cell>
          <cell r="E2463" t="str">
            <v>PCS</v>
          </cell>
          <cell r="F2463" t="str">
            <v>52A</v>
          </cell>
          <cell r="G2463" t="str">
            <v>DH-S5452-48GT4XF</v>
          </cell>
          <cell r="AA2463" t="str">
            <v>DAHUA TECH STOCK</v>
          </cell>
        </row>
        <row r="2464">
          <cell r="A2464" t="str">
            <v>DH-S4228-24GT-240</v>
          </cell>
          <cell r="B2464" t="str">
            <v>24 Port PoE Managed Gigabit Switch</v>
          </cell>
          <cell r="C2464">
            <v>0</v>
          </cell>
          <cell r="E2464" t="str">
            <v>PCS</v>
          </cell>
          <cell r="G2464" t="str">
            <v>DH-S4228-24GT-240</v>
          </cell>
          <cell r="AA2464" t="str">
            <v>DAHUA TECH STOCK</v>
          </cell>
        </row>
        <row r="2465">
          <cell r="A2465" t="str">
            <v>S7806-PWR650</v>
          </cell>
          <cell r="B2465" t="str">
            <v>S7806-PWR650</v>
          </cell>
          <cell r="C2465">
            <v>2</v>
          </cell>
          <cell r="E2465" t="str">
            <v>PCS</v>
          </cell>
          <cell r="F2465" t="str">
            <v>58B</v>
          </cell>
          <cell r="G2465" t="str">
            <v>S7806-PWR650</v>
          </cell>
          <cell r="AA2465" t="str">
            <v>DAHUA TECH STOCK</v>
          </cell>
        </row>
        <row r="2466">
          <cell r="A2466" t="str">
            <v>RAW021-01</v>
          </cell>
          <cell r="B2466" t="str">
            <v>RAW021-01</v>
          </cell>
          <cell r="C2466">
            <v>1</v>
          </cell>
          <cell r="E2466" t="str">
            <v>PCS</v>
          </cell>
          <cell r="F2466" t="str">
            <v>58B</v>
          </cell>
          <cell r="G2466" t="str">
            <v>RAW021-01</v>
          </cell>
          <cell r="AA2466" t="str">
            <v>DAHUA TECH STOCK</v>
          </cell>
        </row>
        <row r="2467">
          <cell r="A2467" t="str">
            <v>DH-IPC-HDBW2841E-S</v>
          </cell>
          <cell r="B2467" t="str">
            <v>8MP IR Fixed-focal Dome WizSense Network</v>
          </cell>
          <cell r="C2467">
            <v>0</v>
          </cell>
          <cell r="E2467" t="str">
            <v>PCS</v>
          </cell>
          <cell r="G2467" t="str">
            <v>DH-IPC-HDBW2841E-S</v>
          </cell>
          <cell r="AA2467" t="str">
            <v>DAHUA TECH STOCK</v>
          </cell>
        </row>
        <row r="2468">
          <cell r="A2468" t="str">
            <v>DHI-VTO9541D</v>
          </cell>
          <cell r="B2468" t="str">
            <v>DHI-VTO9541D-S2-Video Intercoms</v>
          </cell>
          <cell r="C2468">
            <v>0</v>
          </cell>
          <cell r="E2468" t="str">
            <v>PCS</v>
          </cell>
          <cell r="G2468" t="str">
            <v>DHI-VTO9541D</v>
          </cell>
          <cell r="AA2468" t="str">
            <v>DAHUA TECH STOCK</v>
          </cell>
        </row>
        <row r="2469">
          <cell r="A2469" t="str">
            <v>VTOB119</v>
          </cell>
          <cell r="B2469" t="str">
            <v>VTOB119-Video Intercoms</v>
          </cell>
          <cell r="C2469">
            <v>0</v>
          </cell>
          <cell r="E2469" t="str">
            <v>PCS</v>
          </cell>
          <cell r="G2469" t="str">
            <v>VTOB119</v>
          </cell>
          <cell r="AA2469" t="str">
            <v>DAHUA TECH STOCK</v>
          </cell>
        </row>
        <row r="2470">
          <cell r="A2470" t="str">
            <v>DHI-TPC-PT8441MA</v>
          </cell>
          <cell r="B2470" t="str">
            <v>DHI-TPC-PT8441MA-B25Z45V1-BC-IR-S22</v>
          </cell>
          <cell r="C2470">
            <v>1</v>
          </cell>
          <cell r="E2470" t="str">
            <v>PCS</v>
          </cell>
          <cell r="F2470" t="str">
            <v>56A</v>
          </cell>
          <cell r="G2470" t="str">
            <v>DHI-TPC-PT8441MA</v>
          </cell>
          <cell r="AA2470" t="str">
            <v>DAHUA TECH STOCK</v>
          </cell>
        </row>
        <row r="2471">
          <cell r="A2471" t="str">
            <v>DH-SD6CE245GB-HNR</v>
          </cell>
          <cell r="B2471" t="str">
            <v>DH-SD6CE245GB-HNR</v>
          </cell>
          <cell r="C2471">
            <v>1</v>
          </cell>
          <cell r="E2471" t="str">
            <v>PCS</v>
          </cell>
          <cell r="F2471" t="str">
            <v>55A</v>
          </cell>
          <cell r="G2471" t="str">
            <v>DH-SD6CE245GB-HNR</v>
          </cell>
          <cell r="AA2471" t="str">
            <v>DAHUA TECH STOCK</v>
          </cell>
        </row>
        <row r="2472">
          <cell r="A2472" t="str">
            <v>DHI-SSD-S820GS2TB</v>
          </cell>
          <cell r="B2472" t="str">
            <v>DHI-SSD-S2TL0Y13F0G02</v>
          </cell>
          <cell r="C2472">
            <v>1</v>
          </cell>
          <cell r="E2472" t="str">
            <v>PCS</v>
          </cell>
          <cell r="F2472" t="str">
            <v>58B</v>
          </cell>
          <cell r="G2472" t="str">
            <v>DHI-SSD-S820GS2TB</v>
          </cell>
          <cell r="AA2472" t="str">
            <v>DAHUA TECH STOCK</v>
          </cell>
        </row>
        <row r="2473">
          <cell r="A2473" t="str">
            <v>MC-PF3-B3-4</v>
          </cell>
          <cell r="B2473" t="str">
            <v>MC-PF3-B3-4</v>
          </cell>
          <cell r="C2473">
            <v>45</v>
          </cell>
          <cell r="E2473" t="str">
            <v>PCS</v>
          </cell>
          <cell r="F2473" t="str">
            <v>55A</v>
          </cell>
          <cell r="G2473" t="str">
            <v>MC-PF3-B3-4</v>
          </cell>
          <cell r="AA2473" t="str">
            <v>DAHUA TECH STOCK</v>
          </cell>
        </row>
        <row r="2474">
          <cell r="A2474" t="str">
            <v>DHI-MNVR4208-GFWI</v>
          </cell>
          <cell r="B2474" t="str">
            <v>DHI-DAE-MNVR4208-GFWI</v>
          </cell>
          <cell r="C2474">
            <v>1</v>
          </cell>
          <cell r="E2474" t="str">
            <v>PCS</v>
          </cell>
          <cell r="F2474" t="str">
            <v>55A</v>
          </cell>
          <cell r="G2474" t="str">
            <v>DHI-MNVR4208-GFWI</v>
          </cell>
          <cell r="AA2474" t="str">
            <v>DAHUA TECH STOCK</v>
          </cell>
        </row>
        <row r="2475">
          <cell r="A2475" t="str">
            <v>MKB1100</v>
          </cell>
          <cell r="B2475" t="str">
            <v>MKB1100</v>
          </cell>
          <cell r="C2475">
            <v>1</v>
          </cell>
          <cell r="E2475" t="str">
            <v>PCS</v>
          </cell>
          <cell r="F2475" t="str">
            <v>55A</v>
          </cell>
          <cell r="G2475" t="str">
            <v>MKB1100</v>
          </cell>
          <cell r="AA2475" t="str">
            <v>DAHUA TECH STOCK</v>
          </cell>
        </row>
        <row r="2476">
          <cell r="A2476" t="str">
            <v>LIF240-10B48R2</v>
          </cell>
          <cell r="B2476" t="str">
            <v>LIF240-10B48R2</v>
          </cell>
          <cell r="C2476">
            <v>30</v>
          </cell>
          <cell r="E2476" t="str">
            <v>PCS</v>
          </cell>
          <cell r="F2476" t="str">
            <v>56A</v>
          </cell>
          <cell r="G2476" t="str">
            <v>LIF240-10B48R2</v>
          </cell>
          <cell r="AA2476" t="str">
            <v>DAHUA TECH STOCK</v>
          </cell>
        </row>
        <row r="2477">
          <cell r="A2477" t="str">
            <v>DH-PFA153</v>
          </cell>
          <cell r="B2477" t="str">
            <v>DH-PFA153</v>
          </cell>
          <cell r="C2477">
            <v>5</v>
          </cell>
          <cell r="E2477" t="str">
            <v>PCS</v>
          </cell>
          <cell r="F2477" t="str">
            <v>55A</v>
          </cell>
          <cell r="G2477" t="str">
            <v>DH-PFA153</v>
          </cell>
          <cell r="AA2477" t="str">
            <v>DAHUA TECH STOCK</v>
          </cell>
        </row>
        <row r="2478">
          <cell r="A2478" t="str">
            <v>TSFP-1270R-20-SMF</v>
          </cell>
          <cell r="B2478" t="str">
            <v>TSFP-1270R-20-SMF</v>
          </cell>
          <cell r="C2478">
            <v>4</v>
          </cell>
          <cell r="E2478" t="str">
            <v>PCS</v>
          </cell>
          <cell r="F2478" t="str">
            <v>54C</v>
          </cell>
          <cell r="G2478" t="str">
            <v>TSFP-1270R-20-SMF</v>
          </cell>
          <cell r="AA2478" t="str">
            <v>DAHUA TECH STOCK</v>
          </cell>
        </row>
        <row r="2479">
          <cell r="A2479" t="str">
            <v>TSFP-1270T-20-SMF</v>
          </cell>
          <cell r="B2479" t="str">
            <v>TSFP-1270T-20-SMF</v>
          </cell>
          <cell r="C2479">
            <v>4</v>
          </cell>
          <cell r="E2479" t="str">
            <v>PCS</v>
          </cell>
          <cell r="F2479" t="str">
            <v>54C</v>
          </cell>
          <cell r="G2479" t="str">
            <v>TSFP-1270T-20-SMF</v>
          </cell>
          <cell r="AA2479" t="str">
            <v>DAHUA TECH STOCK</v>
          </cell>
        </row>
        <row r="2480">
          <cell r="A2480" t="str">
            <v>S7806-MPU</v>
          </cell>
          <cell r="B2480" t="str">
            <v>S7806-MPU</v>
          </cell>
          <cell r="C2480">
            <v>2</v>
          </cell>
          <cell r="E2480" t="str">
            <v>PCS</v>
          </cell>
          <cell r="F2480" t="str">
            <v>55A</v>
          </cell>
          <cell r="G2480" t="str">
            <v>S7806-MPU</v>
          </cell>
          <cell r="AA2480" t="str">
            <v>DAHUA TECH STOCK</v>
          </cell>
        </row>
        <row r="2481">
          <cell r="A2481" t="str">
            <v>DHI-TPC-SD8641B</v>
          </cell>
          <cell r="B2481" t="str">
            <v>DHI-TPC-SD8641B</v>
          </cell>
          <cell r="C2481">
            <v>5</v>
          </cell>
          <cell r="E2481" t="str">
            <v>PCS</v>
          </cell>
          <cell r="F2481" t="str">
            <v>56A</v>
          </cell>
          <cell r="G2481" t="str">
            <v>DHI-TPC-SD8641B</v>
          </cell>
          <cell r="AA2481" t="str">
            <v>DAHUA TECH STOCK</v>
          </cell>
        </row>
        <row r="2482">
          <cell r="A2482" t="str">
            <v>DHI-NVR616DRH-64-XI</v>
          </cell>
          <cell r="B2482" t="str">
            <v>DHI-NVR616DRH-64-XI</v>
          </cell>
          <cell r="C2482">
            <v>6</v>
          </cell>
          <cell r="E2482" t="str">
            <v>PCS</v>
          </cell>
          <cell r="F2482" t="str">
            <v>54C</v>
          </cell>
          <cell r="G2482" t="str">
            <v>DHI-NVR616DRH-64</v>
          </cell>
          <cell r="AA2482" t="str">
            <v>DAHUA TECH STOCK</v>
          </cell>
        </row>
        <row r="2483">
          <cell r="A2483" t="str">
            <v>DH-PFB7320W</v>
          </cell>
          <cell r="B2483" t="str">
            <v>DH-PFB7320W</v>
          </cell>
          <cell r="C2483">
            <v>5</v>
          </cell>
          <cell r="E2483" t="str">
            <v>PCS</v>
          </cell>
          <cell r="F2483" t="str">
            <v>54C, 55A, 56A</v>
          </cell>
          <cell r="G2483" t="str">
            <v>DH-PFB7320W</v>
          </cell>
          <cell r="AA2483" t="str">
            <v>DAHUA TECH STOCK</v>
          </cell>
        </row>
        <row r="2484">
          <cell r="A2484" t="str">
            <v>S78-24GT20GF4XF</v>
          </cell>
          <cell r="B2484" t="str">
            <v>S78-24GT20GF4XF</v>
          </cell>
          <cell r="C2484">
            <v>1</v>
          </cell>
          <cell r="E2484" t="str">
            <v>PCS</v>
          </cell>
          <cell r="F2484" t="str">
            <v>55A</v>
          </cell>
          <cell r="G2484" t="str">
            <v>S78-24GT20GF4XF</v>
          </cell>
          <cell r="AA2484" t="str">
            <v>DAHUA TECH STOCK</v>
          </cell>
        </row>
        <row r="2485">
          <cell r="A2485" t="str">
            <v>S78-16XF24GF</v>
          </cell>
          <cell r="B2485" t="str">
            <v>S78-16XF24GF</v>
          </cell>
          <cell r="C2485">
            <v>5</v>
          </cell>
          <cell r="E2485" t="str">
            <v>PCS</v>
          </cell>
          <cell r="F2485" t="str">
            <v>55A</v>
          </cell>
          <cell r="G2485" t="str">
            <v>S78-16XF24GF</v>
          </cell>
          <cell r="AA2485" t="str">
            <v>DAHUA TECH STOCK</v>
          </cell>
        </row>
        <row r="2486">
          <cell r="A2486" t="str">
            <v>DH-S7806</v>
          </cell>
          <cell r="B2486" t="str">
            <v>DH-S7806</v>
          </cell>
          <cell r="C2486">
            <v>1</v>
          </cell>
          <cell r="E2486" t="str">
            <v>PCS</v>
          </cell>
          <cell r="F2486" t="str">
            <v>Zone G</v>
          </cell>
          <cell r="G2486" t="str">
            <v>DH-S7806</v>
          </cell>
          <cell r="AA2486" t="str">
            <v>DAHUA TECH STOCK</v>
          </cell>
        </row>
        <row r="2487">
          <cell r="A2487" t="str">
            <v>DH-AS6600-24XF2QF</v>
          </cell>
          <cell r="B2487" t="str">
            <v>DH-AS6600-24XF2QF</v>
          </cell>
          <cell r="C2487">
            <v>2</v>
          </cell>
          <cell r="E2487" t="str">
            <v>PCS</v>
          </cell>
          <cell r="F2487" t="str">
            <v>55A</v>
          </cell>
          <cell r="G2487" t="str">
            <v>DH-AS6600-24XF2QF</v>
          </cell>
          <cell r="AA2487" t="str">
            <v>DAHUA TECH STOCK</v>
          </cell>
        </row>
        <row r="2488">
          <cell r="A2488" t="str">
            <v>DH-IS4420-16GT-240</v>
          </cell>
          <cell r="B2488" t="str">
            <v>DH-IS4420-16GT-240</v>
          </cell>
          <cell r="C2488">
            <v>30</v>
          </cell>
          <cell r="E2488" t="str">
            <v>PCS</v>
          </cell>
          <cell r="F2488" t="str">
            <v>56A</v>
          </cell>
          <cell r="G2488" t="str">
            <v>DH-IS4420-16GT-240</v>
          </cell>
          <cell r="AA2488" t="str">
            <v>DAHUA TECH STOCK</v>
          </cell>
        </row>
        <row r="2489">
          <cell r="A2489" t="str">
            <v>DHI-NKB5200-F</v>
          </cell>
          <cell r="B2489" t="str">
            <v>Dahua 4D Joystick with 10" LCD display</v>
          </cell>
          <cell r="C2489">
            <v>2</v>
          </cell>
          <cell r="E2489" t="str">
            <v>PCS</v>
          </cell>
          <cell r="F2489" t="str">
            <v>57A, Zone G</v>
          </cell>
          <cell r="G2489" t="str">
            <v>DHI-NKB5200-F</v>
          </cell>
          <cell r="AA2489" t="str">
            <v>DAHUA TECH STOCK</v>
          </cell>
        </row>
        <row r="2490">
          <cell r="A2490" t="str">
            <v>DHI-LS550KDH-UF</v>
          </cell>
          <cell r="B2490" t="str">
            <v>DHI-LS550KDH-UF</v>
          </cell>
          <cell r="C2490">
            <v>18</v>
          </cell>
          <cell r="E2490" t="str">
            <v>PCS</v>
          </cell>
          <cell r="F2490" t="str">
            <v>Zone G</v>
          </cell>
          <cell r="G2490" t="str">
            <v>DHI-LS550KDH-UF</v>
          </cell>
          <cell r="AA2490" t="str">
            <v>DAHUA TECH STOCK</v>
          </cell>
        </row>
        <row r="2491">
          <cell r="A2491" t="str">
            <v>LS550-WX4</v>
          </cell>
          <cell r="B2491" t="str">
            <v>LS550-WX4</v>
          </cell>
          <cell r="C2491">
            <v>5</v>
          </cell>
          <cell r="E2491" t="str">
            <v>PCS</v>
          </cell>
          <cell r="F2491" t="str">
            <v>Zone G</v>
          </cell>
          <cell r="G2491" t="str">
            <v>LS550-WX4</v>
          </cell>
          <cell r="AA2491" t="str">
            <v>DAHUA TECH STOCK</v>
          </cell>
        </row>
        <row r="2492">
          <cell r="A2492" t="str">
            <v>LS550-X4</v>
          </cell>
          <cell r="B2492" t="str">
            <v>LS550-X4</v>
          </cell>
          <cell r="C2492">
            <v>5</v>
          </cell>
          <cell r="E2492" t="str">
            <v>PCS</v>
          </cell>
          <cell r="F2492" t="str">
            <v>Zone G</v>
          </cell>
          <cell r="G2492" t="str">
            <v>LS550-X4</v>
          </cell>
          <cell r="AA2492" t="str">
            <v>DAHUA TECH STOCK</v>
          </cell>
        </row>
        <row r="2493">
          <cell r="A2493" t="str">
            <v>DHI-LM43-F200</v>
          </cell>
          <cell r="B2493" t="str">
            <v>Dahua 43" Screen</v>
          </cell>
          <cell r="C2493">
            <v>0</v>
          </cell>
          <cell r="E2493" t="str">
            <v>PCS</v>
          </cell>
          <cell r="G2493" t="str">
            <v>DHI-LM43-F200</v>
          </cell>
          <cell r="AA2493" t="str">
            <v>DAHUA TECH STOCK</v>
          </cell>
        </row>
        <row r="2494">
          <cell r="A2494" t="str">
            <v>DH-EPC230U-PTZ-IR</v>
          </cell>
          <cell r="B2494" t="str">
            <v>DH-EPC230U-PTZ-IR</v>
          </cell>
          <cell r="C2494">
            <v>0</v>
          </cell>
          <cell r="E2494" t="str">
            <v>PCS</v>
          </cell>
          <cell r="G2494" t="str">
            <v>DH-EPC230U-PTZ-IR</v>
          </cell>
          <cell r="AA2494" t="str">
            <v>DAHUA TECH STOCK</v>
          </cell>
        </row>
        <row r="2495">
          <cell r="A2495" t="str">
            <v>CZ300</v>
          </cell>
          <cell r="B2495" t="str">
            <v>Dahua Ex Proof Junction Box</v>
          </cell>
          <cell r="C2495">
            <v>0</v>
          </cell>
          <cell r="E2495" t="str">
            <v>PCS</v>
          </cell>
          <cell r="G2495" t="str">
            <v>CZ300</v>
          </cell>
          <cell r="AA2495" t="str">
            <v>DAHUA TECH STOCK</v>
          </cell>
        </row>
        <row r="2496">
          <cell r="A2496" t="str">
            <v>DHI-NVR5216-16P-EI</v>
          </cell>
          <cell r="B2496" t="str">
            <v>Dahua 16CH 2HDD 1U NETWORK VIDEO RECORDE</v>
          </cell>
          <cell r="C2496">
            <v>0</v>
          </cell>
          <cell r="E2496" t="str">
            <v>PCS</v>
          </cell>
          <cell r="G2496" t="str">
            <v>DHI-NVR5216-16P-EI</v>
          </cell>
          <cell r="AA2496" t="str">
            <v>DAHUA TECH STOCK</v>
          </cell>
        </row>
        <row r="2497">
          <cell r="A2497" t="str">
            <v>ST10000VE000</v>
          </cell>
          <cell r="B2497" t="str">
            <v>Dahua 10TB HDD</v>
          </cell>
          <cell r="C2497">
            <v>0</v>
          </cell>
          <cell r="E2497" t="str">
            <v>PCS</v>
          </cell>
          <cell r="G2497" t="str">
            <v>ST10000VE000</v>
          </cell>
          <cell r="AA2497" t="str">
            <v>DAHUA TECH STOCK</v>
          </cell>
        </row>
        <row r="2498">
          <cell r="A2498" t="str">
            <v>DH-DSS-C-GB28181/1</v>
          </cell>
          <cell r="B2498" t="str">
            <v>DH-DSS-C-Video-GB28181/100</v>
          </cell>
          <cell r="C2498">
            <v>0</v>
          </cell>
          <cell r="E2498" t="str">
            <v>PCS</v>
          </cell>
          <cell r="G2498" t="str">
            <v>DH-DSS-C-GB28181/1</v>
          </cell>
          <cell r="AA2498" t="str">
            <v>DAHUA TECH STOCK</v>
          </cell>
        </row>
        <row r="2499">
          <cell r="A2499" t="str">
            <v>DHI-NVR5208-EI</v>
          </cell>
          <cell r="B2499" t="str">
            <v>8CH 2HDD 1U Network Video Recorder</v>
          </cell>
          <cell r="C2499">
            <v>0</v>
          </cell>
          <cell r="E2499" t="str">
            <v>PCS</v>
          </cell>
          <cell r="G2499" t="str">
            <v>HDI-NVR5208-EI</v>
          </cell>
          <cell r="AA2499" t="str">
            <v>DAHUA TECH STOCK</v>
          </cell>
        </row>
        <row r="2500">
          <cell r="A2500" t="str">
            <v>DHI-DS04-AI400</v>
          </cell>
          <cell r="B2500" t="str">
            <v>4K Distributed Android Media Player Box</v>
          </cell>
          <cell r="C2500">
            <v>0</v>
          </cell>
          <cell r="E2500" t="str">
            <v>PCS</v>
          </cell>
          <cell r="G2500" t="str">
            <v>DHI-DS04-AI400</v>
          </cell>
          <cell r="AA2500" t="str">
            <v>DAHUA TECH STOCK</v>
          </cell>
        </row>
        <row r="2501">
          <cell r="A2501" t="str">
            <v>H_20XRJ45</v>
          </cell>
          <cell r="B2501" t="str">
            <v>20 * RJ45 sending, with a maximum load</v>
          </cell>
          <cell r="C2501">
            <v>0</v>
          </cell>
          <cell r="E2501" t="str">
            <v>PCS</v>
          </cell>
          <cell r="G2501" t="str">
            <v>H_20XRJ45</v>
          </cell>
          <cell r="AA2501" t="str">
            <v>DAHUA TECH STOCK</v>
          </cell>
        </row>
        <row r="2502">
          <cell r="A2502" t="str">
            <v>H_4XHDMI</v>
          </cell>
          <cell r="B2502" t="str">
            <v>H_4xHDMI input card</v>
          </cell>
          <cell r="C2502">
            <v>0</v>
          </cell>
          <cell r="E2502" t="str">
            <v>PCS</v>
          </cell>
          <cell r="G2502" t="str">
            <v>H_4XHDMI</v>
          </cell>
          <cell r="AA2502" t="str">
            <v>DAHUA TECH STOCK</v>
          </cell>
        </row>
        <row r="2503">
          <cell r="A2503" t="str">
            <v>H5</v>
          </cell>
          <cell r="B2503" t="str">
            <v>Maximum load 26 million pixels, 2U chass</v>
          </cell>
          <cell r="C2503">
            <v>0</v>
          </cell>
          <cell r="E2503" t="str">
            <v>PCS</v>
          </cell>
          <cell r="G2503" t="str">
            <v>H5</v>
          </cell>
          <cell r="AA2503" t="str">
            <v>DAHUA TECH STOCK</v>
          </cell>
        </row>
        <row r="2504">
          <cell r="A2504" t="str">
            <v>DHI-PHSIA1.2-CH</v>
          </cell>
          <cell r="B2504" t="str">
            <v>Pixel Pitch: 1.25mm,Screen 4800 * 1890 C</v>
          </cell>
          <cell r="C2504">
            <v>0</v>
          </cell>
          <cell r="E2504" t="str">
            <v>PCS</v>
          </cell>
          <cell r="G2504" t="str">
            <v>DHI-PHSIA1.2-CH</v>
          </cell>
          <cell r="AA2504" t="str">
            <v>DAHUA TECH STOCK</v>
          </cell>
        </row>
        <row r="2505">
          <cell r="A2505" t="str">
            <v>H_1xHDMI2.0+1xDP1.2</v>
          </cell>
          <cell r="B2505" t="str">
            <v>H_1*hdmi2+1*dp1.2</v>
          </cell>
          <cell r="C2505">
            <v>0</v>
          </cell>
          <cell r="E2505" t="str">
            <v>PCS</v>
          </cell>
          <cell r="G2505" t="str">
            <v>H_1XHDMI2.0+1XDP</v>
          </cell>
          <cell r="AA2505" t="str">
            <v>DAHUA TECH STOCK</v>
          </cell>
        </row>
        <row r="2506">
          <cell r="A2506" t="str">
            <v>DHI-PHSIA0.9-CH</v>
          </cell>
          <cell r="B2506" t="str">
            <v>10240 * 2160, Cabinet Quanity: 96 set (6</v>
          </cell>
          <cell r="C2506">
            <v>0</v>
          </cell>
          <cell r="E2506" t="str">
            <v>PCS</v>
          </cell>
          <cell r="G2506" t="str">
            <v>DHI-PHSIA0.9-CH.</v>
          </cell>
          <cell r="AA2506" t="str">
            <v>DAHUA TECH STOCK</v>
          </cell>
        </row>
        <row r="2507">
          <cell r="A2507" t="str">
            <v>DH-IPC-PFW83242-A180-S2</v>
          </cell>
          <cell r="B2507" t="str">
            <v>4 X 8 MP Multi - Sensor Panoramic Bullet</v>
          </cell>
          <cell r="C2507">
            <v>0</v>
          </cell>
          <cell r="E2507" t="str">
            <v>PCS</v>
          </cell>
          <cell r="G2507" t="str">
            <v>DHI-IPC-PFW83242-A</v>
          </cell>
          <cell r="AA2507" t="str">
            <v>DAHUA TECH STOCK</v>
          </cell>
        </row>
        <row r="2508">
          <cell r="A2508" t="str">
            <v>DHI-ASI2212H-W</v>
          </cell>
          <cell r="B2508" t="str">
            <v>DHI-ASI2212H-W</v>
          </cell>
          <cell r="C2508">
            <v>0</v>
          </cell>
          <cell r="E2508" t="str">
            <v>PCS</v>
          </cell>
          <cell r="G2508" t="str">
            <v>DHI-ASI2212H-W</v>
          </cell>
          <cell r="AA2508" t="str">
            <v>DAHUA TECH STOCK</v>
          </cell>
        </row>
        <row r="2509">
          <cell r="A2509" t="str">
            <v>DHI-ARK50C</v>
          </cell>
          <cell r="B2509" t="str">
            <v>DHI-ARK50C</v>
          </cell>
          <cell r="C2509">
            <v>0</v>
          </cell>
          <cell r="E2509" t="str">
            <v>PCS</v>
          </cell>
          <cell r="G2509" t="str">
            <v>DHI-ARK50C</v>
          </cell>
          <cell r="AA2509" t="str">
            <v>DAHUA TECH STOCK</v>
          </cell>
        </row>
        <row r="2510">
          <cell r="A2510" t="str">
            <v>DH-LR1002-1ET</v>
          </cell>
          <cell r="B2510" t="str">
            <v>DH-LR1002-1ET-V3</v>
          </cell>
          <cell r="C2510">
            <v>0</v>
          </cell>
          <cell r="E2510" t="str">
            <v>PCS</v>
          </cell>
          <cell r="G2510" t="str">
            <v>DH-LR1002-1ET</v>
          </cell>
          <cell r="AA2510" t="str">
            <v>DAHUA TECH STOCK</v>
          </cell>
        </row>
        <row r="2511">
          <cell r="A2511" t="str">
            <v>DH-LR1002-1EC</v>
          </cell>
          <cell r="B2511" t="str">
            <v>DH-LR1002-1EC-V3</v>
          </cell>
          <cell r="C2511">
            <v>0</v>
          </cell>
          <cell r="E2511" t="str">
            <v>PCS</v>
          </cell>
          <cell r="G2511" t="str">
            <v>DH-LR1002-1EC</v>
          </cell>
          <cell r="AA2511" t="str">
            <v>DAHUA TECH STOCK</v>
          </cell>
        </row>
        <row r="2512">
          <cell r="A2512" t="str">
            <v>DHI-TPC-PT8641D</v>
          </cell>
          <cell r="B2512" t="str">
            <v>DHI-TPC-PT8641D-BM75Z56L2-BM-AC-DC48-S23</v>
          </cell>
          <cell r="C2512">
            <v>0</v>
          </cell>
          <cell r="E2512" t="str">
            <v>PCS</v>
          </cell>
          <cell r="G2512" t="str">
            <v>DHI-TPC-PT8641D</v>
          </cell>
          <cell r="AA2512" t="str">
            <v>DAHUA TECH STOCK</v>
          </cell>
        </row>
        <row r="2513">
          <cell r="A2513" t="str">
            <v>DH-ARD313</v>
          </cell>
          <cell r="B2513" t="str">
            <v>DH-ARD313</v>
          </cell>
          <cell r="C2513">
            <v>0</v>
          </cell>
          <cell r="E2513" t="str">
            <v>PCS</v>
          </cell>
          <cell r="G2513" t="str">
            <v>DH-ARD313</v>
          </cell>
          <cell r="AA2513" t="str">
            <v>DAHUA TECH STOCK</v>
          </cell>
        </row>
        <row r="2514">
          <cell r="A2514" t="str">
            <v>VTM52R2</v>
          </cell>
          <cell r="B2514" t="str">
            <v>VTM52R2</v>
          </cell>
          <cell r="C2514">
            <v>0</v>
          </cell>
          <cell r="E2514" t="str">
            <v>PCS</v>
          </cell>
          <cell r="G2514" t="str">
            <v>VTM52R2</v>
          </cell>
          <cell r="AA2514" t="str">
            <v>DAHUA TECH STOCK</v>
          </cell>
        </row>
        <row r="2515">
          <cell r="A2515" t="str">
            <v>DH-IPC-HDBW5541R-ASE</v>
          </cell>
          <cell r="B2515" t="str">
            <v>DH-IPC-HDBW5541RP-ASE-0280B-S3</v>
          </cell>
          <cell r="C2515">
            <v>0</v>
          </cell>
          <cell r="E2515" t="str">
            <v>PCS</v>
          </cell>
          <cell r="G2515" t="str">
            <v>DH-IPC-HDBW5541R</v>
          </cell>
          <cell r="AA2515" t="str">
            <v>DAHUA TECH STOCK</v>
          </cell>
        </row>
        <row r="2516">
          <cell r="A2516" t="str">
            <v>DHI-VTO4201F-P</v>
          </cell>
          <cell r="B2516" t="str">
            <v>DHI-VTO4201F-P</v>
          </cell>
          <cell r="C2516">
            <v>0</v>
          </cell>
          <cell r="E2516" t="str">
            <v>PCS</v>
          </cell>
          <cell r="G2516" t="str">
            <v>DHI-VTO4201F-P</v>
          </cell>
          <cell r="AA2516" t="str">
            <v>DAHUA TECH STOCK</v>
          </cell>
        </row>
        <row r="2517">
          <cell r="A2517" t="str">
            <v>ASF905</v>
          </cell>
          <cell r="B2517" t="str">
            <v>ASF905</v>
          </cell>
          <cell r="C2517">
            <v>0</v>
          </cell>
          <cell r="E2517" t="str">
            <v>PCS</v>
          </cell>
          <cell r="G2517" t="str">
            <v>ASF905</v>
          </cell>
          <cell r="AA2517" t="str">
            <v>DAHUA TECH STOCK</v>
          </cell>
        </row>
        <row r="2518">
          <cell r="A2518" t="str">
            <v>DHI-VTO4202F-MN</v>
          </cell>
          <cell r="B2518" t="str">
            <v>DHI-VTO4202F-MN</v>
          </cell>
          <cell r="C2518">
            <v>0</v>
          </cell>
          <cell r="E2518" t="str">
            <v>PCS</v>
          </cell>
          <cell r="G2518" t="str">
            <v>DHI-VTO4202F-MN</v>
          </cell>
          <cell r="AA2518" t="str">
            <v>DAHUA TECH STOCK</v>
          </cell>
        </row>
        <row r="2519">
          <cell r="A2519" t="str">
            <v>DHI-VTO4202F-MB2</v>
          </cell>
          <cell r="B2519" t="str">
            <v>DHI-VTO4202F-MB2</v>
          </cell>
          <cell r="C2519">
            <v>0</v>
          </cell>
          <cell r="E2519" t="str">
            <v>PCS</v>
          </cell>
          <cell r="G2519" t="str">
            <v>DHI-VTO4202F-MB2</v>
          </cell>
          <cell r="AA2519" t="str">
            <v>DAHUA TECH STOCK</v>
          </cell>
        </row>
        <row r="2520">
          <cell r="A2520" t="str">
            <v>DH-PFB301S-E</v>
          </cell>
          <cell r="B2520" t="str">
            <v>DH-PFB301S-E</v>
          </cell>
          <cell r="C2520">
            <v>0</v>
          </cell>
          <cell r="E2520" t="str">
            <v>PCS</v>
          </cell>
          <cell r="G2520" t="str">
            <v>DH-PFB301S-E</v>
          </cell>
          <cell r="AA2520" t="str">
            <v>DAHUA TECH STOCK</v>
          </cell>
        </row>
        <row r="2521">
          <cell r="A2521" t="str">
            <v>DH-PFA137</v>
          </cell>
          <cell r="B2521" t="str">
            <v>DH-PFA137</v>
          </cell>
          <cell r="C2521">
            <v>0</v>
          </cell>
          <cell r="E2521" t="str">
            <v>PCS</v>
          </cell>
          <cell r="G2521" t="str">
            <v>DH-PFA137</v>
          </cell>
          <cell r="AA2521" t="str">
            <v>DAHUA TECH STOCK</v>
          </cell>
        </row>
        <row r="2522">
          <cell r="A2522" t="str">
            <v>DHI-TPC-BF5401</v>
          </cell>
          <cell r="B2522" t="str">
            <v>DHI-TPC-BF5401-B25-BC-S2</v>
          </cell>
          <cell r="C2522">
            <v>0</v>
          </cell>
          <cell r="E2522" t="str">
            <v>PCS</v>
          </cell>
          <cell r="G2522" t="str">
            <v>DHI-TPC-BF5401</v>
          </cell>
          <cell r="AA2522" t="str">
            <v>DAHUA TECH STOCK</v>
          </cell>
        </row>
        <row r="2523">
          <cell r="A2523" t="str">
            <v>DHI-ASI8213S-W</v>
          </cell>
          <cell r="B2523" t="str">
            <v>DHI-ASI8213S-W-V1</v>
          </cell>
          <cell r="C2523">
            <v>0</v>
          </cell>
          <cell r="E2523" t="str">
            <v>PCS</v>
          </cell>
          <cell r="G2523" t="str">
            <v>DHI-ASI8213S-W</v>
          </cell>
          <cell r="AA2523" t="str">
            <v>DAHUA TECH STOCK</v>
          </cell>
        </row>
        <row r="2524">
          <cell r="A2524" t="str">
            <v>DH-SD6AL445GB-HNV</v>
          </cell>
          <cell r="B2524" t="str">
            <v>DH-SD6AL445GB-HNV</v>
          </cell>
          <cell r="C2524">
            <v>22</v>
          </cell>
          <cell r="E2524" t="str">
            <v>PCS</v>
          </cell>
          <cell r="F2524" t="str">
            <v>56B</v>
          </cell>
          <cell r="G2524" t="str">
            <v>DH-SD6AL445GB-HNV</v>
          </cell>
          <cell r="AA2524" t="str">
            <v>DAHUA TECH STOCK</v>
          </cell>
        </row>
        <row r="2525">
          <cell r="A2525" t="str">
            <v>VTM125</v>
          </cell>
          <cell r="B2525" t="str">
            <v>VTM125</v>
          </cell>
          <cell r="C2525">
            <v>0</v>
          </cell>
          <cell r="E2525" t="str">
            <v>PCS</v>
          </cell>
          <cell r="G2525" t="str">
            <v>VTM125</v>
          </cell>
          <cell r="AA2525" t="str">
            <v>DAHUA TECH STOCK</v>
          </cell>
        </row>
        <row r="2526">
          <cell r="A2526" t="str">
            <v>DHI-EVS7124S</v>
          </cell>
          <cell r="B2526" t="str">
            <v>DHI-EVS7124S</v>
          </cell>
          <cell r="C2526">
            <v>0</v>
          </cell>
          <cell r="E2526" t="str">
            <v>PCS</v>
          </cell>
          <cell r="G2526" t="str">
            <v>DHI-EVS7124S</v>
          </cell>
          <cell r="AA2526" t="str">
            <v>DAHUA TECH STOCK</v>
          </cell>
        </row>
        <row r="2527">
          <cell r="A2527" t="str">
            <v>DH-S5500-24GF4XF-E</v>
          </cell>
          <cell r="B2527" t="str">
            <v>DH-S5500-24GF4XF-E-V2</v>
          </cell>
          <cell r="C2527">
            <v>0</v>
          </cell>
          <cell r="E2527" t="str">
            <v>PCS</v>
          </cell>
          <cell r="G2527" t="str">
            <v>DH-S5500-24GF4XF</v>
          </cell>
          <cell r="AA2527" t="str">
            <v>DAHUA TECH STOCK</v>
          </cell>
        </row>
        <row r="2528">
          <cell r="A2528" t="str">
            <v>DH-PFS4428-24GT-370</v>
          </cell>
          <cell r="B2528" t="str">
            <v>DH-PFS4428-24GT-370</v>
          </cell>
          <cell r="C2528">
            <v>0</v>
          </cell>
          <cell r="E2528" t="str">
            <v>PCS</v>
          </cell>
          <cell r="G2528" t="str">
            <v>DH-PFS4428-24GT-37</v>
          </cell>
          <cell r="AA2528" t="str">
            <v>DAHUA TECH STOCK</v>
          </cell>
        </row>
        <row r="2529">
          <cell r="A2529" t="str">
            <v>DH-IS4207-4GT-120</v>
          </cell>
          <cell r="B2529" t="str">
            <v>DH-IS4207-4GT-120 7-Port Managed Industr</v>
          </cell>
          <cell r="C2529">
            <v>0</v>
          </cell>
          <cell r="E2529" t="str">
            <v>PCS</v>
          </cell>
          <cell r="G2529" t="str">
            <v>DH-IS4207-4GT-120</v>
          </cell>
          <cell r="AA2529" t="str">
            <v>DAHUA TECH STOCK</v>
          </cell>
        </row>
        <row r="2530">
          <cell r="A2530" t="str">
            <v>S7803-MPU</v>
          </cell>
          <cell r="B2530" t="str">
            <v>S7803-MPU-V2</v>
          </cell>
          <cell r="C2530">
            <v>2</v>
          </cell>
          <cell r="E2530" t="str">
            <v>PCS</v>
          </cell>
          <cell r="G2530" t="str">
            <v>S7803-MPU</v>
          </cell>
          <cell r="AA2530" t="str">
            <v>DAHUA TECH STOCK</v>
          </cell>
        </row>
        <row r="2531">
          <cell r="A2531" t="str">
            <v>DH-SG5028X</v>
          </cell>
          <cell r="B2531" t="str">
            <v>DH-SG5028X</v>
          </cell>
          <cell r="C2531">
            <v>2</v>
          </cell>
          <cell r="E2531" t="str">
            <v>PCS</v>
          </cell>
          <cell r="G2531" t="str">
            <v>DH-SG5028X</v>
          </cell>
          <cell r="AA2531" t="str">
            <v>DAHUA TECH STOCK</v>
          </cell>
        </row>
        <row r="2532">
          <cell r="A2532" t="str">
            <v>DH-PFM320D-BS</v>
          </cell>
          <cell r="B2532" t="str">
            <v>DH-PFM320D-BS</v>
          </cell>
          <cell r="C2532">
            <v>51</v>
          </cell>
          <cell r="E2532" t="str">
            <v>PCS</v>
          </cell>
          <cell r="F2532" t="str">
            <v>52C, 54B</v>
          </cell>
          <cell r="G2532" t="str">
            <v>DH-PFM320D-BS</v>
          </cell>
          <cell r="AA2532" t="str">
            <v>DAHUA TECH STOCK</v>
          </cell>
        </row>
        <row r="2533">
          <cell r="A2533" t="str">
            <v>TB40</v>
          </cell>
          <cell r="B2533" t="str">
            <v>Overseas Nova Star TB40 (British Standard)
(1.5.01.98.38864)</v>
          </cell>
          <cell r="C2533">
            <v>1</v>
          </cell>
          <cell r="E2533" t="str">
            <v>PCS</v>
          </cell>
          <cell r="F2533" t="str">
            <v>Zone D</v>
          </cell>
          <cell r="G2533" t="str">
            <v>TB40</v>
          </cell>
          <cell r="AA2533" t="str">
            <v>DAHUA TECH STOCK</v>
          </cell>
        </row>
        <row r="2534">
          <cell r="A2534" t="str">
            <v>DHI-RB100/LS</v>
          </cell>
          <cell r="B2534" t="str">
            <v>storage server qty</v>
          </cell>
          <cell r="C2534">
            <v>2</v>
          </cell>
          <cell r="E2534" t="str">
            <v>PCS</v>
          </cell>
          <cell r="F2534" t="str">
            <v>55B</v>
          </cell>
          <cell r="G2534" t="str">
            <v>DHI-RB100/LS</v>
          </cell>
          <cell r="AA2534" t="str">
            <v>DAHUA TECH STOCK</v>
          </cell>
        </row>
        <row r="2535">
          <cell r="A2535" t="str">
            <v>S78-48GT</v>
          </cell>
          <cell r="B2535" t="str">
            <v>S78-48GT-V2</v>
          </cell>
          <cell r="C2535">
            <v>2</v>
          </cell>
          <cell r="E2535" t="str">
            <v>PCS</v>
          </cell>
          <cell r="G2535" t="str">
            <v>S78-48GT</v>
          </cell>
          <cell r="AA2535" t="str">
            <v>DAHUA TECH STOCK</v>
          </cell>
        </row>
        <row r="2536">
          <cell r="A2536" t="str">
            <v>PFA118</v>
          </cell>
          <cell r="B2536" t="str">
            <v>PFA118</v>
          </cell>
          <cell r="C2536">
            <v>18</v>
          </cell>
          <cell r="E2536" t="str">
            <v>PCS</v>
          </cell>
          <cell r="G2536" t="str">
            <v>PFA118</v>
          </cell>
          <cell r="AA2536" t="str">
            <v>DAHUA TECH STOCK</v>
          </cell>
        </row>
        <row r="2537">
          <cell r="A2537" t="str">
            <v>PFA6400S</v>
          </cell>
          <cell r="B2537" t="str">
            <v>PFA6400S</v>
          </cell>
          <cell r="C2537">
            <v>12</v>
          </cell>
          <cell r="E2537" t="str">
            <v>PCS</v>
          </cell>
          <cell r="F2537" t="str">
            <v>52C</v>
          </cell>
          <cell r="G2537" t="str">
            <v>PFA6400S</v>
          </cell>
          <cell r="AA2537" t="str">
            <v>DAHUA TECH STOCK</v>
          </cell>
        </row>
        <row r="2538">
          <cell r="A2538" t="str">
            <v>DHI-NVD0905DU-4I</v>
          </cell>
          <cell r="B2538" t="str">
            <v>DHI-NVD0905DU-4I</v>
          </cell>
          <cell r="C2538">
            <v>1</v>
          </cell>
          <cell r="E2538" t="str">
            <v>PCS</v>
          </cell>
          <cell r="G2538" t="str">
            <v>DHI-NVD0905DU-4I</v>
          </cell>
          <cell r="AA2538" t="str">
            <v>DAHUA TECH STOCK</v>
          </cell>
        </row>
        <row r="2539">
          <cell r="A2539" t="str">
            <v>DHI-ASF180ZL-V1</v>
          </cell>
          <cell r="B2539" t="str">
            <v>DHI-ASF180ZL-V1</v>
          </cell>
          <cell r="C2539">
            <v>51</v>
          </cell>
          <cell r="E2539" t="str">
            <v>PCS</v>
          </cell>
          <cell r="F2539" t="str">
            <v>52C</v>
          </cell>
          <cell r="G2539" t="str">
            <v>DHI-ASF180ZL-V1</v>
          </cell>
          <cell r="AA2539" t="str">
            <v>DAHUA TECH STOCK</v>
          </cell>
        </row>
        <row r="2540">
          <cell r="A2540" t="str">
            <v>PFB220C</v>
          </cell>
          <cell r="B2540" t="str">
            <v>Ceiling Mount Bracket</v>
          </cell>
          <cell r="C2540">
            <v>122</v>
          </cell>
          <cell r="E2540" t="str">
            <v>PCS</v>
          </cell>
          <cell r="G2540" t="str">
            <v>PFB220C</v>
          </cell>
          <cell r="AA2540" t="str">
            <v>DAHUA TECH STOCK</v>
          </cell>
        </row>
        <row r="2541">
          <cell r="A2541" t="str">
            <v>PFB211W</v>
          </cell>
          <cell r="B2541" t="str">
            <v>Wall mount</v>
          </cell>
          <cell r="C2541">
            <v>196</v>
          </cell>
          <cell r="E2541" t="str">
            <v>PCS</v>
          </cell>
          <cell r="F2541" t="str">
            <v>52C, 53C, 55B</v>
          </cell>
          <cell r="G2541" t="str">
            <v>PFB211W</v>
          </cell>
          <cell r="AA2541" t="str">
            <v>DAHUA TECH STOCK</v>
          </cell>
        </row>
        <row r="2542">
          <cell r="A2542" t="str">
            <v>DHI-ASI3214A-W</v>
          </cell>
          <cell r="B2542" t="str">
            <v>DHI-ASI3214A-W</v>
          </cell>
          <cell r="C2542">
            <v>51</v>
          </cell>
          <cell r="E2542" t="str">
            <v>PCS</v>
          </cell>
          <cell r="F2542" t="str">
            <v>52A</v>
          </cell>
          <cell r="G2542" t="str">
            <v>DHI-ASI3214A-W</v>
          </cell>
          <cell r="AA2542" t="str">
            <v>DAHUA TECH STOCK</v>
          </cell>
        </row>
        <row r="2543">
          <cell r="A2543" t="str">
            <v>DHI-LM27-L200N</v>
          </cell>
          <cell r="B2543" t="str">
            <v>DHI-LM27-L200-V1</v>
          </cell>
          <cell r="C2543">
            <v>10</v>
          </cell>
          <cell r="E2543" t="str">
            <v>PCS</v>
          </cell>
          <cell r="F2543" t="str">
            <v>53A</v>
          </cell>
          <cell r="G2543" t="str">
            <v>DHI-LM27-L200N</v>
          </cell>
          <cell r="AA2543" t="str">
            <v>DAHUA TECH STOCK</v>
          </cell>
        </row>
        <row r="2544">
          <cell r="A2544" t="str">
            <v>DHI-ASF180A-V1</v>
          </cell>
          <cell r="B2544" t="str">
            <v>DHI-ASF180A-V1</v>
          </cell>
          <cell r="C2544">
            <v>51</v>
          </cell>
          <cell r="E2544" t="str">
            <v>PCS</v>
          </cell>
          <cell r="F2544" t="str">
            <v>57B</v>
          </cell>
          <cell r="G2544" t="str">
            <v>DHI-ASF180A-V1</v>
          </cell>
          <cell r="AA2544" t="str">
            <v>DAHUA TECH STOCK</v>
          </cell>
        </row>
        <row r="2545">
          <cell r="A2545" t="str">
            <v>DH-PFB5310C</v>
          </cell>
          <cell r="B2545" t="str">
            <v>DH-PFB5310C</v>
          </cell>
          <cell r="C2545">
            <v>3</v>
          </cell>
          <cell r="E2545" t="str">
            <v>PCS</v>
          </cell>
          <cell r="F2545" t="str">
            <v>55B</v>
          </cell>
          <cell r="G2545" t="str">
            <v>DH-PFB5310C</v>
          </cell>
          <cell r="AA2545" t="str">
            <v>DAHUA TECH STOCK</v>
          </cell>
        </row>
        <row r="2546">
          <cell r="A2546" t="str">
            <v>PFB710C</v>
          </cell>
          <cell r="B2546" t="str">
            <v>PFB710C</v>
          </cell>
          <cell r="C2546">
            <v>18</v>
          </cell>
          <cell r="E2546" t="str">
            <v>PCS</v>
          </cell>
          <cell r="G2546" t="str">
            <v>PFB710C</v>
          </cell>
          <cell r="AA2546" t="str">
            <v>DAHUA TECH STOCK</v>
          </cell>
        </row>
        <row r="2547">
          <cell r="A2547" t="str">
            <v>DHI-VTO6541H-S2</v>
          </cell>
          <cell r="B2547" t="str">
            <v>DHI-VTO6541H-S2</v>
          </cell>
          <cell r="C2547">
            <v>1</v>
          </cell>
          <cell r="E2547" t="str">
            <v>PCS</v>
          </cell>
          <cell r="F2547" t="str">
            <v>55B</v>
          </cell>
          <cell r="G2547" t="str">
            <v>DHI-VTO6541H-S2</v>
          </cell>
          <cell r="AA2547" t="str">
            <v>DAHUA TECH STOCK</v>
          </cell>
        </row>
        <row r="2548">
          <cell r="A2548" t="str">
            <v>DH-IPC-PDBW82041-B360-S2</v>
          </cell>
          <cell r="B2548" t="str">
            <v>DH-IPC-PDBW82041P-B360-E4-2812-S2</v>
          </cell>
          <cell r="C2548">
            <v>10</v>
          </cell>
          <cell r="E2548" t="str">
            <v>PCS</v>
          </cell>
          <cell r="F2548" t="str">
            <v>55B, 57A</v>
          </cell>
          <cell r="G2548" t="str">
            <v>DH-IPC-PDBW82041-B</v>
          </cell>
          <cell r="AA2548" t="str">
            <v>DAHUA TECH STOCK</v>
          </cell>
        </row>
        <row r="2549">
          <cell r="A2549" t="str">
            <v>DH-IPC-HDBW5842R-ASE</v>
          </cell>
          <cell r="B2549" t="str">
            <v>DH-IPC-HDBW5842R-ASE-0600B-S3</v>
          </cell>
          <cell r="C2549">
            <v>127</v>
          </cell>
          <cell r="E2549" t="str">
            <v>PCS</v>
          </cell>
          <cell r="F2549" t="str">
            <v>55B</v>
          </cell>
          <cell r="G2549" t="str">
            <v>DH-IPC-HDBW5842R-A</v>
          </cell>
          <cell r="AA2549" t="str">
            <v>DAHUA TECH STOCK</v>
          </cell>
        </row>
        <row r="2550">
          <cell r="A2550" t="str">
            <v>DHI-IVSS7124-8I</v>
          </cell>
          <cell r="B2550" t="str">
            <v>DHI-IVSS7124-8I</v>
          </cell>
          <cell r="C2550">
            <v>1</v>
          </cell>
          <cell r="E2550" t="str">
            <v>PCS</v>
          </cell>
          <cell r="G2550" t="str">
            <v>DHI-IVSS7124-8I</v>
          </cell>
          <cell r="AA2550" t="str">
            <v>DAHUA TECH STOCK</v>
          </cell>
        </row>
        <row r="2551">
          <cell r="A2551" t="str">
            <v>DHI-ASR2102A</v>
          </cell>
          <cell r="B2551" t="str">
            <v>DHI-ASR2102A</v>
          </cell>
          <cell r="C2551">
            <v>157</v>
          </cell>
          <cell r="E2551" t="str">
            <v>PCS</v>
          </cell>
          <cell r="F2551" t="str">
            <v>55B</v>
          </cell>
          <cell r="G2551" t="str">
            <v>DHI-ASR2102A</v>
          </cell>
          <cell r="AA2551" t="str">
            <v>DAHUA TECH STOCK</v>
          </cell>
        </row>
        <row r="2552">
          <cell r="A2552" t="str">
            <v>DHI-TPC-SD5641</v>
          </cell>
          <cell r="B2552" t="str">
            <v>DHI-TPC-SD5641-B19Z45-DC-S24</v>
          </cell>
          <cell r="C2552">
            <v>1</v>
          </cell>
          <cell r="E2552" t="str">
            <v>PCS</v>
          </cell>
          <cell r="G2552" t="str">
            <v>DHI-TPC-SD5641</v>
          </cell>
          <cell r="AA2552" t="str">
            <v>DAHUA TECH STOCK</v>
          </cell>
        </row>
        <row r="2553">
          <cell r="A2553" t="str">
            <v>ADS-26SGP-12 12024E</v>
          </cell>
          <cell r="B2553" t="str">
            <v>ADS-26SGP-12 12024E</v>
          </cell>
          <cell r="C2553">
            <v>5</v>
          </cell>
          <cell r="E2553" t="str">
            <v>PCS</v>
          </cell>
          <cell r="G2553" t="str">
            <v>DH-PFM320-S</v>
          </cell>
          <cell r="AA2553" t="str">
            <v>DAHUA TECH STOCK</v>
          </cell>
        </row>
        <row r="2554">
          <cell r="A2554" t="str">
            <v>DHI-NVD0605DU-2I</v>
          </cell>
          <cell r="B2554" t="str">
            <v>DHI-NVD0605DU-2I</v>
          </cell>
          <cell r="C2554">
            <v>1</v>
          </cell>
          <cell r="E2554" t="str">
            <v>PCS</v>
          </cell>
          <cell r="G2554" t="str">
            <v>DHI-NVD0605DU-2I</v>
          </cell>
          <cell r="AA2554" t="str">
            <v>DAHUA TECH STOCK</v>
          </cell>
        </row>
        <row r="2555">
          <cell r="A2555" t="str">
            <v>DHI-ASF280B-V1</v>
          </cell>
          <cell r="B2555" t="str">
            <v>DHI-ASF280B-V1</v>
          </cell>
          <cell r="C2555">
            <v>31</v>
          </cell>
          <cell r="E2555" t="str">
            <v>PCS</v>
          </cell>
          <cell r="F2555" t="str">
            <v>55B</v>
          </cell>
          <cell r="G2555" t="str">
            <v>DHI-ASF280B-V1</v>
          </cell>
          <cell r="AA2555" t="str">
            <v>DAHUA TECH STOCK</v>
          </cell>
        </row>
        <row r="2556">
          <cell r="A2556" t="str">
            <v>ST16000NM002H</v>
          </cell>
          <cell r="B2556" t="str">
            <v>ST16000NM002H</v>
          </cell>
          <cell r="C2556">
            <v>0</v>
          </cell>
          <cell r="E2556" t="str">
            <v>PCS</v>
          </cell>
          <cell r="G2556" t="str">
            <v>ST16000NM002H</v>
          </cell>
          <cell r="AA2556" t="str">
            <v>DAHUA TECH STOCK</v>
          </cell>
        </row>
        <row r="2557">
          <cell r="A2557" t="str">
            <v>DHI-ASGB611X-L</v>
          </cell>
          <cell r="B2557" t="str">
            <v>Swing Turnstile Barriers will be closed</v>
          </cell>
          <cell r="C2557">
            <v>0</v>
          </cell>
          <cell r="E2557" t="str">
            <v>PCS</v>
          </cell>
          <cell r="G2557" t="str">
            <v>DHI-ASGB611X-L</v>
          </cell>
          <cell r="AA2557" t="str">
            <v>DAHUA TECH STOCK</v>
          </cell>
        </row>
        <row r="2558">
          <cell r="A2558" t="str">
            <v>DHI-ASGB611X-R</v>
          </cell>
          <cell r="B2558" t="str">
            <v>Swing Turnstile</v>
          </cell>
          <cell r="C2558">
            <v>0</v>
          </cell>
          <cell r="E2558" t="str">
            <v>PCS</v>
          </cell>
          <cell r="G2558" t="str">
            <v>DHI-ASGB611X-R</v>
          </cell>
          <cell r="AA2558" t="str">
            <v>DAHUA TECH STOCK</v>
          </cell>
        </row>
        <row r="2559">
          <cell r="A2559" t="str">
            <v>IPMECD-0322-RM60</v>
          </cell>
          <cell r="B2559" t="str">
            <v>Straight Arm/Folding Arm</v>
          </cell>
          <cell r="C2559">
            <v>0</v>
          </cell>
          <cell r="E2559" t="str">
            <v>PCS</v>
          </cell>
          <cell r="G2559" t="str">
            <v>IPMECD-0322-RM60</v>
          </cell>
          <cell r="AA2559" t="str">
            <v>DAHUA TECH STOCK</v>
          </cell>
        </row>
        <row r="2560">
          <cell r="A2560" t="str">
            <v>DHI-MCC8307-M16S5B7</v>
          </cell>
          <cell r="B2560" t="str">
            <v>High Perfo rmance Desktop Computer</v>
          </cell>
          <cell r="C2560">
            <v>5</v>
          </cell>
          <cell r="E2560" t="str">
            <v>PCS</v>
          </cell>
          <cell r="F2560" t="str">
            <v>Zone D</v>
          </cell>
          <cell r="G2560" t="str">
            <v>DHI-MCC8307-M16S5B</v>
          </cell>
          <cell r="AA2560" t="str">
            <v>DAHUA TECH STOCK</v>
          </cell>
        </row>
        <row r="2561">
          <cell r="A2561" t="str">
            <v>DH-IPC-HFW5541E-ZHE</v>
          </cell>
          <cell r="B2561" t="str">
            <v>5MP IR Vari-focal Bullet WizMind Network</v>
          </cell>
          <cell r="C2561">
            <v>0</v>
          </cell>
          <cell r="E2561" t="str">
            <v>PCS</v>
          </cell>
          <cell r="G2561" t="str">
            <v>DH-IPC-HFW5541E-ZH</v>
          </cell>
          <cell r="AA2561" t="str">
            <v>DAHUA TECH STOCK</v>
          </cell>
        </row>
        <row r="2562">
          <cell r="A2562" t="str">
            <v>DH-SD4A425DB-HNY</v>
          </cell>
          <cell r="B2562" t="str">
            <v>DH-SD4A425DB-HNY</v>
          </cell>
          <cell r="C2562">
            <v>3</v>
          </cell>
          <cell r="E2562" t="str">
            <v>PCS</v>
          </cell>
          <cell r="F2562" t="str">
            <v>54A</v>
          </cell>
          <cell r="G2562" t="str">
            <v>DH-SD4A425DB-HNY</v>
          </cell>
          <cell r="AA2562" t="str">
            <v>DAHUA TECH STOCK</v>
          </cell>
        </row>
        <row r="2563">
          <cell r="A2563" t="str">
            <v>DHI-LPH75-MC420-C</v>
          </cell>
          <cell r="B2563" t="str">
            <v>75 inch Smart Interactive whiteboard</v>
          </cell>
          <cell r="C2563">
            <v>0</v>
          </cell>
          <cell r="E2563" t="str">
            <v>PCS</v>
          </cell>
          <cell r="G2563" t="str">
            <v>DHI-LPH75-MC420-C</v>
          </cell>
          <cell r="AA2563" t="str">
            <v>DAHUA TECH STOCK</v>
          </cell>
        </row>
        <row r="2564">
          <cell r="A2564" t="str">
            <v>DHI-LPH65-MC420-C</v>
          </cell>
          <cell r="B2564" t="str">
            <v>65 inch Smart Interactive whiteboard</v>
          </cell>
          <cell r="C2564">
            <v>0</v>
          </cell>
          <cell r="E2564" t="str">
            <v>PCS</v>
          </cell>
          <cell r="G2564" t="str">
            <v>DHI-LPH65-MC420-C</v>
          </cell>
          <cell r="AA2564" t="str">
            <v>DAHUA TECH STOCK</v>
          </cell>
        </row>
        <row r="2565">
          <cell r="A2565" t="str">
            <v>DHI-PHGIA1.95-SE</v>
          </cell>
          <cell r="B2565" t="str">
            <v>DHI-PHGIA1.95-SE</v>
          </cell>
          <cell r="C2565">
            <v>1</v>
          </cell>
          <cell r="E2565" t="str">
            <v>PCS</v>
          </cell>
          <cell r="F2565" t="str">
            <v>Zone D</v>
          </cell>
          <cell r="G2565" t="str">
            <v>DHI-PHGIA1.95-SE</v>
          </cell>
          <cell r="AA2565" t="str">
            <v>DAHUA TECH STOCK</v>
          </cell>
        </row>
        <row r="2566">
          <cell r="A2566" t="str">
            <v>PFA10C</v>
          </cell>
          <cell r="B2566" t="str">
            <v>Mount Adapter</v>
          </cell>
          <cell r="C2566">
            <v>122</v>
          </cell>
          <cell r="E2566" t="str">
            <v>PCS</v>
          </cell>
          <cell r="F2566" t="str">
            <v>Zone D, 55B</v>
          </cell>
          <cell r="G2566" t="str">
            <v>PFA10C</v>
          </cell>
          <cell r="AA2566" t="str">
            <v>DAHUA TECH STOCK</v>
          </cell>
        </row>
        <row r="2567">
          <cell r="A2567" t="str">
            <v>DHI-LS550UEM-UG</v>
          </cell>
          <cell r="B2567" t="str">
            <v>DHI-LS550UEM-YUG-V3</v>
          </cell>
          <cell r="C2567">
            <v>14</v>
          </cell>
          <cell r="E2567" t="str">
            <v>PCS</v>
          </cell>
          <cell r="F2567" t="str">
            <v>Zone D</v>
          </cell>
          <cell r="G2567" t="str">
            <v>DHI-LS550UEM-UG</v>
          </cell>
          <cell r="AA2567" t="str">
            <v>DAHUA TECH STOCK</v>
          </cell>
        </row>
        <row r="2568">
          <cell r="A2568" t="str">
            <v>DH-SD8A440GA-HNV</v>
          </cell>
          <cell r="B2568" t="str">
            <v>DH-SD8A440GA-HNV</v>
          </cell>
          <cell r="C2568">
            <v>17</v>
          </cell>
          <cell r="E2568" t="str">
            <v>PCS</v>
          </cell>
          <cell r="F2568" t="str">
            <v>Zone D, 52C, 56A</v>
          </cell>
          <cell r="G2568" t="str">
            <v>DH-SD8A440GA-HNV</v>
          </cell>
          <cell r="AA2568" t="str">
            <v>DAHUA TECH STOCK</v>
          </cell>
        </row>
        <row r="2569">
          <cell r="A2569" t="str">
            <v>DH-S7803</v>
          </cell>
          <cell r="B2569" t="str">
            <v>DH-S7803-V2</v>
          </cell>
          <cell r="C2569">
            <v>2</v>
          </cell>
          <cell r="E2569" t="str">
            <v>PCS</v>
          </cell>
          <cell r="F2569" t="str">
            <v>Zone D</v>
          </cell>
          <cell r="G2569" t="str">
            <v>DH-S7803</v>
          </cell>
          <cell r="AA2569" t="str">
            <v>DAHUA TECH STOCK</v>
          </cell>
        </row>
        <row r="2570">
          <cell r="A2570" t="str">
            <v>DH-HS4210-8GT-110</v>
          </cell>
          <cell r="B2570" t="str">
            <v>DH-HS4210-8GT-110</v>
          </cell>
          <cell r="C2570">
            <v>21</v>
          </cell>
          <cell r="E2570" t="str">
            <v>PCS</v>
          </cell>
          <cell r="F2570" t="str">
            <v>Zone D, 54C, 54B</v>
          </cell>
          <cell r="G2570" t="str">
            <v>DH-HS4210-8GT-110</v>
          </cell>
          <cell r="AA2570" t="str">
            <v>DAHUA TECH STOCK</v>
          </cell>
        </row>
        <row r="2571">
          <cell r="A2571" t="str">
            <v>DHI-LM24-F200</v>
          </cell>
          <cell r="B2571" t="str">
            <v>DHI-LM24-F200-C4-V2</v>
          </cell>
          <cell r="C2571">
            <v>5</v>
          </cell>
          <cell r="E2571" t="str">
            <v>PCS</v>
          </cell>
          <cell r="F2571" t="str">
            <v>Zone D</v>
          </cell>
          <cell r="G2571" t="str">
            <v>DHI-LM24-F200</v>
          </cell>
          <cell r="AA2571" t="str">
            <v>DAHUA TECH STOCK</v>
          </cell>
        </row>
        <row r="2572">
          <cell r="A2572" t="str">
            <v>UK PLUG</v>
          </cell>
          <cell r="B2572" t="str">
            <v>UK PLUG (1.2.17.06.0077)</v>
          </cell>
          <cell r="C2572">
            <v>5</v>
          </cell>
          <cell r="E2572" t="str">
            <v>PCS</v>
          </cell>
          <cell r="F2572" t="str">
            <v>Zone D</v>
          </cell>
          <cell r="G2572" t="str">
            <v>UK PLUG</v>
          </cell>
          <cell r="AA2572" t="str">
            <v>DAHUA TECH STOCK</v>
          </cell>
        </row>
        <row r="2573">
          <cell r="A2573" t="str">
            <v>DHI-VTO2211G-P-S2</v>
          </cell>
          <cell r="B2573" t="str">
            <v>DHI-VTO2211G-P-S2</v>
          </cell>
          <cell r="C2573">
            <v>5</v>
          </cell>
          <cell r="E2573" t="str">
            <v>PCS</v>
          </cell>
          <cell r="F2573" t="str">
            <v>Zone D, 55A</v>
          </cell>
          <cell r="G2573" t="str">
            <v>DHI-VTO2211G-P-S</v>
          </cell>
          <cell r="AA2573" t="str">
            <v>DAHUA TECH STOCK</v>
          </cell>
        </row>
        <row r="2574">
          <cell r="A2574" t="str">
            <v>ASF280L</v>
          </cell>
          <cell r="B2574" t="str">
            <v>Intelligent Building-ASF280L</v>
          </cell>
          <cell r="C2574">
            <v>0</v>
          </cell>
          <cell r="E2574" t="str">
            <v>PCS</v>
          </cell>
          <cell r="G2574" t="str">
            <v>ASF280L</v>
          </cell>
          <cell r="AA2574" t="str">
            <v>DAHUA TECH STOCK</v>
          </cell>
        </row>
        <row r="2575">
          <cell r="A2575" t="str">
            <v>DH-IPC-EBW81242-AS- S2</v>
          </cell>
          <cell r="B2575" t="str">
            <v>DH-IPC-EBW81242P-AS-S2</v>
          </cell>
          <cell r="C2575">
            <v>22</v>
          </cell>
          <cell r="E2575" t="str">
            <v>PCS</v>
          </cell>
          <cell r="F2575" t="str">
            <v>127C</v>
          </cell>
          <cell r="G2575" t="str">
            <v>DH-IPC-EBW81242-AS</v>
          </cell>
          <cell r="AA2575" t="str">
            <v>DAHUA TECH STOCK</v>
          </cell>
        </row>
        <row r="2576">
          <cell r="A2576" t="str">
            <v>DH-IPC-HDBW7442E1-Z-X</v>
          </cell>
          <cell r="C2576">
            <v>0</v>
          </cell>
          <cell r="E2576" t="str">
            <v>PCS</v>
          </cell>
          <cell r="G2576" t="str">
            <v>DH-IPC-HDBW7442E1</v>
          </cell>
          <cell r="AA2576" t="str">
            <v>DAHUA TECH STOCK</v>
          </cell>
        </row>
        <row r="2577">
          <cell r="A2577" t="str">
            <v>DH-IPC-HFW7842H-Z4- X</v>
          </cell>
          <cell r="C2577">
            <v>0</v>
          </cell>
          <cell r="E2577" t="str">
            <v>PCS</v>
          </cell>
          <cell r="G2577" t="str">
            <v>DH-IPC-HFW7842H-Z-</v>
          </cell>
          <cell r="AA2577" t="str">
            <v>DAHUA TECH STOCK</v>
          </cell>
        </row>
        <row r="2578">
          <cell r="A2578" t="str">
            <v>DH-PFA101</v>
          </cell>
          <cell r="B2578" t="str">
            <v>DH-PFA101</v>
          </cell>
          <cell r="C2578">
            <v>0</v>
          </cell>
          <cell r="E2578" t="str">
            <v>PCS</v>
          </cell>
          <cell r="G2578" t="str">
            <v>DH-PFA101</v>
          </cell>
          <cell r="AA2578" t="str">
            <v>DAHUA TECH STOCK</v>
          </cell>
        </row>
        <row r="2579">
          <cell r="A2579" t="str">
            <v>DH-PFA153A</v>
          </cell>
          <cell r="B2579" t="str">
            <v>DH-PFA153A</v>
          </cell>
          <cell r="C2579">
            <v>0</v>
          </cell>
          <cell r="E2579" t="str">
            <v>PCS</v>
          </cell>
          <cell r="G2579" t="str">
            <v>DH-PFA153A</v>
          </cell>
          <cell r="AA2579" t="str">
            <v>DAHUA TECH STOCK</v>
          </cell>
        </row>
        <row r="2580">
          <cell r="A2580" t="str">
            <v>DH-PFC102F</v>
          </cell>
          <cell r="B2580" t="str">
            <v>DH-PFC102F</v>
          </cell>
          <cell r="C2580">
            <v>0</v>
          </cell>
          <cell r="E2580" t="str">
            <v>PCS</v>
          </cell>
          <cell r="G2580" t="str">
            <v>DH-PFC102F</v>
          </cell>
          <cell r="AA2580" t="str">
            <v>DAHUA TECH STOCK</v>
          </cell>
        </row>
        <row r="2581">
          <cell r="A2581" t="str">
            <v>EDF-240-48</v>
          </cell>
          <cell r="B2581" t="str">
            <v>EDF-240-48</v>
          </cell>
          <cell r="C2581">
            <v>0</v>
          </cell>
          <cell r="E2581" t="str">
            <v>PCS</v>
          </cell>
          <cell r="G2581" t="str">
            <v>EDF-240-48</v>
          </cell>
          <cell r="AA2581" t="str">
            <v>DAHUA TECH STOCK</v>
          </cell>
        </row>
        <row r="2582">
          <cell r="A2582" t="str">
            <v>ASF-BZB-A900A</v>
          </cell>
          <cell r="B2582" t="str">
            <v>ASF-BZB-A900A</v>
          </cell>
          <cell r="C2582">
            <v>2</v>
          </cell>
          <cell r="E2582" t="str">
            <v>PCS</v>
          </cell>
          <cell r="F2582" t="str">
            <v>127B</v>
          </cell>
          <cell r="G2582" t="str">
            <v>ASF-BZB-A900A</v>
          </cell>
          <cell r="AA2582" t="str">
            <v>DAHUA TECH STOCK</v>
          </cell>
        </row>
        <row r="2583">
          <cell r="A2583" t="str">
            <v>IPMECD-301X-01</v>
          </cell>
          <cell r="B2583" t="str">
            <v>IPMECD-301X-01</v>
          </cell>
          <cell r="C2583">
            <v>0</v>
          </cell>
          <cell r="E2583" t="str">
            <v>PCS</v>
          </cell>
          <cell r="G2583" t="str">
            <v>IPMECD-301X-01</v>
          </cell>
          <cell r="AA2583" t="str">
            <v>DAHUA TECH STOCK</v>
          </cell>
        </row>
        <row r="2584">
          <cell r="A2584" t="str">
            <v>DH-PSDW83242M-A360- D845L-S3</v>
          </cell>
          <cell r="B2584" t="str">
            <v>DH-PSDW83242MP-A360-D845L-DC36V-ATC-S3</v>
          </cell>
          <cell r="C2584">
            <v>0</v>
          </cell>
          <cell r="E2584" t="str">
            <v>PCS</v>
          </cell>
          <cell r="G2584" t="str">
            <v>DH-PSDW83242M-A360- D845L-S3</v>
          </cell>
          <cell r="AA2584" t="str">
            <v>DAHUA TECH STOCK</v>
          </cell>
        </row>
        <row r="2585">
          <cell r="A2585" t="str">
            <v>DH-SD6C3432GB-HNR- A-PV1</v>
          </cell>
          <cell r="B2585" t="str">
            <v>4MP 32 Starlight TiOC NETWORK PTZ CAMERA</v>
          </cell>
          <cell r="C2585">
            <v>1</v>
          </cell>
          <cell r="E2585" t="str">
            <v>PCS</v>
          </cell>
          <cell r="F2585" t="str">
            <v>127C</v>
          </cell>
          <cell r="G2585" t="str">
            <v>DH-SD6C3432GB-HNR- A-PV1</v>
          </cell>
          <cell r="AA2585" t="str">
            <v>DAHUA TECH STOCK</v>
          </cell>
        </row>
        <row r="2586">
          <cell r="A2586" t="str">
            <v>DHI-PHSIA1.2-AH-M</v>
          </cell>
          <cell r="B2586" t="str">
            <v>DHI-PHSIA1.2-AH-M</v>
          </cell>
          <cell r="C2586">
            <v>0</v>
          </cell>
          <cell r="E2586" t="str">
            <v>PCS</v>
          </cell>
          <cell r="G2586" t="str">
            <v>DHI-PHSIA1.2-AH-M</v>
          </cell>
          <cell r="AA2586" t="str">
            <v>DAHUA TECH STOCK</v>
          </cell>
        </row>
        <row r="2587">
          <cell r="A2587" t="str">
            <v>DHI-PHSIC1.2-AH</v>
          </cell>
          <cell r="B2587" t="str">
            <v>DHI-PHSIC1.2-AH</v>
          </cell>
          <cell r="C2587">
            <v>0</v>
          </cell>
          <cell r="E2587" t="str">
            <v>PCS</v>
          </cell>
          <cell r="G2587" t="str">
            <v>DHI-PHSIC1.2-AH</v>
          </cell>
          <cell r="AA2587" t="str">
            <v>DAHUA TECH STOCK</v>
          </cell>
        </row>
        <row r="2588">
          <cell r="A2588" t="str">
            <v>DHI-PHSNO15-AH</v>
          </cell>
          <cell r="B2588" t="str">
            <v>DHI-SNO0.9/1.2/1.5-CH-V2</v>
          </cell>
          <cell r="C2588">
            <v>0</v>
          </cell>
          <cell r="E2588" t="str">
            <v>PCS</v>
          </cell>
          <cell r="G2588" t="str">
            <v>DHI-PHSNO15-AH</v>
          </cell>
          <cell r="AA2588" t="str">
            <v>DAHUA TECH STOCK</v>
          </cell>
        </row>
        <row r="2589">
          <cell r="A2589" t="str">
            <v>DHI-PHSPL10-AH</v>
          </cell>
          <cell r="B2589" t="str">
            <v>DHI-SPL0.9/1.2/1.5-CH-V2</v>
          </cell>
          <cell r="C2589">
            <v>0</v>
          </cell>
          <cell r="E2589" t="str">
            <v>PCS</v>
          </cell>
          <cell r="G2589" t="str">
            <v>DHI-PHSPL10-AH</v>
          </cell>
          <cell r="AA2589" t="str">
            <v>DAHUA TECH STOCK</v>
          </cell>
        </row>
        <row r="2590">
          <cell r="A2590" t="str">
            <v>DHI-PHSSB1.2-AH</v>
          </cell>
          <cell r="B2590" t="str">
            <v>DHI-SSB1.2-CH-V2</v>
          </cell>
          <cell r="C2590">
            <v>0</v>
          </cell>
          <cell r="E2590" t="str">
            <v>PCS</v>
          </cell>
          <cell r="G2590" t="str">
            <v>DHI-PHSSB1.2-AH</v>
          </cell>
          <cell r="AA2590" t="str">
            <v>DAHUA TECH STOCK</v>
          </cell>
        </row>
        <row r="2591">
          <cell r="A2591" t="str">
            <v>DHI-PHSSM1.2-AH</v>
          </cell>
          <cell r="B2591" t="str">
            <v>DHI-PHSSM1.2-AH</v>
          </cell>
          <cell r="C2591">
            <v>0</v>
          </cell>
          <cell r="E2591" t="str">
            <v>PCS</v>
          </cell>
          <cell r="G2591" t="str">
            <v>DHI-PHSSM1.2-AH</v>
          </cell>
          <cell r="AA2591" t="str">
            <v>DAHUA TECH STOCK</v>
          </cell>
        </row>
        <row r="2592">
          <cell r="A2592" t="str">
            <v>DHI-PHSTK-AH</v>
          </cell>
          <cell r="B2592" t="str">
            <v>DHI-STK0.9/1.2/1.5-CH-V2</v>
          </cell>
          <cell r="C2592">
            <v>0</v>
          </cell>
          <cell r="E2592" t="str">
            <v>PCS</v>
          </cell>
          <cell r="G2592" t="str">
            <v>DHI-PHSTK-AH</v>
          </cell>
          <cell r="AA2592" t="str">
            <v>DAHUA TECH STOCK</v>
          </cell>
        </row>
        <row r="2593">
          <cell r="A2593" t="str">
            <v>H2</v>
          </cell>
          <cell r="B2593" t="str">
            <v>H2-Controller</v>
          </cell>
          <cell r="C2593">
            <v>0</v>
          </cell>
          <cell r="E2593" t="str">
            <v>PCS</v>
          </cell>
          <cell r="G2593" t="str">
            <v>H2</v>
          </cell>
          <cell r="AA2593" t="str">
            <v>DAHUA TECH STOCK</v>
          </cell>
        </row>
        <row r="2594">
          <cell r="A2594" t="str">
            <v>DH-PFA112</v>
          </cell>
          <cell r="B2594" t="str">
            <v>DH-PFA112-Accessory</v>
          </cell>
          <cell r="C2594">
            <v>0</v>
          </cell>
          <cell r="E2594" t="str">
            <v>PCS</v>
          </cell>
          <cell r="G2594" t="str">
            <v>DH-PFA112</v>
          </cell>
          <cell r="AA2594" t="str">
            <v>DAHUA TECH STOCK</v>
          </cell>
        </row>
        <row r="2595">
          <cell r="A2595" t="str">
            <v>DH-PFB300C</v>
          </cell>
          <cell r="B2595" t="str">
            <v>DH-PFB300C-V2</v>
          </cell>
          <cell r="C2595">
            <v>0</v>
          </cell>
          <cell r="E2595" t="str">
            <v>PCS</v>
          </cell>
          <cell r="G2595" t="str">
            <v>DH-PFB300C</v>
          </cell>
          <cell r="AA2595" t="str">
            <v>DAHUA TECH STOCK</v>
          </cell>
        </row>
        <row r="2596">
          <cell r="A2596" t="str">
            <v>DH-SDT8C842-8P-FA-APV-0280</v>
          </cell>
          <cell r="B2596" t="str">
            <v>DH-SDT8C842-8P-FA-APV-0280</v>
          </cell>
          <cell r="C2596">
            <v>0</v>
          </cell>
          <cell r="E2596" t="str">
            <v>PCS</v>
          </cell>
          <cell r="G2596" t="str">
            <v>DH-SDT8C842-8P-FA</v>
          </cell>
          <cell r="AA2596" t="str">
            <v>DAHUA TECH STOCK</v>
          </cell>
        </row>
        <row r="2597">
          <cell r="A2597" t="str">
            <v>DHI-ASI7214S-W</v>
          </cell>
          <cell r="B2597" t="str">
            <v>Dahua Face Recognition,Card Swiping,Pass</v>
          </cell>
          <cell r="C2597">
            <v>1</v>
          </cell>
          <cell r="E2597" t="str">
            <v>PCS</v>
          </cell>
          <cell r="G2597" t="str">
            <v>DHI-ASI7214S-W</v>
          </cell>
          <cell r="AA2597" t="str">
            <v>DAHUA TECH STOCK</v>
          </cell>
        </row>
        <row r="2598">
          <cell r="A2598" t="str">
            <v>DHI-EVS7148D-V2</v>
          </cell>
          <cell r="B2598" t="str">
            <v>DHI-EVS7148D-V2</v>
          </cell>
          <cell r="C2598">
            <v>0</v>
          </cell>
          <cell r="E2598" t="str">
            <v>PCS</v>
          </cell>
          <cell r="G2598" t="str">
            <v>DHI-EVS7148D-V2</v>
          </cell>
          <cell r="AA2598" t="str">
            <v>DAHUA TECH STOCK</v>
          </cell>
        </row>
        <row r="2599">
          <cell r="A2599" t="str">
            <v>DHI-IVSS7124DR-16I</v>
          </cell>
          <cell r="B2599" t="str">
            <v>DHI-IVSS7124DR-16I</v>
          </cell>
          <cell r="C2599">
            <v>0</v>
          </cell>
          <cell r="E2599" t="str">
            <v>PCS</v>
          </cell>
          <cell r="G2599" t="str">
            <v>DHI-IVSS7124DR-16I</v>
          </cell>
          <cell r="AA2599" t="str">
            <v>DAHUA TECH STOCK</v>
          </cell>
        </row>
        <row r="2600">
          <cell r="A2600" t="str">
            <v>DHI-NVD1205DU-4I-8K</v>
          </cell>
          <cell r="B2600" t="str">
            <v>DHI-NVD1205DU-4I-8K</v>
          </cell>
          <cell r="C2600">
            <v>0</v>
          </cell>
          <cell r="E2600" t="str">
            <v>PCS</v>
          </cell>
          <cell r="G2600" t="str">
            <v>DHI-NVD1205DU-4I-8</v>
          </cell>
          <cell r="AA2600" t="str">
            <v>DAHUA TECH STOCK</v>
          </cell>
        </row>
        <row r="2601">
          <cell r="A2601" t="str">
            <v>DHI-NVR5208-8P-XI</v>
          </cell>
          <cell r="B2601" t="str">
            <v>8CH 1U 8POE 2HDDs WizMind Network Video</v>
          </cell>
          <cell r="C2601">
            <v>1</v>
          </cell>
          <cell r="E2601" t="str">
            <v>PCS</v>
          </cell>
          <cell r="G2601" t="str">
            <v>DHI-NVR5208-8P-XI</v>
          </cell>
          <cell r="AA2601" t="str">
            <v>DAHUA TECH STOCK</v>
          </cell>
        </row>
        <row r="2602">
          <cell r="A2602" t="str">
            <v>ASF900</v>
          </cell>
          <cell r="B2602" t="str">
            <v>ASF900</v>
          </cell>
          <cell r="C2602">
            <v>0</v>
          </cell>
          <cell r="E2602" t="str">
            <v>PCS</v>
          </cell>
          <cell r="G2602" t="str">
            <v>ASF900</v>
          </cell>
          <cell r="AA2602" t="str">
            <v>DAHUA TECH STOCK</v>
          </cell>
        </row>
        <row r="2603">
          <cell r="A2603" t="str">
            <v>AC100</v>
          </cell>
          <cell r="B2603" t="str">
            <v>AC100</v>
          </cell>
          <cell r="C2603">
            <v>0</v>
          </cell>
          <cell r="E2603" t="str">
            <v>PCS</v>
          </cell>
          <cell r="G2603" t="str">
            <v>AC100</v>
          </cell>
          <cell r="AA2603" t="str">
            <v>DAHUA TECH STOCK</v>
          </cell>
        </row>
        <row r="2604">
          <cell r="A2604" t="str">
            <v>HTI-UC300</v>
          </cell>
          <cell r="B2604" t="str">
            <v>HTI-UC300V1-N</v>
          </cell>
          <cell r="C2604">
            <v>0</v>
          </cell>
          <cell r="E2604" t="str">
            <v>PCS</v>
          </cell>
          <cell r="G2604" t="str">
            <v>HTI-UC300</v>
          </cell>
          <cell r="AA2604" t="str">
            <v>DAHUA TECH STOCK</v>
          </cell>
        </row>
        <row r="2605">
          <cell r="A2605" t="str">
            <v>DHI-ASGF002S</v>
          </cell>
          <cell r="B2605" t="str">
            <v>DHI-ASGF002S</v>
          </cell>
          <cell r="C2605">
            <v>0</v>
          </cell>
          <cell r="E2605" t="str">
            <v>PCS</v>
          </cell>
          <cell r="G2605" t="str">
            <v>DHI-ASGF002S</v>
          </cell>
          <cell r="AA2605" t="str">
            <v>DAHUA TECH STOCK</v>
          </cell>
        </row>
        <row r="2606">
          <cell r="A2606" t="str">
            <v>DHI-ASGF001R</v>
          </cell>
          <cell r="B2606" t="str">
            <v>DHI-ASGF001R</v>
          </cell>
          <cell r="C2606">
            <v>0</v>
          </cell>
          <cell r="E2606" t="str">
            <v>PCS</v>
          </cell>
          <cell r="G2606" t="str">
            <v>DHI-ASGF001R</v>
          </cell>
          <cell r="AA2606" t="str">
            <v>DAHUA TECH STOCK</v>
          </cell>
        </row>
        <row r="2607">
          <cell r="A2607" t="str">
            <v>Part Number</v>
          </cell>
          <cell r="B2607" t="str">
            <v>Material description</v>
          </cell>
          <cell r="C2607" t="str">
            <v>Available Qty</v>
          </cell>
          <cell r="E2607" t="str">
            <v>UOM</v>
          </cell>
          <cell r="F2607" t="str">
            <v>Rack #</v>
          </cell>
          <cell r="G2607" t="str">
            <v>musa</v>
          </cell>
          <cell r="AA2607" t="str">
            <v>eKIT STOCK</v>
          </cell>
        </row>
        <row r="2608">
          <cell r="A2608" t="str">
            <v>02170477</v>
          </cell>
          <cell r="B2608" t="str">
            <v>Media Transfer Unit,Ideashare Key,IdeaShare Key-Type C,1080P,X specs Oversea</v>
          </cell>
          <cell r="C2608" t="str">
            <v>147</v>
          </cell>
          <cell r="E2608" t="str">
            <v>PCS</v>
          </cell>
          <cell r="F2608" t="str">
            <v>66B</v>
          </cell>
          <cell r="G2608" t="str">
            <v>musa</v>
          </cell>
          <cell r="AA2608" t="str">
            <v>eKIT STOCK</v>
          </cell>
        </row>
        <row r="2609">
          <cell r="A2609" t="str">
            <v>02233SSD</v>
          </cell>
          <cell r="B2609" t="str">
            <v>FTTR Active Distribution Unit (ADU),Wall mounting,160*110*32mm,YB816,Plastic,ATB3120-S-8-XC/UPC,Uneven,with Power Adapter,UK Power Cable</v>
          </cell>
          <cell r="C2609" t="str">
            <v>40</v>
          </cell>
          <cell r="E2609" t="str">
            <v>PCS</v>
          </cell>
          <cell r="F2609" t="str">
            <v>89A</v>
          </cell>
          <cell r="G2609" t="str">
            <v>musa</v>
          </cell>
          <cell r="AA2609" t="str">
            <v>eKIT STOCK</v>
          </cell>
        </row>
        <row r="2610">
          <cell r="A2610" t="str">
            <v>02233XSE</v>
          </cell>
          <cell r="B2610" t="str">
            <v>Subassembly|Accessories,F200D-8G,GPON ONU,8GE,SC/UPC,English Documents,UK Plug Adapter</v>
          </cell>
          <cell r="C2610" t="str">
            <v>10</v>
          </cell>
          <cell r="E2610" t="str">
            <v>PCS</v>
          </cell>
          <cell r="F2610" t="str">
            <v>77A</v>
          </cell>
          <cell r="G2610" t="str">
            <v>musa</v>
          </cell>
          <cell r="AA2610" t="str">
            <v>eKIT STOCK</v>
          </cell>
        </row>
        <row r="2611">
          <cell r="A2611" t="str">
            <v>02233XSG</v>
          </cell>
          <cell r="B2611" t="str">
            <v>Subassembly|Accessories,F200D-8P,GPON ONU,8GE,SC/UPC,Obverse POE,English Documents,UK Plug adapter</v>
          </cell>
          <cell r="C2611" t="str">
            <v>50</v>
          </cell>
          <cell r="E2611" t="str">
            <v>PCS</v>
          </cell>
          <cell r="F2611" t="str">
            <v>88B, 89A</v>
          </cell>
          <cell r="G2611" t="str">
            <v>musa</v>
          </cell>
          <cell r="AA2611" t="str">
            <v>eKIT STOCK</v>
          </cell>
        </row>
        <row r="2612">
          <cell r="A2612" t="str">
            <v>02234BBQ</v>
          </cell>
          <cell r="B2612" t="str">
            <v>Subassembly|Accessories,eKitOptiX F600D-30-4G1V,GPON Terminal,SC/UPC,White shell,UK Plug adapter, English Documents</v>
          </cell>
          <cell r="C2612" t="str">
            <v>401</v>
          </cell>
          <cell r="E2612" t="str">
            <v>PCS</v>
          </cell>
          <cell r="F2612" t="str">
            <v>88A, 89A, 91B, 86A</v>
          </cell>
          <cell r="G2612" t="str">
            <v>musa</v>
          </cell>
          <cell r="AA2612" t="str">
            <v>eKIT STOCK</v>
          </cell>
        </row>
        <row r="2613">
          <cell r="A2613" t="str">
            <v>02234BBU</v>
          </cell>
          <cell r="B2613" t="str">
            <v>Subassembly|Accessories,eKitOptiX F100D-4G,GPON ONU,SC/UPC,UK Plug Adapter,English Documents</v>
          </cell>
          <cell r="C2613" t="str">
            <v>11</v>
          </cell>
          <cell r="E2613" t="str">
            <v>PCS</v>
          </cell>
          <cell r="F2613" t="str">
            <v>88C, 89A</v>
          </cell>
          <cell r="G2613" t="str">
            <v>musa</v>
          </cell>
          <cell r="AA2613" t="str">
            <v>eKIT STOCK</v>
          </cell>
        </row>
        <row r="2614">
          <cell r="A2614" t="str">
            <v>02234EEP</v>
          </cell>
          <cell r="B2614" t="str">
            <v>Subassembly|Accessories,eKitOptiX F1002-AC-H1,Uplink SFP(XGE),Downlink 8*GE+2*SFP(GPON)+1*USB3.0,AC,UK Plug adapter</v>
          </cell>
          <cell r="C2614" t="str">
            <v>40</v>
          </cell>
          <cell r="E2614" t="str">
            <v>PCS</v>
          </cell>
          <cell r="F2614" t="str">
            <v>77A</v>
          </cell>
          <cell r="G2614" t="str">
            <v>musa</v>
          </cell>
          <cell r="AA2614" t="str">
            <v>eKIT STOCK</v>
          </cell>
        </row>
        <row r="2615">
          <cell r="A2615" t="str">
            <v>02311VGK</v>
          </cell>
          <cell r="B2615" t="str">
            <v>Function Module,Enterprise Networking Products,SFP-10G-CU0M5,10G SFP+ High speed dedicated stack cable-0.5m</v>
          </cell>
          <cell r="C2615" t="str">
            <v>10</v>
          </cell>
          <cell r="E2615" t="str">
            <v>PCS</v>
          </cell>
          <cell r="F2615" t="str">
            <v>86C</v>
          </cell>
          <cell r="G2615" t="str">
            <v>musa</v>
          </cell>
          <cell r="AA2615" t="str">
            <v>eKIT STOCK</v>
          </cell>
        </row>
        <row r="2616">
          <cell r="A2616" t="str">
            <v>02311VGN</v>
          </cell>
          <cell r="B2616" t="str">
            <v>Function Module,Enterprise Networking Products,SFP-10G-CU1M5,10G SFP+ High speed dedicated stack cable-1.5m</v>
          </cell>
          <cell r="C2616" t="str">
            <v>10</v>
          </cell>
          <cell r="E2616" t="str">
            <v>PCS</v>
          </cell>
          <cell r="F2616" t="str">
            <v>87C</v>
          </cell>
          <cell r="G2616" t="str">
            <v>musa</v>
          </cell>
          <cell r="AA2616" t="str">
            <v>eKIT STOCK</v>
          </cell>
        </row>
        <row r="2617">
          <cell r="A2617" t="str">
            <v>02312SGN</v>
          </cell>
          <cell r="B2617" t="str">
            <v>Functional Module,HUAWEI Mic 500,Microphone Array</v>
          </cell>
          <cell r="C2617" t="str">
            <v>37</v>
          </cell>
          <cell r="E2617" t="str">
            <v>PCS</v>
          </cell>
          <cell r="F2617" t="str">
            <v>65B</v>
          </cell>
          <cell r="G2617" t="str">
            <v>musa</v>
          </cell>
          <cell r="AA2617" t="str">
            <v>eKIT STOCK</v>
          </cell>
        </row>
        <row r="2618">
          <cell r="A2618" t="str">
            <v>02315200</v>
          </cell>
          <cell r="B2618" t="str">
            <v>Switch Products,DP0M0SFP,Optical Transceiver,eSFP,GE,Single-mode Module(1310nm,10km,LC)</v>
          </cell>
          <cell r="C2618" t="str">
            <v>250</v>
          </cell>
          <cell r="E2618" t="str">
            <v>PCS</v>
          </cell>
          <cell r="F2618" t="str">
            <v>88B, Zone F</v>
          </cell>
          <cell r="G2618" t="str">
            <v>musa</v>
          </cell>
          <cell r="AA2618" t="str">
            <v>eKIT STOCK</v>
          </cell>
        </row>
        <row r="2619">
          <cell r="A2619" t="str">
            <v>02318169</v>
          </cell>
          <cell r="B2619" t="str">
            <v>Switch Products,LE0M0XSM88,Optical Transceiver,SFP+,10G,Multi-mode Module(850nm,0.3km,LC)</v>
          </cell>
          <cell r="C2619" t="str">
            <v>100</v>
          </cell>
          <cell r="E2619" t="str">
            <v>PCS</v>
          </cell>
          <cell r="F2619" t="str">
            <v>87C</v>
          </cell>
          <cell r="G2619" t="str">
            <v>musa</v>
          </cell>
          <cell r="AA2619" t="str">
            <v>eKIT STOCK</v>
          </cell>
        </row>
        <row r="2620">
          <cell r="A2620" t="str">
            <v>02354GBG-001</v>
          </cell>
          <cell r="B2620" t="str">
            <v>Assembling Components,AR720,AR720,AR720, 2*GE combo WAN, 8*GE LAN, 2*USB 2.0, 2*SIC</v>
          </cell>
          <cell r="C2620" t="str">
            <v>0</v>
          </cell>
          <cell r="E2620" t="str">
            <v>Power Cable included 04053153</v>
          </cell>
          <cell r="G2620" t="str">
            <v>musa</v>
          </cell>
          <cell r="AA2620" t="str">
            <v>eKIT STOCK</v>
          </cell>
        </row>
        <row r="2621">
          <cell r="A2621" t="str">
            <v>02355NCH</v>
          </cell>
          <cell r="B2621" t="str">
            <v>Assembling Components,AC650-256AP,AC650-256AP,AC650-256AP mainframe (10*GE ports, 2*10GE SFP+ ports, with the AC/DC adapter)</v>
          </cell>
          <cell r="C2621" t="str">
            <v>0</v>
          </cell>
          <cell r="E2621" t="str">
            <v>Power Cord included 04053154</v>
          </cell>
          <cell r="G2621" t="str">
            <v>musa</v>
          </cell>
          <cell r="AA2621" t="str">
            <v>eKIT STOCK</v>
          </cell>
        </row>
        <row r="2622">
          <cell r="A2622" t="str">
            <v>02355VFB</v>
          </cell>
          <cell r="B2622" t="str">
            <v>Assembling Components,AP761,AP761,AP761(11ax outdoor,2+2 dual bands,built-in antenna,BLE)</v>
          </cell>
          <cell r="C2622" t="str">
            <v>0</v>
          </cell>
          <cell r="E2622" t="str">
            <v>PCS</v>
          </cell>
          <cell r="G2622" t="str">
            <v>musa</v>
          </cell>
          <cell r="AA2622" t="str">
            <v>eKIT STOCK</v>
          </cell>
        </row>
        <row r="2623">
          <cell r="A2623" t="str">
            <v>02355VFC</v>
          </cell>
          <cell r="B2623" t="str">
            <v>Assembling Components,AP661,AP661,AP661(11ax indoor,2+2+4 tri bands,smart antenna,USB,BLE)</v>
          </cell>
          <cell r="C2623" t="str">
            <v>8</v>
          </cell>
          <cell r="E2623" t="str">
            <v>PCS</v>
          </cell>
          <cell r="F2623" t="str">
            <v>88ABC</v>
          </cell>
          <cell r="G2623" t="str">
            <v>musa</v>
          </cell>
          <cell r="AA2623" t="str">
            <v>eKIT STOCK</v>
          </cell>
        </row>
        <row r="2624">
          <cell r="A2624" t="str">
            <v>02355YXH</v>
          </cell>
          <cell r="B2624" t="str">
            <v>Assembling Components,USG6000E-S03-AC,USG6000E-S03-AC,USG6000E-S03-AC Host(10*GE RJ45+2*10GE SFP+,1*Adapter,Include SSL VPN 100 Users)</v>
          </cell>
          <cell r="C2624" t="str">
            <v>0</v>
          </cell>
          <cell r="E2624" t="str">
            <v>Power Cord included 04053154</v>
          </cell>
          <cell r="G2624" t="str">
            <v>musa</v>
          </cell>
          <cell r="AA2624" t="str">
            <v>eKIT STOCK</v>
          </cell>
        </row>
        <row r="2625">
          <cell r="A2625" t="str">
            <v>02356EQH-001</v>
          </cell>
          <cell r="B2625" t="str">
            <v>Assembling Components,AC650-512AP,AC650-512AP,AC650-512AP mainframe (10*GE electrical ports,2*10GE optical ports, with the AC/DC adapter)</v>
          </cell>
          <cell r="C2625" t="str">
            <v>0</v>
          </cell>
          <cell r="E2625" t="str">
            <v>Power Cord included 04053154</v>
          </cell>
          <cell r="G2625" t="str">
            <v>musa</v>
          </cell>
          <cell r="AA2625" t="str">
            <v>eKIT STOCK</v>
          </cell>
        </row>
        <row r="2626">
          <cell r="A2626" t="str">
            <v>04053088-004</v>
          </cell>
          <cell r="B2626" t="str">
            <v>Hybrid Cable Assembly,Hi-Trans(XC) hybrid cable assembly,50m,XC/UPC hybrid,hybrid cable,XC/UPC,1.8*4.2mm,ODN</v>
          </cell>
          <cell r="C2626" t="str">
            <v>40</v>
          </cell>
          <cell r="E2626" t="str">
            <v>PCS</v>
          </cell>
          <cell r="F2626" t="str">
            <v>88A</v>
          </cell>
          <cell r="G2626" t="str">
            <v>musa</v>
          </cell>
          <cell r="AA2626" t="str">
            <v>eKIT STOCK</v>
          </cell>
        </row>
        <row r="2627">
          <cell r="A2627" t="str">
            <v>04053153</v>
          </cell>
          <cell r="B2627" t="str">
            <v>Power cord,Britain AC Power 250V10A,3.0m,PGAM,H05VV-F-1.0mm^2(3C),C13SF,250V,10A,Black-Only for Saudi Arabia,Split from 04040890</v>
          </cell>
          <cell r="C2627" t="str">
            <v>213</v>
          </cell>
          <cell r="E2627" t="str">
            <v>PCS</v>
          </cell>
          <cell r="G2627" t="str">
            <v>musa</v>
          </cell>
          <cell r="AA2627" t="str">
            <v>eKIT STOCK</v>
          </cell>
        </row>
        <row r="2628">
          <cell r="A2628" t="str">
            <v>04053154</v>
          </cell>
          <cell r="B2628" t="str">
            <v>Power cord,Britain AC Power 250V2.5A,2.0m,PGAM,H05VVH2-F-0.75mm^2(2C),C7SF,250V,2.5A,Black-Only for Saudi Arabia,Split from 04044533</v>
          </cell>
          <cell r="C2628" t="str">
            <v>19</v>
          </cell>
          <cell r="E2628" t="str">
            <v>PCS</v>
          </cell>
          <cell r="G2628" t="str">
            <v>musa</v>
          </cell>
          <cell r="AA2628" t="str">
            <v>eKIT STOCK</v>
          </cell>
        </row>
        <row r="2629">
          <cell r="A2629" t="str">
            <v>04053162-001</v>
          </cell>
          <cell r="B2629" t="str">
            <v>Hybrid Cable Assembly,Hi-Trans(XC) hybrid cable assembly,60m,XC/UPC hybrid,hybrid cable,XC/UPC,1.8*4.2mm,ODN</v>
          </cell>
          <cell r="C2629" t="str">
            <v>100</v>
          </cell>
          <cell r="E2629" t="str">
            <v>PCS</v>
          </cell>
          <cell r="F2629" t="str">
            <v>88A, 89A</v>
          </cell>
          <cell r="G2629" t="str">
            <v>musa</v>
          </cell>
          <cell r="AA2629" t="str">
            <v>eKIT STOCK</v>
          </cell>
        </row>
        <row r="2630">
          <cell r="A2630" t="str">
            <v>04053162-002</v>
          </cell>
          <cell r="B2630" t="str">
            <v>Hybrid Cable Assembly,Hi-Trans(XC) hybrid cable assembly,80m,XC/UPC hybrid,hybrid cable,XC/UPC,1.8*4.2mm,ODN</v>
          </cell>
          <cell r="C2630" t="str">
            <v>60</v>
          </cell>
          <cell r="E2630" t="str">
            <v>PCS</v>
          </cell>
          <cell r="F2630" t="str">
            <v>88B</v>
          </cell>
          <cell r="G2630" t="str">
            <v>musa</v>
          </cell>
          <cell r="AA2630" t="str">
            <v>eKIT STOCK</v>
          </cell>
        </row>
        <row r="2631">
          <cell r="A2631" t="str">
            <v>06190010</v>
          </cell>
          <cell r="B2631" t="str">
            <v>OPS,I7-10700,DDR4 16GB,512GB SSD,Windows11 IOT Entreprise SAC,195mm,180mm,30mm</v>
          </cell>
          <cell r="C2631" t="str">
            <v>42</v>
          </cell>
          <cell r="E2631" t="str">
            <v>PCS</v>
          </cell>
          <cell r="F2631" t="str">
            <v>64B, 66C</v>
          </cell>
          <cell r="G2631" t="str">
            <v>musa</v>
          </cell>
          <cell r="AA2631" t="str">
            <v>eKIT STOCK</v>
          </cell>
        </row>
        <row r="2632">
          <cell r="A2632" t="str">
            <v>14139149-001</v>
          </cell>
          <cell r="B2632" t="str">
            <v>FTTR transparent optical cable,XC/UPC,SC/UPC,single-mode,10m,G.657A2,GJFXN,1.6*1.2mm,transparent with adhesive, ODN</v>
          </cell>
          <cell r="C2632" t="str">
            <v>40</v>
          </cell>
          <cell r="E2632" t="str">
            <v>PCS</v>
          </cell>
          <cell r="F2632" t="str">
            <v>89A</v>
          </cell>
          <cell r="G2632" t="str">
            <v>musa</v>
          </cell>
          <cell r="AA2632" t="str">
            <v>eKIT STOCK</v>
          </cell>
        </row>
        <row r="2633">
          <cell r="A2633" t="str">
            <v>14300304</v>
          </cell>
          <cell r="B2633" t="str">
            <v>Optical adapters,XC/UPC,XC/UPC,White,PBT+GF,Conversion adapter, dedicated to ODN</v>
          </cell>
          <cell r="C2633" t="str">
            <v>5</v>
          </cell>
          <cell r="E2633" t="str">
            <v>PCS</v>
          </cell>
          <cell r="F2633" t="str">
            <v>77A</v>
          </cell>
          <cell r="G2633" t="str">
            <v>musa</v>
          </cell>
          <cell r="AA2633" t="str">
            <v>eKIT STOCK</v>
          </cell>
        </row>
        <row r="2634">
          <cell r="A2634" t="str">
            <v>21155908</v>
          </cell>
          <cell r="B2634" t="str">
            <v>Large Screen Floor Support,21155908_DRAEN.ASM,HUAWEI Ideahub White Rolling Stand II (65/75/86 inches)</v>
          </cell>
          <cell r="C2634" t="str">
            <v>94</v>
          </cell>
          <cell r="E2634" t="str">
            <v>PCS</v>
          </cell>
          <cell r="F2634" t="str">
            <v>Zone E + Racks</v>
          </cell>
          <cell r="G2634" t="str">
            <v>musa</v>
          </cell>
          <cell r="AA2634" t="str">
            <v>eKIT STOCK</v>
          </cell>
        </row>
        <row r="2635">
          <cell r="A2635" t="str">
            <v>21156005</v>
          </cell>
          <cell r="B2635" t="str">
            <v>Engineering Installation Kit,21156005_DRAEN.ASM,Bracket, Sheetmetal,Wall Mount Bracket, Intelligent Collaboration Large Screen</v>
          </cell>
          <cell r="C2635" t="str">
            <v>24</v>
          </cell>
          <cell r="E2635" t="str">
            <v>PCS</v>
          </cell>
          <cell r="F2635" t="str">
            <v>Zone E</v>
          </cell>
          <cell r="G2635" t="str">
            <v>musa</v>
          </cell>
          <cell r="AA2635" t="str">
            <v>eKIT STOCK</v>
          </cell>
        </row>
        <row r="2636">
          <cell r="A2636" t="str">
            <v>23080128</v>
          </cell>
          <cell r="B2636" t="str">
            <v>Digital Conference System Components,IHC,IdeaHub Controller,NULL</v>
          </cell>
          <cell r="C2636" t="str">
            <v>108</v>
          </cell>
          <cell r="E2636" t="str">
            <v>PCS</v>
          </cell>
          <cell r="F2636" t="str">
            <v>65B</v>
          </cell>
          <cell r="G2636" t="str">
            <v>musa</v>
          </cell>
          <cell r="AA2636" t="str">
            <v>eKIT STOCK</v>
          </cell>
        </row>
        <row r="2637">
          <cell r="A2637" t="str">
            <v>45200374</v>
          </cell>
          <cell r="B2637" t="str">
            <v>Optical Splitter for ODN,SPL2605-P2008-SC/UPC,single mode,PLC,2:8,1310nm&amp;1490nm&amp;1550nm,1260nm-1650nm,even,SC/UPC,SC/UPC,2mm,1.5m,G.657A1,0.3dB,110mm*60mm*10mm,Compact</v>
          </cell>
          <cell r="C2637" t="str">
            <v>10</v>
          </cell>
          <cell r="E2637" t="str">
            <v>PCS</v>
          </cell>
          <cell r="F2637" t="str">
            <v>89A</v>
          </cell>
          <cell r="G2637" t="str">
            <v>musa</v>
          </cell>
          <cell r="AA2637" t="str">
            <v>eKIT STOCK</v>
          </cell>
        </row>
        <row r="2638">
          <cell r="A2638" t="str">
            <v>45200377</v>
          </cell>
          <cell r="B2638" t="str">
            <v>Optical Splitter for ODN,SPL2605-P2016-SC/UPC,single mode,PLC,2:16,1310nm&amp;1490nm&amp;1550nm,1260nm-1650nm,even,SC/UPC,SC/UPC,2mm,1.5m,G.657A1,0.3dB,110mm*60mm*10mm,Compact</v>
          </cell>
          <cell r="C2638" t="str">
            <v>19</v>
          </cell>
          <cell r="E2638" t="str">
            <v>PCS</v>
          </cell>
          <cell r="F2638" t="str">
            <v>89A</v>
          </cell>
          <cell r="G2638" t="str">
            <v>musa</v>
          </cell>
          <cell r="AA2638" t="str">
            <v>eKIT STOCK</v>
          </cell>
        </row>
        <row r="2639">
          <cell r="A2639" t="str">
            <v>45200380</v>
          </cell>
          <cell r="B2639" t="str">
            <v>Optical Splitter for ODN,SPL2605-P2032-SC/UPC,single mode,PLC,2:32,1310nm&amp;1490nm&amp;1550nm,1260nm-1650nm,even,SC/UPC,SC/UPC,2mm,1.5m,G.657A1,0.3dB,110mm*60mm*20mm,Compact</v>
          </cell>
          <cell r="C2639" t="str">
            <v>10</v>
          </cell>
          <cell r="E2639" t="str">
            <v>PCS</v>
          </cell>
          <cell r="F2639" t="str">
            <v>77A</v>
          </cell>
          <cell r="G2639" t="str">
            <v>musa</v>
          </cell>
          <cell r="AA2639" t="str">
            <v>eKIT STOCK</v>
          </cell>
        </row>
        <row r="2640">
          <cell r="A2640" t="str">
            <v>50085997</v>
          </cell>
          <cell r="B2640" t="str">
            <v>Broadband Network Terminal,F100P-2G,GPON Terminal,SC/UPC,100~240VAC,White shell,English Documents,Overseas Currency,For Distribution</v>
          </cell>
          <cell r="C2640" t="str">
            <v>10</v>
          </cell>
          <cell r="E2640" t="str">
            <v>PCS</v>
          </cell>
          <cell r="F2640" t="str">
            <v>88B</v>
          </cell>
          <cell r="G2640" t="str">
            <v>musa</v>
          </cell>
          <cell r="AA2640" t="str">
            <v>eKIT STOCK</v>
          </cell>
        </row>
        <row r="2641">
          <cell r="A2641" t="str">
            <v>50086816</v>
          </cell>
          <cell r="B2641" t="str">
            <v>Wireless LAN Equipment,AP160,AP160(11ax indoor,2+2 dual bands,smart antenna),AP160,RJ45*2,11ax,dual bands</v>
          </cell>
          <cell r="C2641" t="str">
            <v>0</v>
          </cell>
          <cell r="E2641" t="str">
            <v>PCS</v>
          </cell>
          <cell r="G2641" t="str">
            <v>musa</v>
          </cell>
          <cell r="AA2641" t="str">
            <v>eKIT STOCK</v>
          </cell>
        </row>
        <row r="2642">
          <cell r="A2642" t="str">
            <v>50086871</v>
          </cell>
          <cell r="B2642" t="str">
            <v>Wireless LAN Equipment,AP361,AP361(11ax indoor,2+2 dual bands,smart antenna),AP361,RJ45*1,11ax,dual bands</v>
          </cell>
          <cell r="C2642" t="str">
            <v>3165</v>
          </cell>
          <cell r="E2642" t="str">
            <v>PCS</v>
          </cell>
          <cell r="F2642" t="str">
            <v>86C, 87ABC, 88B, 89AB, 90B, 91A</v>
          </cell>
          <cell r="G2642" t="str">
            <v>musa</v>
          </cell>
          <cell r="AA2642" t="str">
            <v>eKIT STOCK</v>
          </cell>
        </row>
        <row r="2643">
          <cell r="A2643" t="str">
            <v>50087274</v>
          </cell>
          <cell r="B2643" t="str">
            <v>Wireless LAN Equipment,AP266,AP266(11ax indoor,2+2 dual bands,smart antenna,PSE),AP266,RJ45*5,11ax,dual bands</v>
          </cell>
          <cell r="C2643" t="str">
            <v>1079</v>
          </cell>
          <cell r="E2643" t="str">
            <v>PCS</v>
          </cell>
          <cell r="F2643" t="str">
            <v>87A, 88B, Zone E</v>
          </cell>
          <cell r="G2643" t="str">
            <v>musa</v>
          </cell>
          <cell r="AA2643" t="str">
            <v>eKIT STOCK</v>
          </cell>
        </row>
        <row r="2644">
          <cell r="A2644" t="str">
            <v>50087399-001</v>
          </cell>
          <cell r="B2644" t="str">
            <v>Wireless LAN Equipment,AP371,AP371(11be indoor,2+2 dual bands,smart antenna,USB,BLE),AP371,RJ45*1,11be,dual bands</v>
          </cell>
          <cell r="C2644" t="str">
            <v>987</v>
          </cell>
          <cell r="E2644" t="str">
            <v>PCS</v>
          </cell>
          <cell r="F2644" t="str">
            <v>86BC, 89A</v>
          </cell>
          <cell r="G2644" t="str">
            <v>musa</v>
          </cell>
          <cell r="AA2644" t="str">
            <v>eKIT STOCK</v>
          </cell>
        </row>
        <row r="2645">
          <cell r="A2645" t="str">
            <v>50088433</v>
          </cell>
          <cell r="B2645" t="str">
            <v>Broadband Network Terminal,F500D-12-4G1V,eKitOptiX F500D,GPON Terminal,SC/UPC,UK Plug Adapter,English Documents</v>
          </cell>
          <cell r="C2645" t="str">
            <v>1782</v>
          </cell>
          <cell r="E2645" t="str">
            <v>PCS</v>
          </cell>
          <cell r="F2645" t="str">
            <v>88C, 90B, 92B, Zone F</v>
          </cell>
          <cell r="G2645" t="str">
            <v>musa</v>
          </cell>
          <cell r="AA2645" t="str">
            <v>eKIT STOCK</v>
          </cell>
        </row>
        <row r="2646">
          <cell r="A2646" t="str">
            <v>55150650</v>
          </cell>
          <cell r="B2646" t="str">
            <v>Intelligent Collaboration Device,HUAWEI IdeaHub S2,IHS2-65SA,Intelligent Collaboration Device 65-inch infrared screen,Jade white,overseas</v>
          </cell>
          <cell r="C2646" t="str">
            <v>68</v>
          </cell>
          <cell r="E2646" t="str">
            <v>Power Cable included 04053153</v>
          </cell>
          <cell r="F2646" t="str">
            <v>62A, 64A</v>
          </cell>
          <cell r="G2646" t="str">
            <v>musa</v>
          </cell>
          <cell r="AA2646" t="str">
            <v>eKIT STOCK</v>
          </cell>
        </row>
        <row r="2647">
          <cell r="A2647" t="str">
            <v>55150652</v>
          </cell>
          <cell r="B2647" t="str">
            <v>Intelligent Collaboration Device,HUAWEI IdeaHub S2,IHS2-86SA,Intelligent Collaboration Device 86-inch infrared screen,Jade white,overseas</v>
          </cell>
          <cell r="C2647" t="str">
            <v>50</v>
          </cell>
          <cell r="E2647" t="str">
            <v>Power Cable included 04053153</v>
          </cell>
          <cell r="F2647" t="str">
            <v>60A</v>
          </cell>
          <cell r="G2647" t="str">
            <v>musa</v>
          </cell>
          <cell r="AA2647" t="str">
            <v>eKIT STOCK</v>
          </cell>
        </row>
        <row r="2648">
          <cell r="A2648" t="str">
            <v>55150937</v>
          </cell>
          <cell r="B2648" t="str">
            <v>Intelligent Collaboration Device,HUAWEI IdeaHub B3,IHB3-65SA,Intelligent Collaboration Device 65-inch infrared screen,Jade white,overseas,Distribution</v>
          </cell>
          <cell r="C2648" t="str">
            <v>15</v>
          </cell>
          <cell r="E2648" t="str">
            <v>Power Cable included 04053153</v>
          </cell>
          <cell r="F2648" t="str">
            <v>61A</v>
          </cell>
          <cell r="G2648" t="str">
            <v>musa</v>
          </cell>
          <cell r="AA2648" t="str">
            <v>eKIT STOCK</v>
          </cell>
        </row>
        <row r="2649">
          <cell r="A2649" t="str">
            <v>55150938</v>
          </cell>
          <cell r="B2649" t="str">
            <v>Intelligent Collaboration Device,HUAWEI IdeaHub B3,IHB3-75SA,Intelligent Collaboration Device 75-inch infrared screen,Jade white,overseas,Distribution</v>
          </cell>
          <cell r="C2649" t="str">
            <v>2</v>
          </cell>
          <cell r="E2649" t="str">
            <v>No power cable.</v>
          </cell>
          <cell r="F2649" t="str">
            <v>65A</v>
          </cell>
          <cell r="G2649" t="str">
            <v>musa</v>
          </cell>
          <cell r="AA2649" t="str">
            <v>eKIT STOCK</v>
          </cell>
        </row>
        <row r="2650">
          <cell r="A2650" t="str">
            <v>55150939</v>
          </cell>
          <cell r="B2650" t="str">
            <v>Intelligent Collaboration Device,HUAWEI IdeaHub B3,IHB3-86SA,Intelligent Collaboration Device 86-inch infrared screen,Jade white,overseas,Distribution</v>
          </cell>
          <cell r="C2650" t="str">
            <v>15</v>
          </cell>
          <cell r="E2650" t="str">
            <v>Power Cable included 04053153</v>
          </cell>
          <cell r="G2650" t="str">
            <v>musa</v>
          </cell>
          <cell r="AA2650" t="str">
            <v>eKIT STOCK</v>
          </cell>
        </row>
        <row r="2651">
          <cell r="A2651" t="str">
            <v>98012180</v>
          </cell>
          <cell r="B2651" t="str">
            <v>Data Communication,S380-S8P2T,S380-S8P2T,S380-S8P2T, 2*GE WAN, 8*GE LAN(PoE+, 124W)</v>
          </cell>
          <cell r="C2651" t="str">
            <v>10</v>
          </cell>
          <cell r="E2651" t="str">
            <v>Power Cable included 04053153</v>
          </cell>
          <cell r="F2651" t="str">
            <v>86A, 87C, 88B</v>
          </cell>
          <cell r="G2651" t="str">
            <v>musa</v>
          </cell>
          <cell r="AA2651" t="str">
            <v>eKIT STOCK</v>
          </cell>
        </row>
        <row r="2652">
          <cell r="A2652" t="str">
            <v>98012376</v>
          </cell>
          <cell r="B2652" t="str">
            <v>Data Communication,S220-24P4X,S220-24P4X,S220-24P4X (24*10/100/1000BASE-T ports(400W PoE+), 4*10GE SFP+ ports, built-in AC power)</v>
          </cell>
          <cell r="C2652" t="str">
            <v>0</v>
          </cell>
          <cell r="E2652" t="str">
            <v>Power Cable included 04053153</v>
          </cell>
          <cell r="G2652" t="str">
            <v>musa</v>
          </cell>
          <cell r="AA2652" t="str">
            <v>eKIT STOCK</v>
          </cell>
        </row>
        <row r="2653">
          <cell r="A2653" t="str">
            <v>98012378</v>
          </cell>
          <cell r="B2653" t="str">
            <v>Data Communication,S220-48P4X,S220-48P4X,S220-48P4X (48*10/100/1000BASE-T ports(380W PoE+), 4*10GE SFP+ ports, built-in AC power)</v>
          </cell>
          <cell r="C2653" t="str">
            <v>6</v>
          </cell>
          <cell r="E2653" t="str">
            <v>Power Cable included 04053153</v>
          </cell>
          <cell r="F2653" t="str">
            <v>86A, 87C, 88A</v>
          </cell>
          <cell r="G2653" t="str">
            <v>musa</v>
          </cell>
          <cell r="AA2653" t="str">
            <v>eKIT STOCK</v>
          </cell>
        </row>
        <row r="2654">
          <cell r="A2654" t="str">
            <v>98012385</v>
          </cell>
          <cell r="B2654" t="str">
            <v>Data Communication,S310-48P4X,S310-48P4X,S310-48P4X (48*10/100/1000BASE-T ports(380W PoE+), 4*10GE SFP+ ports, built-in AC power)</v>
          </cell>
          <cell r="C2654" t="str">
            <v>20</v>
          </cell>
          <cell r="E2654" t="str">
            <v>Power Cable included 04053153</v>
          </cell>
          <cell r="F2654" t="str">
            <v>86AB, 87C</v>
          </cell>
          <cell r="G2654" t="str">
            <v>musa</v>
          </cell>
          <cell r="AA2654" t="str">
            <v>eKIT STOCK</v>
          </cell>
        </row>
        <row r="2655">
          <cell r="A2655" t="str">
            <v>98012518</v>
          </cell>
          <cell r="B2655" t="str">
            <v>Data Communication,S220S-24P4JX,S220S-24P4JX,S220S-24P4JX (24*10/100/1000BASE-T ports (400 W PoE+), 2*10GE SFP+ ports, 2*2.5GE SFP ports, built-in AC power)</v>
          </cell>
          <cell r="C2655" t="str">
            <v>0</v>
          </cell>
          <cell r="E2655" t="str">
            <v>Power Cable included 04053153</v>
          </cell>
          <cell r="G2655" t="str">
            <v>musa</v>
          </cell>
          <cell r="AA2655" t="str">
            <v>eKIT STOCK</v>
          </cell>
        </row>
        <row r="2656">
          <cell r="A2656" t="str">
            <v>98012534</v>
          </cell>
          <cell r="B2656" t="str">
            <v>Data Communication,S310-24PN4X,S310-24PN4X,S310-24PN4X(24*10/100/1000/2.5GBASE-T ports(400W PoE+), 4*10GE SFP+ ports, built-in AC power)</v>
          </cell>
          <cell r="C2656" t="str">
            <v>4</v>
          </cell>
          <cell r="E2656" t="str">
            <v>Power Cable included 04053153</v>
          </cell>
          <cell r="F2656" t="str">
            <v>88B</v>
          </cell>
          <cell r="G2656" t="str">
            <v>musa</v>
          </cell>
          <cell r="AA2656" t="str">
            <v>eKIT STOCK</v>
          </cell>
        </row>
        <row r="2657">
          <cell r="A2657" t="str">
            <v>98012536</v>
          </cell>
          <cell r="B2657" t="str">
            <v>Data Communication,S620-24T16X8Y2CZ,S620-24T16X8Y2CZ,S620-24T16X8Y2CZ (24*10/100/1000BASE-T ports, 16*10GE SFP+ ports, 8*25GE SFP28 ports, 2*100GE QSFP28 ports, expansion card slot, with 1*AC power module)</v>
          </cell>
          <cell r="C2657" t="str">
            <v>3</v>
          </cell>
          <cell r="E2657" t="str">
            <v>Power Cable included 04053153</v>
          </cell>
          <cell r="F2657" t="str">
            <v>60B</v>
          </cell>
          <cell r="G2657" t="str">
            <v>musa</v>
          </cell>
          <cell r="AA2657" t="str">
            <v>eKIT STOCK</v>
          </cell>
        </row>
        <row r="2658">
          <cell r="A2658" t="str">
            <v>98012552</v>
          </cell>
          <cell r="B2658" t="str">
            <v>Data Communication,S220-8P4S,S220-8P4S,S220-8P4S(8*10/100/1000BASE-T ports(125W PoE+),4*GE SFP ports, built-in AC power)</v>
          </cell>
          <cell r="C2658" t="str">
            <v>29</v>
          </cell>
          <cell r="E2658" t="str">
            <v>Power Cable included 04053153</v>
          </cell>
          <cell r="F2658" t="str">
            <v>87C, 88C</v>
          </cell>
          <cell r="G2658" t="str">
            <v>musa</v>
          </cell>
          <cell r="AA2658" t="str">
            <v>eKIT STOCK</v>
          </cell>
        </row>
        <row r="2659">
          <cell r="A2659" t="str">
            <v>98012554</v>
          </cell>
          <cell r="B2659" t="str">
            <v>Data Communication,S530-24T4XE,S530-24T4XE,S530-24T4XE(24*10/100/1000BASE-T ports, 4*10GE SFP+ ports, 2*10GE stack ports, with 1*AC power module)</v>
          </cell>
          <cell r="C2659" t="str">
            <v>0</v>
          </cell>
          <cell r="E2659" t="str">
            <v>Power Cable included 04053153</v>
          </cell>
          <cell r="G2659" t="str">
            <v>musa</v>
          </cell>
          <cell r="AA2659" t="str">
            <v>eKIT STOCK</v>
          </cell>
        </row>
        <row r="2660">
          <cell r="A2660" t="str">
            <v>98012556</v>
          </cell>
          <cell r="B2660" t="str">
            <v>Data Communication,S530-24ST4XE,S530-24ST4XE,S530-24ST4XE(24*GE SFP ports, 8 of which are dual-purpose 10/100/1000 or SFP, 4*10GE SFP+ ports, 2*10GE stack ports, with 1*AC power module)</v>
          </cell>
          <cell r="C2660" t="str">
            <v>2</v>
          </cell>
          <cell r="E2660" t="str">
            <v>Power Cable included 04053153</v>
          </cell>
          <cell r="F2660" t="str">
            <v>88B</v>
          </cell>
          <cell r="G2660" t="str">
            <v>musa</v>
          </cell>
          <cell r="AA2660" t="str">
            <v>eKIT STOCK</v>
          </cell>
        </row>
        <row r="2661">
          <cell r="A2661" t="str">
            <v>98031380</v>
          </cell>
          <cell r="B2661" t="str">
            <v>Access Network,H87Z00F600C1,eKitOptiX F600C-30-1GH Multi-service Access Equipment,GPON Uplink(XC/UPC),1GE+2*2 2.4G WIFI,12V DC/POF,Without Power Cable,For Oversea(Non-EU),F600C-30-1GH</v>
          </cell>
          <cell r="C2661" t="str">
            <v>200</v>
          </cell>
          <cell r="E2661" t="str">
            <v>PCS</v>
          </cell>
          <cell r="F2661" t="str">
            <v>88A</v>
          </cell>
          <cell r="G2661" t="str">
            <v>musa</v>
          </cell>
          <cell r="AA2661" t="str">
            <v>eKIT STOCK</v>
          </cell>
        </row>
        <row r="2662">
          <cell r="A2662" t="str">
            <v>55150651</v>
          </cell>
          <cell r="B2662" t="str">
            <v>Intelligent Collaboration Device,HUAWEI IdeaHub S2,IHS2-75SA,Intelligent Collaboration Device 75-inch infrared screen,Jade white,overseas</v>
          </cell>
          <cell r="C2662" t="str">
            <v>10</v>
          </cell>
          <cell r="E2662" t="str">
            <v>Power Cable included 04053153</v>
          </cell>
          <cell r="G2662" t="str">
            <v>musa</v>
          </cell>
          <cell r="AA2662" t="str">
            <v>eKIT STOCK</v>
          </cell>
        </row>
        <row r="2663">
          <cell r="A2663" t="str">
            <v>Model Name</v>
          </cell>
          <cell r="B2663" t="str">
            <v>Material description</v>
          </cell>
          <cell r="C2663" t="str">
            <v>Available Qty</v>
          </cell>
          <cell r="E2663" t="str">
            <v>UOM</v>
          </cell>
          <cell r="F2663" t="str">
            <v>Rack #</v>
          </cell>
          <cell r="G2663" t="str">
            <v>Model Code.</v>
          </cell>
          <cell r="AA2663" t="str">
            <v>HANWHA STOCK</v>
          </cell>
        </row>
        <row r="2664">
          <cell r="A2664" t="str">
            <v>5427G2</v>
          </cell>
          <cell r="B2664" t="str">
            <v>Card Scanner for the enrollment, iCLASS SE, SEOS/ ELITE, MIFARE/ Desfire EV1 CSN</v>
          </cell>
          <cell r="C2664" t="str">
            <v>0</v>
          </cell>
          <cell r="E2664" t="str">
            <v>PCS</v>
          </cell>
          <cell r="G2664" t="str">
            <v>R54270101</v>
          </cell>
          <cell r="AA2664" t="str">
            <v>HANWHA STOCK</v>
          </cell>
        </row>
        <row r="2665">
          <cell r="A2665" t="str">
            <v>BIOENTRY W2</v>
          </cell>
          <cell r="B2665" t="str">
            <v>10,000 Fingerprint/ 13.56MHz card  reader, iCLASS SE, MIFARE/Desfire EV1 CSN</v>
          </cell>
          <cell r="C2665" t="str">
            <v>0</v>
          </cell>
          <cell r="E2665" t="str">
            <v>PCS</v>
          </cell>
          <cell r="G2665" t="str">
            <v>FF16301V01A</v>
          </cell>
          <cell r="AA2665" t="str">
            <v>HANWHA STOCK</v>
          </cell>
        </row>
        <row r="2666">
          <cell r="A2666" t="str">
            <v>BioMini</v>
          </cell>
          <cell r="B2666" t="str">
            <v>Fingerprint Scanner for the enrollment</v>
          </cell>
          <cell r="C2666" t="str">
            <v>0</v>
          </cell>
          <cell r="E2666" t="str">
            <v>PCS</v>
          </cell>
          <cell r="G2666" t="str">
            <v>FF12001V01A</v>
          </cell>
          <cell r="AA2666" t="str">
            <v>HANWHA STOCK</v>
          </cell>
        </row>
        <row r="2667">
          <cell r="A2667" t="str">
            <v>EH400K</v>
          </cell>
          <cell r="B2667" t="str">
            <v>PoE 1reader N/W controller, 4input, 2 output, Linux 2.6</v>
          </cell>
          <cell r="C2667" t="str">
            <v>1</v>
          </cell>
          <cell r="E2667" t="str">
            <v>PCS</v>
          </cell>
          <cell r="F2667" t="str">
            <v>70A</v>
          </cell>
          <cell r="G2667" t="str">
            <v>82000CKE1AH003</v>
          </cell>
          <cell r="AA2667" t="str">
            <v>HANWHA STOCK</v>
          </cell>
        </row>
        <row r="2668">
          <cell r="A2668" t="str">
            <v>ICLASS SEOS</v>
          </cell>
          <cell r="B2668" t="str">
            <v>ICLASS SEOS (H10301, 26BIT, FC01), 2K Memory 13.56MHz card 26bit Wiegand</v>
          </cell>
          <cell r="C2668" t="str">
            <v>0</v>
          </cell>
          <cell r="E2668" t="str">
            <v>PCS</v>
          </cell>
          <cell r="G2668" t="str">
            <v>5006PGGMN</v>
          </cell>
          <cell r="AA2668" t="str">
            <v>HANWHA STOCK</v>
          </cell>
        </row>
        <row r="2669">
          <cell r="A2669" t="str">
            <v>ICLASS SEOS ELITE</v>
          </cell>
          <cell r="B2669" t="str">
            <v>ICLASS SEOS ELITE (ICE0815, FC01), 8K Memory 13.56MHz card 26bit Wiegand, Hanwha Techwin own code</v>
          </cell>
          <cell r="C2669" t="str">
            <v>0</v>
          </cell>
          <cell r="E2669" t="str">
            <v>PCS</v>
          </cell>
          <cell r="G2669" t="str">
            <v>5006PGGMN7</v>
          </cell>
          <cell r="AA2669" t="str">
            <v>HANWHA STOCK</v>
          </cell>
        </row>
        <row r="2670">
          <cell r="A2670" t="str">
            <v>LND-6010R</v>
          </cell>
          <cell r="B2670" t="str">
            <v>2M IR Dome Camera, 3mm fixed,IR- 20m</v>
          </cell>
          <cell r="C2670" t="str">
            <v>0</v>
          </cell>
          <cell r="E2670" t="str">
            <v>PCS</v>
          </cell>
          <cell r="G2670" t="str">
            <v>LND-6010R/VAP</v>
          </cell>
          <cell r="AA2670" t="str">
            <v>HANWHA STOCK</v>
          </cell>
        </row>
        <row r="2671">
          <cell r="A2671" t="str">
            <v>PND-A6081RV</v>
          </cell>
          <cell r="B2671" t="str">
            <v>2MP AI IR Indoor Dome Camera, 4.38~9.33mm, IR 30m, IP52, IK10, Metal body</v>
          </cell>
          <cell r="C2671" t="str">
            <v>12</v>
          </cell>
          <cell r="E2671" t="str">
            <v>PCS</v>
          </cell>
          <cell r="F2671" t="str">
            <v>24B</v>
          </cell>
          <cell r="G2671" t="str">
            <v>PND-A6081RV/KAP</v>
          </cell>
          <cell r="AA2671" t="str">
            <v>HANWHA STOCK</v>
          </cell>
        </row>
        <row r="2672">
          <cell r="A2672" t="str">
            <v>PND-A9081RV</v>
          </cell>
          <cell r="B2672" t="str">
            <v>4K AI IR Indoor Dome Camera, 4.5-10mm, IR 30m, IP52, IK10, Metal body</v>
          </cell>
          <cell r="C2672" t="str">
            <v>0</v>
          </cell>
          <cell r="E2672" t="str">
            <v>PCS</v>
          </cell>
          <cell r="G2672" t="str">
            <v>PND-A9081RV/KAP</v>
          </cell>
          <cell r="AA2672" t="str">
            <v>HANWHA STOCK</v>
          </cell>
        </row>
        <row r="2673">
          <cell r="A2673" t="str">
            <v>PNM-7082RVD</v>
          </cell>
          <cell r="B2673" t="str">
            <v>2MP x 2CH Multi-directional Camera, 3~6mm(2x) motorized varifocal, IR 25m, IP66, NEMA4X, IK10, extremeWDR (150dB)</v>
          </cell>
          <cell r="C2673" t="str">
            <v>0</v>
          </cell>
          <cell r="E2673" t="str">
            <v>PCS</v>
          </cell>
          <cell r="G2673" t="str">
            <v>PNM-7082RVD/KEX</v>
          </cell>
          <cell r="AA2673" t="str">
            <v>HANWHA STOCK</v>
          </cell>
        </row>
        <row r="2674">
          <cell r="A2674" t="str">
            <v>PNM-9000VD</v>
          </cell>
          <cell r="B2674" t="str">
            <v>10MP 2CH Multi-directional Camera, PoE, IP66, IK10, Exchangeable Lens Module</v>
          </cell>
          <cell r="C2674" t="str">
            <v>1</v>
          </cell>
          <cell r="E2674" t="str">
            <v>PCS</v>
          </cell>
          <cell r="F2674" t="str">
            <v>26B</v>
          </cell>
          <cell r="G2674" t="str">
            <v>PNM-9000VD/KAP</v>
          </cell>
          <cell r="AA2674" t="str">
            <v>HANWHA STOCK</v>
          </cell>
        </row>
        <row r="2675">
          <cell r="A2675" t="str">
            <v>PNM-9002VQ</v>
          </cell>
          <cell r="B2675" t="str">
            <v>4CH Multi-directional Camera, PoE+, IP66, IK10, Exchangeable Lens Module</v>
          </cell>
          <cell r="C2675" t="str">
            <v>0</v>
          </cell>
          <cell r="E2675" t="str">
            <v>PCS</v>
          </cell>
          <cell r="G2675" t="str">
            <v>PNM-9002VQ/KAP</v>
          </cell>
          <cell r="AA2675" t="str">
            <v>HANWHA STOCK</v>
          </cell>
        </row>
        <row r="2676">
          <cell r="A2676" t="str">
            <v>PNM-9022V</v>
          </cell>
          <cell r="B2676" t="str">
            <v>2MP x 4CH Panoramic Camera, IP66, IK10, NEMA4X</v>
          </cell>
          <cell r="C2676" t="str">
            <v>0</v>
          </cell>
          <cell r="E2676" t="str">
            <v>PCS</v>
          </cell>
          <cell r="G2676" t="str">
            <v>PNM-9022V/KAP</v>
          </cell>
          <cell r="AA2676" t="str">
            <v>HANWHA STOCK</v>
          </cell>
        </row>
        <row r="2677">
          <cell r="A2677" t="str">
            <v>PNM-9031RV</v>
          </cell>
          <cell r="B2677" t="str">
            <v>15MP Panoramic Camera</v>
          </cell>
          <cell r="C2677" t="str">
            <v>0</v>
          </cell>
          <cell r="E2677" t="str">
            <v>PCS</v>
          </cell>
          <cell r="G2677" t="str">
            <v>PNM-9031RV/KAP</v>
          </cell>
          <cell r="AA2677" t="str">
            <v>HANWHA STOCK</v>
          </cell>
        </row>
        <row r="2678">
          <cell r="A2678" t="str">
            <v>PNM-9084RQZ1</v>
          </cell>
          <cell r="B2678" t="str">
            <v>8MP 4CH IR PTRZ Multi-directional Camera, 3.2-10mm motorized VF, IP66, IK10, NEMA4X with no Gyro sensor</v>
          </cell>
          <cell r="C2678" t="str">
            <v>2</v>
          </cell>
          <cell r="E2678" t="str">
            <v>PCS</v>
          </cell>
          <cell r="F2678" t="str">
            <v>70A</v>
          </cell>
          <cell r="G2678" t="str">
            <v>PNM-9084RQZ1/KAP</v>
          </cell>
          <cell r="AA2678" t="str">
            <v>HANWHA STOCK</v>
          </cell>
        </row>
        <row r="2679">
          <cell r="A2679" t="str">
            <v>PNM-9085RQZ</v>
          </cell>
          <cell r="B2679" t="str">
            <v>5MP 4CH IR PTRZ Multi-directional Camera,4.13-9.4mm motorized VF, IP66, IK10, NEMA4X</v>
          </cell>
          <cell r="C2679" t="str">
            <v>10</v>
          </cell>
          <cell r="E2679" t="str">
            <v>PCS</v>
          </cell>
          <cell r="F2679" t="str">
            <v>68B</v>
          </cell>
          <cell r="G2679" t="str">
            <v>PNM-9085RQZ/KAP</v>
          </cell>
          <cell r="AA2679" t="str">
            <v>HANWHA STOCK</v>
          </cell>
        </row>
        <row r="2680">
          <cell r="A2680" t="str">
            <v>PNM-9085RQZ1</v>
          </cell>
          <cell r="B2680" t="str">
            <v>4K AI IR Dome Camera, 4.4~9.3mm (2.1x) m</v>
          </cell>
          <cell r="C2680" t="str">
            <v>0</v>
          </cell>
          <cell r="E2680" t="str">
            <v>PCS</v>
          </cell>
          <cell r="G2680" t="str">
            <v>PNM-9085RQZ1/KAP</v>
          </cell>
          <cell r="AA2680" t="str">
            <v>HANWHA STOCK</v>
          </cell>
        </row>
        <row r="2681">
          <cell r="A2681" t="str">
            <v>PNM-9322VQP</v>
          </cell>
          <cell r="B2681" t="str">
            <v xml:space="preserve"> 4CH Multi-directional + PTZ Camera, Exchangeable 4ea x 2M / 5M lens modules, HPoE, IP66, IK10</v>
          </cell>
          <cell r="C2681" t="str">
            <v>0</v>
          </cell>
          <cell r="E2681" t="str">
            <v>PCS</v>
          </cell>
          <cell r="G2681" t="str">
            <v>PNM-9322VQP/KAP</v>
          </cell>
          <cell r="AA2681" t="str">
            <v>HANWHA STOCK</v>
          </cell>
        </row>
        <row r="2682">
          <cell r="A2682" t="str">
            <v>PNM-C12083RVD</v>
          </cell>
          <cell r="B2682" t="str">
            <v>MP x 2CH AI Multi-directional Camera, 3</v>
          </cell>
          <cell r="C2682" t="str">
            <v>0</v>
          </cell>
          <cell r="E2682" t="str">
            <v>PCS</v>
          </cell>
          <cell r="G2682" t="str">
            <v>-</v>
          </cell>
          <cell r="AA2682" t="str">
            <v>HANWHA STOCK</v>
          </cell>
        </row>
        <row r="2683">
          <cell r="A2683" t="str">
            <v>PNM-C32083RVQ</v>
          </cell>
          <cell r="B2683" t="str">
            <v>4K x 4, AI, IR Multi-directional outdoor camera</v>
          </cell>
          <cell r="C2683" t="str">
            <v>10</v>
          </cell>
          <cell r="E2683" t="str">
            <v>PCS</v>
          </cell>
          <cell r="F2683" t="str">
            <v>24B</v>
          </cell>
          <cell r="G2683" t="str">
            <v>PNM-C32083RVQ/KEX</v>
          </cell>
          <cell r="AA2683" t="str">
            <v>HANWHA STOCK</v>
          </cell>
        </row>
        <row r="2684">
          <cell r="A2684" t="str">
            <v>PNM-C34404RQPZ</v>
          </cell>
          <cell r="B2684" t="str">
            <v>4K X 4 Al IR PTRZ + 2MP 40X PTZ MULTIDIR</v>
          </cell>
          <cell r="C2684" t="str">
            <v>0</v>
          </cell>
          <cell r="E2684" t="str">
            <v>PCS</v>
          </cell>
          <cell r="G2684" t="str">
            <v>PNM-C34404RQPZ/KAP</v>
          </cell>
          <cell r="AA2684" t="str">
            <v>HANWHA STOCK</v>
          </cell>
        </row>
        <row r="2685">
          <cell r="A2685" t="str">
            <v>PNO-A6081R</v>
          </cell>
          <cell r="B2685" t="str">
            <v>2MP AI IR Bullet Camera, 4.38~9.33mm, IR 30m, IP67, IK10, NEMA4X</v>
          </cell>
          <cell r="C2685" t="str">
            <v>12</v>
          </cell>
          <cell r="E2685" t="str">
            <v>PCS</v>
          </cell>
          <cell r="F2685" t="str">
            <v>25B</v>
          </cell>
          <cell r="G2685" t="str">
            <v>PNO-A6081R/KAP</v>
          </cell>
          <cell r="AA2685" t="str">
            <v>HANWHA STOCK</v>
          </cell>
        </row>
        <row r="2686">
          <cell r="A2686" t="str">
            <v>PNO-A9081R</v>
          </cell>
          <cell r="B2686" t="str">
            <v>4K AI IR Bullet Camera, 4.5-10mm, IR 30m, IP67,IK10+,NEMA4X</v>
          </cell>
          <cell r="C2686" t="str">
            <v>23</v>
          </cell>
          <cell r="E2686" t="str">
            <v>PCS</v>
          </cell>
          <cell r="F2686" t="str">
            <v>70A</v>
          </cell>
          <cell r="G2686" t="str">
            <v>PNO-A9081R/KAP</v>
          </cell>
          <cell r="AA2686" t="str">
            <v>HANWHA STOCK</v>
          </cell>
        </row>
        <row r="2687">
          <cell r="A2687" t="str">
            <v>PNO-A9081RLP</v>
          </cell>
          <cell r="B2687" t="str">
            <v>4K AI IR LPR Bullet Camera, 4.5~10mm, IR 30m, IP66/IP67, IK10, NEMA4X</v>
          </cell>
          <cell r="C2687" t="str">
            <v>0</v>
          </cell>
          <cell r="E2687" t="str">
            <v>PCS</v>
          </cell>
          <cell r="G2687" t="str">
            <v>PNO-A9081RLP/KAP</v>
          </cell>
          <cell r="AA2687" t="str">
            <v>HANWHA STOCK</v>
          </cell>
        </row>
        <row r="2688">
          <cell r="A2688" t="str">
            <v>PNO-A9311R</v>
          </cell>
          <cell r="B2688" t="str">
            <v>4K 31X ZOOM AI BULLET CAMERA</v>
          </cell>
          <cell r="C2688" t="str">
            <v>2</v>
          </cell>
          <cell r="E2688" t="str">
            <v>PCS</v>
          </cell>
          <cell r="F2688" t="str">
            <v>Zone B</v>
          </cell>
          <cell r="G2688" t="str">
            <v>PNO-A9311R/VEX</v>
          </cell>
          <cell r="AA2688" t="str">
            <v>HANWHA STOCK</v>
          </cell>
        </row>
        <row r="2689">
          <cell r="A2689" t="str">
            <v>PNV-A9081R</v>
          </cell>
          <cell r="B2689" t="str">
            <v>4K AI IR Vandal Dome Camera, 4.5-10mm, IR 30m, IP67/IP6K9K,IK10+,NEMA4X</v>
          </cell>
          <cell r="C2689" t="str">
            <v>0</v>
          </cell>
          <cell r="E2689" t="str">
            <v>PCS</v>
          </cell>
          <cell r="G2689" t="str">
            <v>PNV-A9081R/KAP</v>
          </cell>
          <cell r="AA2689" t="str">
            <v>HANWHA STOCK</v>
          </cell>
        </row>
        <row r="2690">
          <cell r="A2690" t="str">
            <v>PRN-1600B2</v>
          </cell>
          <cell r="B2690" t="str">
            <v xml:space="preserve">16 CH AI NVR, 8 SATA, 400Mbps, RAID 5/6, N+1 Failover </v>
          </cell>
          <cell r="C2690" t="str">
            <v>0</v>
          </cell>
          <cell r="E2690" t="str">
            <v>PCS</v>
          </cell>
          <cell r="G2690" t="str">
            <v>PRN-1600B2/KSA</v>
          </cell>
          <cell r="AA2690" t="str">
            <v>HANWHA STOCK</v>
          </cell>
        </row>
        <row r="2691">
          <cell r="A2691" t="str">
            <v>PRN-3200B2</v>
          </cell>
          <cell r="B2691" t="str">
            <v>32 CH AI NVR, 8 SATA, 400Mbps, RAID 5/6, N+1 Failover License Plate Recognition (LPR)</v>
          </cell>
          <cell r="C2691" t="str">
            <v>9</v>
          </cell>
          <cell r="E2691" t="str">
            <v>PCS</v>
          </cell>
          <cell r="F2691" t="str">
            <v>73B, 78A</v>
          </cell>
          <cell r="G2691" t="str">
            <v>PRN-3200B2/KSA</v>
          </cell>
          <cell r="AA2691" t="str">
            <v>HANWHA STOCK</v>
          </cell>
        </row>
        <row r="2692">
          <cell r="A2692" t="str">
            <v>PRN-3200B4</v>
          </cell>
          <cell r="B2692" t="str">
            <v>32 CH AI NVR, 16 SATA, 400Mbps, RAID 5/6, N+1 Failover</v>
          </cell>
          <cell r="C2692" t="str">
            <v>8</v>
          </cell>
          <cell r="E2692" t="str">
            <v>PCS</v>
          </cell>
          <cell r="F2692" t="str">
            <v>24BC</v>
          </cell>
          <cell r="G2692" t="str">
            <v>PRN-3200B4/KSA</v>
          </cell>
          <cell r="AA2692" t="str">
            <v>HANWHA STOCK</v>
          </cell>
        </row>
        <row r="2693">
          <cell r="A2693" t="str">
            <v>PRN-3210B4</v>
          </cell>
          <cell r="B2693" t="str">
            <v>32 CH AI NVR, 16 SATA, 400Mbps, RAID 5/6, N+1 Failover</v>
          </cell>
          <cell r="C2693" t="str">
            <v>2</v>
          </cell>
          <cell r="E2693" t="str">
            <v>PCS</v>
          </cell>
          <cell r="F2693" t="str">
            <v>70A</v>
          </cell>
          <cell r="G2693" t="str">
            <v>PRN-3210B4/KSA</v>
          </cell>
          <cell r="AA2693" t="str">
            <v>HANWHA STOCK</v>
          </cell>
        </row>
        <row r="2694">
          <cell r="A2694" t="str">
            <v>PRN-4011</v>
          </cell>
          <cell r="B2694" t="str">
            <v>64CH NVR, H.265, Up to 12 SATA, 400Mbps, RAID 5/6, N+1 Failover Support, Dual Power ( KSA &amp; Kuwait )</v>
          </cell>
          <cell r="C2694" t="str">
            <v>10</v>
          </cell>
          <cell r="E2694" t="str">
            <v>PCS</v>
          </cell>
          <cell r="F2694" t="str">
            <v>25C</v>
          </cell>
          <cell r="G2694" t="str">
            <v>PRN-4011/KSA</v>
          </cell>
          <cell r="AA2694" t="str">
            <v>HANWHA STOCK</v>
          </cell>
        </row>
        <row r="2695">
          <cell r="A2695" t="str">
            <v>PRP-5000H16</v>
          </cell>
          <cell r="B2695" t="str">
            <v>128CH SSM Recording Server, 520Mbps, Up to 16 SATA, RAID 0/1/5/6, Failover Support</v>
          </cell>
          <cell r="C2695" t="str">
            <v>5</v>
          </cell>
          <cell r="E2695" t="str">
            <v>PCS</v>
          </cell>
          <cell r="F2695" t="str">
            <v>70C</v>
          </cell>
          <cell r="G2695" t="str">
            <v>PRP-5000H16/KSA</v>
          </cell>
          <cell r="AA2695" t="str">
            <v>HANWHA STOCK</v>
          </cell>
        </row>
        <row r="2696">
          <cell r="A2696" t="str">
            <v>QNB-6002</v>
          </cell>
          <cell r="B2696" t="str">
            <v>2MP Network Box Camera</v>
          </cell>
          <cell r="C2696" t="str">
            <v>0</v>
          </cell>
          <cell r="E2696" t="str">
            <v>PCS</v>
          </cell>
          <cell r="G2696" t="str">
            <v>QNB-6002/KAP</v>
          </cell>
          <cell r="AA2696" t="str">
            <v>HANWHA STOCK</v>
          </cell>
        </row>
        <row r="2697">
          <cell r="A2697" t="str">
            <v>QND-6011</v>
          </cell>
          <cell r="B2697" t="str">
            <v>2M Qmini Indoor Dome Camera, 2.8mm, People Counting</v>
          </cell>
          <cell r="C2697" t="str">
            <v>0</v>
          </cell>
          <cell r="E2697" t="str">
            <v>PCS</v>
          </cell>
          <cell r="G2697" t="str">
            <v>QND-6011/VAP</v>
          </cell>
          <cell r="AA2697" t="str">
            <v>HANWHA STOCK</v>
          </cell>
        </row>
        <row r="2698">
          <cell r="A2698" t="str">
            <v>QND-6012R</v>
          </cell>
          <cell r="B2698" t="str">
            <v>2M IR Dome Camera, 2.8mm fixed,IR- 20m</v>
          </cell>
          <cell r="C2698" t="str">
            <v>0</v>
          </cell>
          <cell r="E2698" t="str">
            <v>PCS</v>
          </cell>
          <cell r="G2698" t="str">
            <v>QND-6012R/KAP</v>
          </cell>
          <cell r="AA2698" t="str">
            <v>HANWHA STOCK</v>
          </cell>
        </row>
        <row r="2699">
          <cell r="A2699" t="str">
            <v>QND-6072R</v>
          </cell>
          <cell r="B2699" t="str">
            <v xml:space="preserve">2MP IR Dome Camera, Indoor 2.7 ~12mm Mannual VF, IR 20m, Temp 60 ° and RH 95%, </v>
          </cell>
          <cell r="C2699" t="str">
            <v>1</v>
          </cell>
          <cell r="E2699" t="str">
            <v>PCS</v>
          </cell>
          <cell r="F2699" t="str">
            <v xml:space="preserve">26B </v>
          </cell>
          <cell r="G2699" t="str">
            <v>QND-6072R/KME</v>
          </cell>
          <cell r="AA2699" t="str">
            <v>HANWHA STOCK</v>
          </cell>
        </row>
        <row r="2700">
          <cell r="A2700" t="str">
            <v>QND-6082R</v>
          </cell>
          <cell r="B2700" t="str">
            <v>2MP IR Dome Camera, Indoor 3.2 ~10mm Mot</v>
          </cell>
          <cell r="C2700" t="str">
            <v>16</v>
          </cell>
          <cell r="E2700" t="str">
            <v>PCS</v>
          </cell>
          <cell r="F2700" t="str">
            <v>24A, Zone B</v>
          </cell>
          <cell r="G2700" t="str">
            <v>QND-6082R/KAP</v>
          </cell>
          <cell r="AA2700" t="str">
            <v>HANWHA STOCK</v>
          </cell>
        </row>
        <row r="2701">
          <cell r="A2701" t="str">
            <v>QND-7010R</v>
          </cell>
          <cell r="B2701" t="str">
            <v>4M IR Dome Camera, 2.8mm fixed,IR- 20m</v>
          </cell>
          <cell r="C2701" t="str">
            <v>0</v>
          </cell>
          <cell r="E2701" t="str">
            <v>PCS</v>
          </cell>
          <cell r="G2701" t="str">
            <v>QND-7010R/KAP</v>
          </cell>
          <cell r="AA2701" t="str">
            <v>HANWHA STOCK</v>
          </cell>
        </row>
        <row r="2702">
          <cell r="A2702" t="str">
            <v>QND-7012R</v>
          </cell>
          <cell r="B2702" t="str">
            <v>4MP IR Dome Camera, 2.8mm fixed,IR- 20m</v>
          </cell>
          <cell r="C2702" t="str">
            <v>0</v>
          </cell>
          <cell r="E2702" t="str">
            <v>PCS</v>
          </cell>
          <cell r="G2702" t="str">
            <v>QND-7012R/VAP</v>
          </cell>
          <cell r="AA2702" t="str">
            <v>HANWHA STOCK</v>
          </cell>
        </row>
        <row r="2703">
          <cell r="A2703" t="str">
            <v>QND-7022R</v>
          </cell>
          <cell r="B2703" t="str">
            <v>4MP IR Dome Camera, 4mm fixed,IR- 20m</v>
          </cell>
          <cell r="C2703" t="str">
            <v>0</v>
          </cell>
          <cell r="E2703" t="str">
            <v>PCS</v>
          </cell>
          <cell r="G2703" t="str">
            <v>QND-7022R/VAP</v>
          </cell>
          <cell r="AA2703" t="str">
            <v>HANWHA STOCK</v>
          </cell>
        </row>
        <row r="2704">
          <cell r="A2704" t="str">
            <v>QND-7030R</v>
          </cell>
          <cell r="B2704" t="str">
            <v>4M IR Dome Camera, 6mm fixed,IR- 20m</v>
          </cell>
          <cell r="C2704" t="str">
            <v>0</v>
          </cell>
          <cell r="E2704" t="str">
            <v>PCS</v>
          </cell>
          <cell r="G2704" t="str">
            <v>QND-7030R/KAP</v>
          </cell>
          <cell r="AA2704" t="str">
            <v>HANWHA STOCK</v>
          </cell>
        </row>
        <row r="2705">
          <cell r="A2705" t="str">
            <v>QND-7080R</v>
          </cell>
          <cell r="B2705" t="str">
            <v xml:space="preserve">4MP IR Dome Camera, Indoor, 2.8 ~ 12mm, IR 20m, </v>
          </cell>
          <cell r="C2705" t="str">
            <v>0</v>
          </cell>
          <cell r="E2705" t="str">
            <v>PCS</v>
          </cell>
          <cell r="G2705" t="str">
            <v>QND-7080R/KME</v>
          </cell>
          <cell r="AA2705" t="str">
            <v>HANWHA STOCK</v>
          </cell>
        </row>
        <row r="2706">
          <cell r="A2706" t="str">
            <v>QND-7082R</v>
          </cell>
          <cell r="B2706" t="str">
            <v>4MP IR Dome Camera, 3.2 ~ 10mm (3.1x) motorized varifocal, IR-20m</v>
          </cell>
          <cell r="C2706" t="str">
            <v>0</v>
          </cell>
          <cell r="E2706" t="str">
            <v>PCS</v>
          </cell>
          <cell r="G2706" t="str">
            <v>QND-7082R/KME</v>
          </cell>
          <cell r="AA2706" t="str">
            <v>HANWHA STOCK</v>
          </cell>
        </row>
        <row r="2707">
          <cell r="A2707" t="str">
            <v>QND-8010R</v>
          </cell>
          <cell r="B2707" t="str">
            <v>5M IR Dome Camera, 2.8mm fixed, IR- 20m</v>
          </cell>
          <cell r="C2707" t="str">
            <v>0</v>
          </cell>
          <cell r="E2707" t="str">
            <v>PCS</v>
          </cell>
          <cell r="G2707" t="str">
            <v>QND-8010R/KAP</v>
          </cell>
          <cell r="AA2707" t="str">
            <v>HANWHA STOCK</v>
          </cell>
        </row>
        <row r="2708">
          <cell r="A2708" t="str">
            <v>QND-8011</v>
          </cell>
          <cell r="B2708" t="str">
            <v>5M Qmini Indoor Dome Camera, 2.8mm, People Counting</v>
          </cell>
          <cell r="C2708" t="str">
            <v>0</v>
          </cell>
          <cell r="E2708" t="str">
            <v>PCS</v>
          </cell>
          <cell r="G2708" t="str">
            <v>QND-8011/KAP</v>
          </cell>
          <cell r="AA2708" t="str">
            <v>HANWHA STOCK</v>
          </cell>
        </row>
        <row r="2709">
          <cell r="A2709" t="str">
            <v>QND-8020R</v>
          </cell>
          <cell r="B2709" t="str">
            <v>5M IR Dome Camera,4mm fixed, IR- 20m</v>
          </cell>
          <cell r="C2709" t="str">
            <v>53</v>
          </cell>
          <cell r="E2709" t="str">
            <v>PCS</v>
          </cell>
          <cell r="F2709" t="str">
            <v>70B</v>
          </cell>
          <cell r="G2709" t="str">
            <v>QND-8020R/KAP</v>
          </cell>
          <cell r="AA2709" t="str">
            <v>HANWHA STOCK</v>
          </cell>
        </row>
        <row r="2710">
          <cell r="A2710" t="str">
            <v>QND-8021</v>
          </cell>
          <cell r="B2710" t="str">
            <v>5M Qmini Indoor Dome Camera, 4mm, People Counting</v>
          </cell>
          <cell r="C2710" t="str">
            <v>7</v>
          </cell>
          <cell r="E2710" t="str">
            <v>PCS</v>
          </cell>
          <cell r="F2710" t="str">
            <v>68A</v>
          </cell>
          <cell r="G2710" t="str">
            <v>QND-8021/KAP</v>
          </cell>
          <cell r="AA2710" t="str">
            <v>HANWHA STOCK</v>
          </cell>
        </row>
        <row r="2711">
          <cell r="A2711" t="str">
            <v>QND-8030R</v>
          </cell>
          <cell r="B2711" t="str">
            <v>5M IR Dome Camera,6mm fixed, IR- 20m</v>
          </cell>
          <cell r="C2711" t="str">
            <v>0</v>
          </cell>
          <cell r="E2711" t="str">
            <v>PCS</v>
          </cell>
          <cell r="G2711" t="str">
            <v>QND-8030R/KAP</v>
          </cell>
          <cell r="AA2711" t="str">
            <v>HANWHA STOCK</v>
          </cell>
        </row>
        <row r="2712">
          <cell r="A2712" t="str">
            <v>QND-8080R</v>
          </cell>
          <cell r="B2712" t="str">
            <v>5MP IR Dome Camera, Indoor 2.7 ~12mm, IR 20m, Temp 60 ° and RH 95%</v>
          </cell>
          <cell r="C2712" t="str">
            <v>0</v>
          </cell>
          <cell r="E2712" t="str">
            <v>PCS</v>
          </cell>
          <cell r="G2712" t="str">
            <v>QND-8080R/KME</v>
          </cell>
          <cell r="AA2712" t="str">
            <v>HANWHA STOCK</v>
          </cell>
        </row>
        <row r="2713">
          <cell r="A2713" t="str">
            <v>QNE-7080RV</v>
          </cell>
          <cell r="B2713" t="str">
            <v>4MP IR Vandal Flateye Camera, 3.2 ~ 10mm, 30m IR, IP66, IK10</v>
          </cell>
          <cell r="C2713" t="str">
            <v>0</v>
          </cell>
          <cell r="E2713" t="str">
            <v>PCS</v>
          </cell>
          <cell r="G2713" t="str">
            <v>QNE-7080RV/VAP</v>
          </cell>
          <cell r="AA2713" t="str">
            <v>HANWHA STOCK</v>
          </cell>
        </row>
        <row r="2714">
          <cell r="A2714" t="str">
            <v>QNE-8011R</v>
          </cell>
          <cell r="B2714" t="str">
            <v>5MP IR Flateye Camera,  2.8mm fixed, 20m IR, IP67, IK10</v>
          </cell>
          <cell r="C2714" t="str">
            <v>0</v>
          </cell>
          <cell r="E2714" t="str">
            <v>PCS</v>
          </cell>
          <cell r="G2714" t="str">
            <v>QNE-8011R/VAP</v>
          </cell>
          <cell r="AA2714" t="str">
            <v>HANWHA STOCK</v>
          </cell>
        </row>
        <row r="2715">
          <cell r="A2715" t="str">
            <v>QNE-8021R</v>
          </cell>
          <cell r="B2715" t="str">
            <v>5MP IR Flateye Camera, 4mm fixed, 20m IR, IP67, IK10</v>
          </cell>
          <cell r="C2715" t="str">
            <v>0</v>
          </cell>
          <cell r="E2715" t="str">
            <v>PCS</v>
          </cell>
          <cell r="G2715" t="str">
            <v>QNE-8021R/VAP</v>
          </cell>
          <cell r="AA2715" t="str">
            <v>HANWHA STOCK</v>
          </cell>
        </row>
        <row r="2716">
          <cell r="A2716" t="str">
            <v>QNF-8010</v>
          </cell>
          <cell r="B2716" t="str">
            <v>6MP Fisheye Camera, 1.14mm fixed Lens,  People counting, Heatmap</v>
          </cell>
          <cell r="C2716" t="str">
            <v>20</v>
          </cell>
          <cell r="E2716" t="str">
            <v>PCS</v>
          </cell>
          <cell r="F2716" t="str">
            <v>26B</v>
          </cell>
          <cell r="G2716" t="str">
            <v>QNF-8010/VAP</v>
          </cell>
          <cell r="AA2716" t="str">
            <v>HANWHA STOCK</v>
          </cell>
        </row>
        <row r="2717">
          <cell r="A2717" t="str">
            <v>QNO-6010RP</v>
          </cell>
          <cell r="B2717" t="str">
            <v>2MP Bullet, 2.8mm fixed, 20m IR , True D</v>
          </cell>
          <cell r="C2717" t="str">
            <v>0</v>
          </cell>
          <cell r="E2717" t="str">
            <v>PCS</v>
          </cell>
          <cell r="G2717" t="str">
            <v>QNO-6010RP/AJ</v>
          </cell>
          <cell r="AA2717" t="str">
            <v>HANWHA STOCK</v>
          </cell>
        </row>
        <row r="2718">
          <cell r="A2718" t="str">
            <v>QNO-6072R</v>
          </cell>
          <cell r="B2718" t="str">
            <v>2MP IR Bullet Camera, 2.7 ~ 12mm Manual VF, IR 30m, IP66, IK10, Temp 60 ° and RH 95%</v>
          </cell>
          <cell r="C2718" t="str">
            <v>543</v>
          </cell>
          <cell r="E2718" t="str">
            <v>PCS</v>
          </cell>
          <cell r="F2718" t="str">
            <v>67B, 73C</v>
          </cell>
          <cell r="G2718" t="str">
            <v>QNO-6072R/KME</v>
          </cell>
          <cell r="AA2718" t="str">
            <v>HANWHA STOCK</v>
          </cell>
        </row>
        <row r="2719">
          <cell r="A2719" t="str">
            <v>QNO-6082R</v>
          </cell>
          <cell r="B2719" t="str">
            <v>2MP IR Bullet Camera, 3.2 ~ 10mm Motorized, IR 30m, IP66, IK10, Temp 60 ° and RH 95%</v>
          </cell>
          <cell r="C2719" t="str">
            <v>27</v>
          </cell>
          <cell r="E2719" t="str">
            <v>PCS</v>
          </cell>
          <cell r="F2719" t="str">
            <v>26AC</v>
          </cell>
          <cell r="G2719" t="str">
            <v>QNO-6082R/KME</v>
          </cell>
          <cell r="AA2719" t="str">
            <v>HANWHA STOCK</v>
          </cell>
        </row>
        <row r="2720">
          <cell r="A2720" t="str">
            <v>QNO-7012R</v>
          </cell>
          <cell r="B2720" t="str">
            <v>4M IR Bullet Camera, 2.8mm fixed,IR- 20m, IP66, IK10</v>
          </cell>
          <cell r="C2720" t="str">
            <v>0</v>
          </cell>
          <cell r="E2720" t="str">
            <v>PCS</v>
          </cell>
          <cell r="G2720" t="str">
            <v>QNO-7012R/VAP</v>
          </cell>
          <cell r="AA2720" t="str">
            <v>HANWHA STOCK</v>
          </cell>
        </row>
        <row r="2721">
          <cell r="A2721" t="str">
            <v>QNO-7030R</v>
          </cell>
          <cell r="B2721" t="str">
            <v>4M IR Bullet Camera, 6mm fixed,IR- 30m, IP66, IK10</v>
          </cell>
          <cell r="C2721" t="str">
            <v>0</v>
          </cell>
          <cell r="E2721" t="str">
            <v>PCS</v>
          </cell>
          <cell r="G2721" t="str">
            <v>QNO-7030R/KAP</v>
          </cell>
          <cell r="AA2721" t="str">
            <v>HANWHA STOCK</v>
          </cell>
        </row>
        <row r="2722">
          <cell r="A2722" t="str">
            <v>QNO-7080R</v>
          </cell>
          <cell r="B2722" t="str">
            <v>4MP IR Bullet Camera, 2.8 ~12mm, IR 30m</v>
          </cell>
          <cell r="C2722" t="str">
            <v>161</v>
          </cell>
          <cell r="E2722" t="str">
            <v>PCS</v>
          </cell>
          <cell r="F2722" t="str">
            <v>70B</v>
          </cell>
          <cell r="G2722" t="str">
            <v>QNO-7080R/KME</v>
          </cell>
          <cell r="AA2722" t="str">
            <v>HANWHA STOCK</v>
          </cell>
        </row>
        <row r="2723">
          <cell r="A2723" t="str">
            <v>QNO-7082R</v>
          </cell>
          <cell r="B2723" t="str">
            <v>4MP IR Bullet Camera, 3.2 ~ 10mm (3.1x)</v>
          </cell>
          <cell r="C2723" t="str">
            <v>0</v>
          </cell>
          <cell r="E2723" t="str">
            <v>PCS</v>
          </cell>
          <cell r="G2723" t="str">
            <v>QNO-7082R/KME</v>
          </cell>
          <cell r="AA2723" t="str">
            <v>HANWHA STOCK</v>
          </cell>
        </row>
        <row r="2724">
          <cell r="A2724" t="str">
            <v>QNO-8020R</v>
          </cell>
          <cell r="B2724" t="str">
            <v>5M IR Bullet Camera, 4mm fixed, IR- 25m, IP66, IK10</v>
          </cell>
          <cell r="C2724" t="str">
            <v>0</v>
          </cell>
          <cell r="E2724" t="str">
            <v>PCS</v>
          </cell>
          <cell r="G2724" t="str">
            <v>QNO-8020R/KAP</v>
          </cell>
          <cell r="AA2724" t="str">
            <v>HANWHA STOCK</v>
          </cell>
        </row>
        <row r="2725">
          <cell r="A2725" t="str">
            <v>QNO-8080R</v>
          </cell>
          <cell r="B2725" t="str">
            <v>5MP IR Bullet Camera, 2.7 ~ 12mm, IR 30m, IP66, IK10, Temp 60 ° and RH 95%</v>
          </cell>
          <cell r="C2725" t="str">
            <v>0</v>
          </cell>
          <cell r="E2725" t="str">
            <v>PCS</v>
          </cell>
          <cell r="G2725" t="str">
            <v>QNO-8080R/KME</v>
          </cell>
          <cell r="AA2725" t="str">
            <v>HANWHA STOCK</v>
          </cell>
        </row>
        <row r="2726">
          <cell r="A2726" t="str">
            <v>QNO-8081R</v>
          </cell>
          <cell r="B2726" t="str">
            <v>5MP IR Bullet Camera, 2.7 ~ 12mm, IR 30m, 12VDC, PoE, IP66, IK10</v>
          </cell>
          <cell r="C2726" t="str">
            <v>59</v>
          </cell>
          <cell r="E2726" t="str">
            <v>PCS</v>
          </cell>
          <cell r="F2726" t="str">
            <v>26B, 58C</v>
          </cell>
          <cell r="G2726" t="str">
            <v>QNO-8081R/KME</v>
          </cell>
          <cell r="AA2726" t="str">
            <v>HANWHA STOCK</v>
          </cell>
        </row>
        <row r="2727">
          <cell r="A2727" t="str">
            <v>QNO-C8083R</v>
          </cell>
          <cell r="B2727" t="str">
            <v>5MP Bullet camera, 3.2~10.2mm(3.1x) motorized varifocal, IR-30m, AI object detection (Person/Vehicle), IP66, IK10</v>
          </cell>
          <cell r="C2727" t="str">
            <v>0</v>
          </cell>
          <cell r="E2727" t="str">
            <v>PCS</v>
          </cell>
          <cell r="G2727" t="str">
            <v>QNO-C8083R/VEX</v>
          </cell>
          <cell r="AA2727" t="str">
            <v>HANWHA STOCK</v>
          </cell>
        </row>
        <row r="2728">
          <cell r="A2728" t="str">
            <v>QNP-6230H</v>
          </cell>
          <cell r="B2728" t="str">
            <v>2MP 23x PTZ Camera, Outdoor, IP66, IK10, Hard Coating</v>
          </cell>
          <cell r="C2728" t="str">
            <v>28</v>
          </cell>
          <cell r="E2728" t="str">
            <v>PCS</v>
          </cell>
          <cell r="F2728" t="str">
            <v>69A</v>
          </cell>
          <cell r="G2728" t="str">
            <v>QNP-6230H/KAP</v>
          </cell>
          <cell r="AA2728" t="str">
            <v>HANWHA STOCK</v>
          </cell>
        </row>
        <row r="2729">
          <cell r="A2729" t="str">
            <v>QNP-6250</v>
          </cell>
          <cell r="B2729" t="str">
            <v>2MP 25x PTZ Camera</v>
          </cell>
          <cell r="C2729" t="str">
            <v>6</v>
          </cell>
          <cell r="E2729" t="str">
            <v>PCS</v>
          </cell>
          <cell r="F2729" t="str">
            <v>68B</v>
          </cell>
          <cell r="G2729" t="str">
            <v>QNP-6250/KAP</v>
          </cell>
          <cell r="AA2729" t="str">
            <v>HANWHA STOCK</v>
          </cell>
        </row>
        <row r="2730">
          <cell r="A2730" t="str">
            <v>QNP-6250H</v>
          </cell>
          <cell r="B2730" t="str">
            <v>2MP 25x PTZ Camera, Outdoor, IP66, IK10</v>
          </cell>
          <cell r="C2730" t="str">
            <v>1</v>
          </cell>
          <cell r="E2730" t="str">
            <v>PCS</v>
          </cell>
          <cell r="F2730" t="str">
            <v>70A</v>
          </cell>
          <cell r="G2730" t="str">
            <v>QNP-6250H/KAP</v>
          </cell>
          <cell r="AA2730" t="str">
            <v>HANWHA STOCK</v>
          </cell>
        </row>
        <row r="2731">
          <cell r="A2731" t="str">
            <v>QNP-6250R</v>
          </cell>
          <cell r="B2731" t="str">
            <v>2MP Network 25x IR PTZ Camera, 4.44~111mm (25x) lens, IP66, IK10, NEMA4X</v>
          </cell>
          <cell r="C2731" t="str">
            <v>1</v>
          </cell>
          <cell r="E2731" t="str">
            <v>PCS</v>
          </cell>
          <cell r="F2731" t="str">
            <v>65B</v>
          </cell>
          <cell r="G2731" t="str">
            <v>QNP-6250R/KAP</v>
          </cell>
          <cell r="AA2731" t="str">
            <v>HANWHA STOCK</v>
          </cell>
        </row>
        <row r="2732">
          <cell r="A2732" t="str">
            <v>QNP-6320</v>
          </cell>
          <cell r="B2732" t="str">
            <v>2MP 32x PTZ Camera</v>
          </cell>
          <cell r="C2732" t="str">
            <v>0</v>
          </cell>
          <cell r="E2732" t="str">
            <v>PCS</v>
          </cell>
          <cell r="G2732" t="str">
            <v>QNP-6320/KAP</v>
          </cell>
          <cell r="AA2732" t="str">
            <v>HANWHA STOCK</v>
          </cell>
        </row>
        <row r="2733">
          <cell r="A2733" t="str">
            <v>QNP-6320H</v>
          </cell>
          <cell r="B2733" t="str">
            <v>2MP 32x PTZ Camera, Outdoor, IP66, IK10</v>
          </cell>
          <cell r="C2733" t="str">
            <v>0</v>
          </cell>
          <cell r="E2733" t="str">
            <v>PCS</v>
          </cell>
          <cell r="G2733" t="str">
            <v>QNP-6320H/KAP</v>
          </cell>
          <cell r="AA2733" t="str">
            <v>HANWHA STOCK</v>
          </cell>
        </row>
        <row r="2734">
          <cell r="A2734" t="str">
            <v>QNP-6320HS</v>
          </cell>
          <cell r="B2734" t="str">
            <v>2MP H.265 Stainless 32x PTZ Camera, 4.44 ~ 142.6 (32x) optical zoom, IP66/IP67, IK10, NEMA4X, PoE</v>
          </cell>
          <cell r="C2734" t="str">
            <v>0</v>
          </cell>
          <cell r="E2734" t="str">
            <v>PCS</v>
          </cell>
          <cell r="G2734" t="str">
            <v>QNP-6320HS/KEX</v>
          </cell>
          <cell r="AA2734" t="str">
            <v>HANWHA STOCK</v>
          </cell>
        </row>
        <row r="2735">
          <cell r="A2735" t="str">
            <v>QNP-6320R</v>
          </cell>
          <cell r="B2735" t="str">
            <v>2MP Network 32x IR PTZ Camera, 4.44~142.6mm (32x) lens, IP66, IK10, NEMA4X</v>
          </cell>
          <cell r="C2735" t="str">
            <v>0</v>
          </cell>
          <cell r="E2735" t="str">
            <v>PCS</v>
          </cell>
          <cell r="G2735" t="str">
            <v>QNP-6320R/KAP</v>
          </cell>
          <cell r="AA2735" t="str">
            <v>HANWHA STOCK</v>
          </cell>
        </row>
        <row r="2736">
          <cell r="A2736" t="str">
            <v>QNV-6010R</v>
          </cell>
          <cell r="B2736" t="str">
            <v>2 MP,  Vandal-Proof Dome 2.8mm fixed, 20</v>
          </cell>
          <cell r="C2736" t="str">
            <v>0</v>
          </cell>
          <cell r="E2736" t="str">
            <v>PCS</v>
          </cell>
          <cell r="G2736" t="str">
            <v>QNV-6010RP/AJ</v>
          </cell>
          <cell r="AA2736" t="str">
            <v>HANWHA STOCK</v>
          </cell>
        </row>
        <row r="2737">
          <cell r="A2737" t="str">
            <v>QNV-6020R</v>
          </cell>
          <cell r="B2737" t="str">
            <v>2 MP,  Vandal-Proof Dome 3.6mm fixed, 25</v>
          </cell>
          <cell r="C2737" t="str">
            <v>61</v>
          </cell>
          <cell r="E2737" t="str">
            <v>PCS</v>
          </cell>
          <cell r="F2737" t="str">
            <v>24A</v>
          </cell>
          <cell r="G2737" t="str">
            <v>QNV-6020RP/AJ</v>
          </cell>
          <cell r="AA2737" t="str">
            <v>HANWHA STOCK</v>
          </cell>
        </row>
        <row r="2738">
          <cell r="A2738" t="str">
            <v>QNV-6022R</v>
          </cell>
          <cell r="B2738" t="str">
            <v>2M IR Vandal Dome Camera, 4mm fixed,IR- 25m, Hard Coating</v>
          </cell>
          <cell r="C2738" t="str">
            <v>0</v>
          </cell>
          <cell r="E2738" t="str">
            <v>pcs</v>
          </cell>
          <cell r="G2738" t="str">
            <v>QNV-6022R/KME</v>
          </cell>
          <cell r="AA2738" t="str">
            <v>HANWHA STOCK</v>
          </cell>
        </row>
        <row r="2739">
          <cell r="A2739" t="str">
            <v>QNV-6082R</v>
          </cell>
          <cell r="B2739" t="str">
            <v>2MP IR Vandal Dome Camera, 3.2 ~10mm Motorized VF, IR 30m, IP66, IK10, Hard Coating, Temp 60 ° and RH 95%</v>
          </cell>
          <cell r="C2739" t="str">
            <v>117</v>
          </cell>
          <cell r="E2739" t="str">
            <v>PCS</v>
          </cell>
          <cell r="F2739" t="str">
            <v>24C</v>
          </cell>
          <cell r="G2739" t="str">
            <v>QNV-6082R/VME</v>
          </cell>
          <cell r="AA2739" t="str">
            <v>HANWHA STOCK</v>
          </cell>
        </row>
        <row r="2740">
          <cell r="A2740" t="str">
            <v>QNV-7010R</v>
          </cell>
          <cell r="B2740" t="str">
            <v>4M IR Vandal Dome Camera, 2.8mm fixed,IR- 20m, Hard Coating</v>
          </cell>
          <cell r="C2740" t="str">
            <v>0</v>
          </cell>
          <cell r="E2740" t="str">
            <v>pcs</v>
          </cell>
          <cell r="G2740" t="str">
            <v>QNV-7010R/KME</v>
          </cell>
          <cell r="AA2740" t="str">
            <v>HANWHA STOCK</v>
          </cell>
        </row>
        <row r="2741">
          <cell r="A2741" t="str">
            <v>QNV-7020R</v>
          </cell>
          <cell r="B2741" t="str">
            <v>4M IR Vandal Dome Camera, 3.6mm fixed,IR- 25m, Hard Coating</v>
          </cell>
          <cell r="C2741" t="str">
            <v>0</v>
          </cell>
          <cell r="E2741" t="str">
            <v>PCS</v>
          </cell>
          <cell r="G2741" t="str">
            <v>QNV-7020R/KAP</v>
          </cell>
          <cell r="AA2741" t="str">
            <v>HANWHA STOCK</v>
          </cell>
        </row>
        <row r="2742">
          <cell r="A2742" t="str">
            <v>QNV-7020RP-AJ</v>
          </cell>
          <cell r="B2742" t="str">
            <v>4Megapixel Vandal-Resistant Network IR D</v>
          </cell>
          <cell r="C2742" t="str">
            <v>0</v>
          </cell>
          <cell r="E2742" t="str">
            <v>PCS</v>
          </cell>
          <cell r="G2742" t="str">
            <v>QNV-7020RP/AJ</v>
          </cell>
          <cell r="AA2742" t="str">
            <v>HANWHA STOCK</v>
          </cell>
        </row>
        <row r="2743">
          <cell r="A2743" t="str">
            <v>QNV-7030R</v>
          </cell>
          <cell r="B2743" t="str">
            <v>4M IR Vandal Dome Camera, 6mm fixed,IR- 30m, Hard Coating</v>
          </cell>
          <cell r="C2743" t="str">
            <v>28</v>
          </cell>
          <cell r="E2743" t="str">
            <v>PCS</v>
          </cell>
          <cell r="F2743" t="str">
            <v>73B, 79A</v>
          </cell>
          <cell r="G2743" t="str">
            <v>QNV-7030R/KME</v>
          </cell>
          <cell r="AA2743" t="str">
            <v>HANWHA STOCK</v>
          </cell>
        </row>
        <row r="2744">
          <cell r="A2744" t="str">
            <v>QNV-7080R</v>
          </cell>
          <cell r="B2744" t="str">
            <v>4MP IR Vandal Dome Camera, 2.8 ~ 12mm, I</v>
          </cell>
          <cell r="C2744" t="str">
            <v>0</v>
          </cell>
          <cell r="E2744" t="str">
            <v>PCS</v>
          </cell>
          <cell r="G2744" t="str">
            <v>QNV-7080R/KME</v>
          </cell>
          <cell r="AA2744" t="str">
            <v>HANWHA STOCK</v>
          </cell>
        </row>
        <row r="2745">
          <cell r="A2745" t="str">
            <v>QNV-8010R</v>
          </cell>
          <cell r="B2745" t="str">
            <v>5M IR Vandal Dome Camera, 2.8mm fixed, IR- 20m, Hard Coating</v>
          </cell>
          <cell r="C2745" t="str">
            <v>0</v>
          </cell>
          <cell r="E2745" t="str">
            <v>PCS</v>
          </cell>
          <cell r="G2745" t="str">
            <v>QNV-8010R/KME</v>
          </cell>
          <cell r="AA2745" t="str">
            <v>HANWHA STOCK</v>
          </cell>
        </row>
        <row r="2746">
          <cell r="A2746" t="str">
            <v>QNV-8020R</v>
          </cell>
          <cell r="B2746" t="str">
            <v>5M IR Vandal Dome Camera, 4mm fixed, IR- 20m, Hard Coating</v>
          </cell>
          <cell r="C2746" t="str">
            <v>0</v>
          </cell>
          <cell r="E2746" t="str">
            <v>PCS</v>
          </cell>
          <cell r="G2746" t="str">
            <v>QNV-8020R/KME</v>
          </cell>
          <cell r="AA2746" t="str">
            <v>HANWHA STOCK</v>
          </cell>
        </row>
        <row r="2747">
          <cell r="A2747" t="str">
            <v>QNV-8080R</v>
          </cell>
          <cell r="B2747" t="str">
            <v>5MP IR Vandal Dome Camera, 2.7~12mm, IR 30m, IP66, IK10, Hard Coating, Temp 60 ° and RH 95%</v>
          </cell>
          <cell r="C2747" t="str">
            <v>0</v>
          </cell>
          <cell r="E2747" t="str">
            <v>PCS</v>
          </cell>
          <cell r="G2747" t="str">
            <v>QNV-8080R/KME</v>
          </cell>
          <cell r="AA2747" t="str">
            <v>HANWHA STOCK</v>
          </cell>
        </row>
        <row r="2748">
          <cell r="A2748" t="str">
            <v>QNV-8081R</v>
          </cell>
          <cell r="B2748" t="str">
            <v>5MP IR Vandal Dome Camera, 2.7 ~ 12mm, IR 30m, 12VDC, PoE, IP66, IK10</v>
          </cell>
          <cell r="C2748" t="str">
            <v>0</v>
          </cell>
          <cell r="E2748" t="str">
            <v>PCS</v>
          </cell>
          <cell r="G2748" t="str">
            <v>QNV-8081R/KME</v>
          </cell>
          <cell r="AA2748" t="str">
            <v>HANWHA STOCK</v>
          </cell>
        </row>
        <row r="2749">
          <cell r="A2749" t="str">
            <v>QNV-C8083R</v>
          </cell>
          <cell r="B2749" t="str">
            <v>5MP Dome camera, 3.2~10.2mm(3.1x) motorized varifocal, IR-30m, AI object detection (Person/Vehicle), IP66, IK10</v>
          </cell>
          <cell r="C2749" t="str">
            <v>0</v>
          </cell>
          <cell r="E2749" t="str">
            <v>PCS</v>
          </cell>
          <cell r="G2749" t="str">
            <v>QNV-C8083R/VEX</v>
          </cell>
          <cell r="AA2749" t="str">
            <v>HANWHA STOCK</v>
          </cell>
        </row>
        <row r="2750">
          <cell r="A2750" t="str">
            <v>QRN-1620S</v>
          </cell>
          <cell r="B2750" t="str">
            <v>16CH 8MP NVR with PoE switch</v>
          </cell>
          <cell r="C2750" t="str">
            <v>2</v>
          </cell>
          <cell r="E2750" t="str">
            <v>PCS</v>
          </cell>
          <cell r="F2750" t="str">
            <v>70B</v>
          </cell>
          <cell r="G2750" t="str">
            <v>QRN-1620S/VSA</v>
          </cell>
          <cell r="AA2750" t="str">
            <v>HANWHA STOCK</v>
          </cell>
        </row>
        <row r="2751">
          <cell r="A2751" t="str">
            <v>QRN-420S</v>
          </cell>
          <cell r="B2751" t="str">
            <v>4CH PoE NVR, 1 SATA, 40Mbps, Dual Track</v>
          </cell>
          <cell r="C2751" t="str">
            <v>4</v>
          </cell>
          <cell r="E2751" t="str">
            <v>PCS</v>
          </cell>
          <cell r="F2751" t="str">
            <v>24B</v>
          </cell>
          <cell r="G2751" t="str">
            <v>QRN-420S/VSA</v>
          </cell>
          <cell r="AA2751" t="str">
            <v>HANWHA STOCK</v>
          </cell>
        </row>
        <row r="2752">
          <cell r="A2752" t="str">
            <v>R10</v>
          </cell>
          <cell r="B2752" t="str">
            <v xml:space="preserve">13.56MHz card reader, iCLASS SE, MIFARE/Desfire EV1 CSN </v>
          </cell>
          <cell r="C2752" t="str">
            <v>3</v>
          </cell>
          <cell r="E2752" t="str">
            <v>PCS</v>
          </cell>
          <cell r="F2752" t="str">
            <v>70A</v>
          </cell>
          <cell r="G2752" t="str">
            <v>900NTNNEK00000H003</v>
          </cell>
          <cell r="AA2752" t="str">
            <v>HANWHA STOCK</v>
          </cell>
        </row>
        <row r="2753">
          <cell r="A2753" t="str">
            <v>R10 EXP Elite</v>
          </cell>
          <cell r="B2753" t="str">
            <v>13.56MHz card reader, iCLASS SEOS Elite</v>
          </cell>
          <cell r="C2753" t="str">
            <v>1</v>
          </cell>
          <cell r="E2753" t="str">
            <v>PCS</v>
          </cell>
          <cell r="F2753" t="str">
            <v>26B</v>
          </cell>
          <cell r="G2753" t="str">
            <v>900NSNNFKE0000H003</v>
          </cell>
          <cell r="AA2753" t="str">
            <v>HANWHA STOCK</v>
          </cell>
        </row>
        <row r="2754">
          <cell r="A2754" t="str">
            <v>R40</v>
          </cell>
          <cell r="B2754" t="str">
            <v xml:space="preserve">13.56MHz card reader, iCLASS SE, MIFARE/Desfire EV1 CSN </v>
          </cell>
          <cell r="C2754" t="str">
            <v>0</v>
          </cell>
          <cell r="E2754" t="str">
            <v>PCS</v>
          </cell>
          <cell r="G2754" t="str">
            <v>920NTNNEK00000H003</v>
          </cell>
          <cell r="AA2754" t="str">
            <v>HANWHA STOCK</v>
          </cell>
        </row>
        <row r="2755">
          <cell r="A2755" t="str">
            <v>RK40</v>
          </cell>
          <cell r="B2755" t="str">
            <v>13.56MHz card reader, iCLASS SE, MIFARE/Desfire EV1 CSN, Keypad</v>
          </cell>
          <cell r="C2755" t="str">
            <v>0</v>
          </cell>
          <cell r="E2755" t="str">
            <v>PCS</v>
          </cell>
          <cell r="G2755" t="str">
            <v>921NTNNEK00000H003</v>
          </cell>
          <cell r="AA2755" t="str">
            <v>HANWHA STOCK</v>
          </cell>
        </row>
        <row r="2756">
          <cell r="A2756" t="str">
            <v>SBC-160B</v>
          </cell>
          <cell r="B2756" t="str">
            <v>Skin Cover for XND-6081VZ/8081VZ, XND-6081V/6081RV/8081RV</v>
          </cell>
          <cell r="C2756" t="str">
            <v>0</v>
          </cell>
          <cell r="E2756" t="str">
            <v>PCS</v>
          </cell>
          <cell r="G2756" t="str">
            <v>SBC-160B/VEX</v>
          </cell>
          <cell r="AA2756" t="str">
            <v>HANWHA STOCK</v>
          </cell>
        </row>
        <row r="2757">
          <cell r="A2757" t="str">
            <v>SBD-140PMW</v>
          </cell>
          <cell r="B2757" t="str">
            <v>Pole Mount Bracket</v>
          </cell>
          <cell r="C2757" t="str">
            <v>0</v>
          </cell>
          <cell r="E2757" t="str">
            <v>PCS</v>
          </cell>
          <cell r="G2757" t="str">
            <v>SBD-140PMW/VEX</v>
          </cell>
          <cell r="AA2757" t="str">
            <v>HANWHA STOCK</v>
          </cell>
        </row>
        <row r="2758">
          <cell r="A2758" t="str">
            <v>SBE-100PM</v>
          </cell>
          <cell r="B2758" t="str">
            <v>Pole Mount for Explosion-proof Camera</v>
          </cell>
          <cell r="C2758" t="str">
            <v>0</v>
          </cell>
          <cell r="E2758" t="str">
            <v>PCS</v>
          </cell>
          <cell r="G2758" t="str">
            <v>SBE-100PM/EX</v>
          </cell>
          <cell r="AA2758" t="str">
            <v>HANWHA STOCK</v>
          </cell>
        </row>
        <row r="2759">
          <cell r="A2759" t="str">
            <v>SBE-100WM</v>
          </cell>
          <cell r="B2759" t="str">
            <v>Wall Mount for Explosion-proof Camera</v>
          </cell>
          <cell r="C2759" t="str">
            <v>0</v>
          </cell>
          <cell r="E2759" t="str">
            <v>PCS</v>
          </cell>
          <cell r="G2759" t="str">
            <v>SBE-100WM/EX</v>
          </cell>
          <cell r="AA2759" t="str">
            <v>HANWHA STOCK</v>
          </cell>
        </row>
        <row r="2760">
          <cell r="A2760" t="str">
            <v>SBM-3232</v>
          </cell>
          <cell r="B2760" t="str">
            <v xml:space="preserve">Monitor Stand for 32 inch monitor </v>
          </cell>
          <cell r="C2760" t="str">
            <v>17</v>
          </cell>
          <cell r="E2760" t="str">
            <v>PCS</v>
          </cell>
          <cell r="F2760" t="str">
            <v>69B</v>
          </cell>
          <cell r="G2760" t="str">
            <v>SBM-3232/KEX</v>
          </cell>
          <cell r="AA2760" t="str">
            <v>HANWHA STOCK</v>
          </cell>
        </row>
        <row r="2761">
          <cell r="A2761" t="str">
            <v>SBM-4343</v>
          </cell>
          <cell r="B2761" t="str">
            <v>Monitor Stand for 44 inch monitor</v>
          </cell>
          <cell r="C2761" t="str">
            <v>22</v>
          </cell>
          <cell r="E2761" t="str">
            <v>PCS</v>
          </cell>
          <cell r="F2761" t="str">
            <v>69A</v>
          </cell>
          <cell r="G2761" t="str">
            <v>SBM-4343/KEX</v>
          </cell>
          <cell r="AA2761" t="str">
            <v>HANWHA STOCK</v>
          </cell>
        </row>
        <row r="2762">
          <cell r="A2762" t="str">
            <v>SBO-100B1</v>
          </cell>
          <cell r="B2762" t="str">
            <v>Back Box for Bullet Camera</v>
          </cell>
          <cell r="C2762" t="str">
            <v>0</v>
          </cell>
          <cell r="E2762" t="str">
            <v>PCS</v>
          </cell>
          <cell r="G2762" t="str">
            <v>SBO-100B1/VEX</v>
          </cell>
          <cell r="AA2762" t="str">
            <v>HANWHA STOCK</v>
          </cell>
        </row>
        <row r="2763">
          <cell r="A2763" t="str">
            <v>SBO-126B</v>
          </cell>
          <cell r="B2763" t="str">
            <v xml:space="preserve">Back Box for XNO-L6080R </v>
          </cell>
          <cell r="C2763" t="str">
            <v>0</v>
          </cell>
          <cell r="E2763" t="str">
            <v>PCS</v>
          </cell>
          <cell r="G2763" t="str">
            <v>SBO-126B/VEX</v>
          </cell>
          <cell r="AA2763" t="str">
            <v>HANWHA STOCK</v>
          </cell>
        </row>
        <row r="2764">
          <cell r="A2764" t="str">
            <v>SBO-140BW</v>
          </cell>
          <cell r="B2764" t="str">
            <v>Back box for QNO-C8083R/QNO-C9083R</v>
          </cell>
          <cell r="C2764" t="str">
            <v>0</v>
          </cell>
          <cell r="E2764" t="str">
            <v>PCS</v>
          </cell>
          <cell r="G2764" t="str">
            <v>SBO-140BW/VEX</v>
          </cell>
          <cell r="AA2764" t="str">
            <v>HANWHA STOCK</v>
          </cell>
        </row>
        <row r="2765">
          <cell r="A2765" t="str">
            <v>SBP-120WM</v>
          </cell>
          <cell r="B2765" t="str">
            <v>Wall Mount (QND-7080R/7030R/7020R/7010R/6070R, QND-6030R/6020R/6010R, XND-6010/6020 , SND-6083R/L6014R/L6013R/L6013/L6012/L5083R/L5013, SCD-6083R/6023R/6021/5083R/5083/5082/5080)</v>
          </cell>
          <cell r="C2765" t="str">
            <v>5</v>
          </cell>
          <cell r="E2765" t="str">
            <v>PCS</v>
          </cell>
          <cell r="F2765" t="str">
            <v>26B</v>
          </cell>
          <cell r="G2765" t="str">
            <v>SBP-120WM/VEX</v>
          </cell>
          <cell r="AA2765" t="str">
            <v>HANWHA STOCK</v>
          </cell>
        </row>
        <row r="2766">
          <cell r="A2766" t="str">
            <v>SBP-120WMW</v>
          </cell>
          <cell r="B2766" t="str">
            <v>White Color, Wall Mount (QND-7080R/7030R/7020R/7010R/6070R, QND-6030R/6020R/6010R, XND-6010/6020 , SND-6083R/L6014R/L6013R/L6013/L6012/L5083R/L5013, SCD-6083R/6023R/6021/5083R/5083/5082/5080)</v>
          </cell>
          <cell r="C2766" t="str">
            <v>13</v>
          </cell>
          <cell r="E2766" t="str">
            <v>PCS</v>
          </cell>
          <cell r="F2766" t="str">
            <v>26B</v>
          </cell>
          <cell r="G2766" t="str">
            <v>SBP-120WMW/VEX</v>
          </cell>
          <cell r="AA2766" t="str">
            <v>HANWHA STOCK</v>
          </cell>
        </row>
        <row r="2767">
          <cell r="A2767" t="str">
            <v>SBP-137WM</v>
          </cell>
          <cell r="B2767" t="str">
            <v>Outdoor Wall Mount (Q Series)</v>
          </cell>
          <cell r="C2767" t="str">
            <v>22</v>
          </cell>
          <cell r="E2767" t="str">
            <v>PCS</v>
          </cell>
          <cell r="F2767" t="str">
            <v>70A</v>
          </cell>
          <cell r="G2767" t="str">
            <v>SBP-137WM/VEX</v>
          </cell>
          <cell r="AA2767" t="str">
            <v>HANWHA STOCK</v>
          </cell>
        </row>
        <row r="2768">
          <cell r="A2768" t="str">
            <v>SBP-137WM1</v>
          </cell>
          <cell r="B2768" t="str">
            <v>Wall Mount</v>
          </cell>
          <cell r="C2768" t="str">
            <v>154</v>
          </cell>
          <cell r="E2768" t="str">
            <v>PCS</v>
          </cell>
          <cell r="F2768" t="str">
            <v>72B</v>
          </cell>
          <cell r="G2768" t="str">
            <v>SBP-137WM1/VEX</v>
          </cell>
          <cell r="AA2768" t="str">
            <v>HANWHA STOCK</v>
          </cell>
        </row>
        <row r="2769">
          <cell r="A2769" t="str">
            <v>SBP-137WMW</v>
          </cell>
          <cell r="B2769" t="str">
            <v>White Color, Outdoor Wall Mount (Q Series)</v>
          </cell>
          <cell r="C2769" t="str">
            <v>0</v>
          </cell>
          <cell r="E2769" t="str">
            <v>PCS</v>
          </cell>
          <cell r="G2769" t="str">
            <v>SBP-137WMW/VEX</v>
          </cell>
          <cell r="AA2769" t="str">
            <v>HANWHA STOCK</v>
          </cell>
        </row>
        <row r="2770">
          <cell r="A2770" t="str">
            <v>SBP-137WMW1</v>
          </cell>
          <cell r="B2770" t="str">
            <v>Wall Mount White Color</v>
          </cell>
          <cell r="C2770" t="str">
            <v>0</v>
          </cell>
          <cell r="E2770" t="str">
            <v>PCS</v>
          </cell>
          <cell r="G2770" t="str">
            <v>SBP-137WMW1/VEX</v>
          </cell>
          <cell r="AA2770" t="str">
            <v>HANWHA STOCK</v>
          </cell>
        </row>
        <row r="2771">
          <cell r="A2771" t="str">
            <v>SBP-156CMW</v>
          </cell>
          <cell r="B2771" t="str">
            <v>Ceiling mount for PTZ-plus</v>
          </cell>
          <cell r="C2771" t="str">
            <v>0</v>
          </cell>
          <cell r="E2771" t="str">
            <v>PCS</v>
          </cell>
          <cell r="G2771" t="str">
            <v>SBP-156CMW/VEX</v>
          </cell>
          <cell r="AA2771" t="str">
            <v>HANWHA STOCK</v>
          </cell>
        </row>
        <row r="2772">
          <cell r="A2772" t="str">
            <v>SBP-156HMW</v>
          </cell>
          <cell r="B2772" t="str">
            <v>Hanging Mount PTZ Plus Cameras</v>
          </cell>
          <cell r="C2772" t="str">
            <v>27</v>
          </cell>
          <cell r="E2772" t="str">
            <v>PCS</v>
          </cell>
          <cell r="F2772" t="str">
            <v>73B</v>
          </cell>
          <cell r="G2772" t="str">
            <v>SBP-156HMW/VEX</v>
          </cell>
          <cell r="AA2772" t="str">
            <v>HANWHA STOCK</v>
          </cell>
        </row>
        <row r="2773">
          <cell r="A2773" t="str">
            <v>SBP-156KMW</v>
          </cell>
          <cell r="B2773" t="str">
            <v>Corner Mount PTZ Plus Cameras</v>
          </cell>
          <cell r="C2773" t="str">
            <v>0</v>
          </cell>
          <cell r="E2773" t="str">
            <v>PCS</v>
          </cell>
          <cell r="G2773" t="str">
            <v>SBP-156KMW/VEX</v>
          </cell>
          <cell r="AA2773" t="str">
            <v>HANWHA STOCK</v>
          </cell>
        </row>
        <row r="2774">
          <cell r="A2774" t="str">
            <v>SBP-156WMW</v>
          </cell>
          <cell r="B2774" t="str">
            <v>Wall and Pole Mount for PTZ Plus Cameras</v>
          </cell>
          <cell r="C2774" t="str">
            <v>4</v>
          </cell>
          <cell r="E2774" t="str">
            <v>PCS</v>
          </cell>
          <cell r="F2774" t="str">
            <v>25B</v>
          </cell>
          <cell r="G2774" t="str">
            <v>SBP-156WMW/VEX</v>
          </cell>
          <cell r="AA2774" t="str">
            <v>HANWHA STOCK</v>
          </cell>
        </row>
        <row r="2775">
          <cell r="A2775" t="str">
            <v>SBP-160HMW1</v>
          </cell>
          <cell r="B2775" t="str">
            <v>Hanging cap compatible with: XNF-9010RV / 9010RVM, XND-9082RV / 8082RV, XND- 6081V / 6081VZ / 6081RV / 6081REV, XND-8081RV / 8081REV, PND-A9081RV, PND-A6081RV, XND-6083RV / C7083RV / 8081VZ / 8083RV / C8083RV / 8093RV / 9083RV / C9083RV, XNV-C6083R / C7083R / C8083R / C9083R, TNF-9010, white color.</v>
          </cell>
          <cell r="C2775" t="str">
            <v>140</v>
          </cell>
          <cell r="E2775" t="str">
            <v>PCS</v>
          </cell>
          <cell r="F2775" t="str">
            <v>24B, 67A</v>
          </cell>
          <cell r="G2775" t="str">
            <v>SBP-160HMW1/VEX</v>
          </cell>
          <cell r="AA2775" t="str">
            <v>HANWHA STOCK</v>
          </cell>
        </row>
        <row r="2776">
          <cell r="A2776" t="str">
            <v>SBP-167HMW</v>
          </cell>
          <cell r="B2776" t="str">
            <v xml:space="preserve">Hanging Mounts White XND-6081VZ/8081VZ, XND-6081V/6081RV/8081RV
</v>
          </cell>
          <cell r="C2776" t="str">
            <v>0</v>
          </cell>
          <cell r="E2776" t="str">
            <v>PCS</v>
          </cell>
          <cell r="G2776" t="str">
            <v>SBP-167HMW/VEX</v>
          </cell>
          <cell r="AA2776" t="str">
            <v>HANWHA STOCK</v>
          </cell>
        </row>
        <row r="2777">
          <cell r="A2777" t="str">
            <v>SBP-180HMW1</v>
          </cell>
          <cell r="B2777" t="str">
            <v>Hanging mount</v>
          </cell>
          <cell r="C2777" t="str">
            <v>5</v>
          </cell>
          <cell r="E2777" t="str">
            <v>PCS</v>
          </cell>
          <cell r="F2777" t="str">
            <v>25B</v>
          </cell>
          <cell r="G2777" t="str">
            <v>SBP-180HMW1/VEX</v>
          </cell>
          <cell r="AA2777" t="str">
            <v>HANWHA STOCK</v>
          </cell>
        </row>
        <row r="2778">
          <cell r="A2778" t="str">
            <v>SBP-187HMW</v>
          </cell>
          <cell r="B2778" t="str">
            <v>Hanging Mounts White XNV-6081Z/8081Z, XNV-6081/6081R/8081R</v>
          </cell>
          <cell r="C2778" t="str">
            <v>0</v>
          </cell>
          <cell r="E2778" t="str">
            <v>PCS</v>
          </cell>
          <cell r="G2778" t="str">
            <v>SBP-187HMW/VEX</v>
          </cell>
          <cell r="AA2778" t="str">
            <v>HANWHA STOCK</v>
          </cell>
        </row>
        <row r="2779">
          <cell r="A2779" t="str">
            <v>SBP-250HMW</v>
          </cell>
          <cell r="B2779" t="str">
            <v>Hanging adaptor</v>
          </cell>
          <cell r="C2779" t="str">
            <v>6</v>
          </cell>
          <cell r="E2779" t="str">
            <v>PCS</v>
          </cell>
          <cell r="F2779" t="str">
            <v>25B</v>
          </cell>
          <cell r="G2779" t="str">
            <v>SBP-250HMW/VEX</v>
          </cell>
          <cell r="AA2779" t="str">
            <v>HANWHA STOCK</v>
          </cell>
        </row>
        <row r="2780">
          <cell r="A2780" t="str">
            <v>SBP-250WMW</v>
          </cell>
          <cell r="B2780" t="str">
            <v>Wall Mount White</v>
          </cell>
          <cell r="C2780" t="str">
            <v>1</v>
          </cell>
          <cell r="E2780" t="str">
            <v>PCS</v>
          </cell>
          <cell r="F2780" t="str">
            <v>25A</v>
          </cell>
          <cell r="G2780" t="str">
            <v>SBP-250WMW/VEX</v>
          </cell>
          <cell r="AA2780" t="str">
            <v>HANWHA STOCK</v>
          </cell>
        </row>
        <row r="2781">
          <cell r="A2781" t="str">
            <v>SBP-276HMW</v>
          </cell>
          <cell r="B2781" t="str">
            <v>Hanging mount (White) for the PNM-9000VQ</v>
          </cell>
          <cell r="C2781" t="str">
            <v>0</v>
          </cell>
          <cell r="E2781" t="str">
            <v>PCS</v>
          </cell>
          <cell r="G2781" t="str">
            <v>SBP-276HMW/VEX</v>
          </cell>
          <cell r="AA2781" t="str">
            <v>HANWHA STOCK</v>
          </cell>
        </row>
        <row r="2782">
          <cell r="A2782" t="str">
            <v>SBP-300BW1</v>
          </cell>
          <cell r="B2782" t="str">
            <v>Wall Mount Bracket (TNO-7180RLP)</v>
          </cell>
          <cell r="C2782" t="str">
            <v>100</v>
          </cell>
          <cell r="E2782" t="str">
            <v>PCS</v>
          </cell>
          <cell r="F2782" t="str">
            <v>24B</v>
          </cell>
          <cell r="G2782" t="str">
            <v>SBP-300BW1/VEX</v>
          </cell>
          <cell r="AA2782" t="str">
            <v>HANWHA STOCK</v>
          </cell>
        </row>
        <row r="2783">
          <cell r="A2783" t="str">
            <v>SBP-300CM</v>
          </cell>
          <cell r="B2783" t="str">
            <v>Ceiling Mount (Ivory)</v>
          </cell>
          <cell r="C2783" t="str">
            <v>22</v>
          </cell>
          <cell r="E2783" t="str">
            <v>PCS</v>
          </cell>
          <cell r="F2783" t="str">
            <v>68A</v>
          </cell>
          <cell r="G2783" t="str">
            <v>SBP-300CM/VEX</v>
          </cell>
          <cell r="AA2783" t="str">
            <v>HANWHA STOCK</v>
          </cell>
        </row>
        <row r="2784">
          <cell r="A2784" t="str">
            <v>SBP-300CMW</v>
          </cell>
          <cell r="B2784" t="str">
            <v>Ceiling Mount (White)</v>
          </cell>
          <cell r="C2784" t="str">
            <v>0</v>
          </cell>
          <cell r="E2784" t="str">
            <v>PCS</v>
          </cell>
          <cell r="G2784" t="str">
            <v>SBP-300CMW/VEX</v>
          </cell>
          <cell r="AA2784" t="str">
            <v>HANWHA STOCK</v>
          </cell>
        </row>
        <row r="2785">
          <cell r="A2785" t="str">
            <v>SBP-300CMW1</v>
          </cell>
          <cell r="B2785" t="str">
            <v>Ceiling Mount</v>
          </cell>
          <cell r="C2785" t="str">
            <v>18</v>
          </cell>
          <cell r="E2785" t="str">
            <v>PCS</v>
          </cell>
          <cell r="F2785" t="str">
            <v>67A, 68A</v>
          </cell>
          <cell r="G2785" t="str">
            <v>SBP-300CMW1/VEX</v>
          </cell>
          <cell r="AA2785" t="str">
            <v>HANWHA STOCK</v>
          </cell>
        </row>
        <row r="2786">
          <cell r="A2786" t="str">
            <v>SBP-300HM6</v>
          </cell>
          <cell r="B2786" t="str">
            <v>Hanging Mount (for PNV-9080R, SNV- 5084/5084R/6084/6084R/6085R/7084/7084R/8080/8081R, SCV-6081R)</v>
          </cell>
          <cell r="C2786" t="str">
            <v>0</v>
          </cell>
          <cell r="E2786" t="str">
            <v>PCS</v>
          </cell>
          <cell r="G2786" t="str">
            <v>SBP-300HM6/VEX</v>
          </cell>
          <cell r="AA2786" t="str">
            <v>HANWHA STOCK</v>
          </cell>
        </row>
        <row r="2787">
          <cell r="A2787" t="str">
            <v>SBP-300HMS6</v>
          </cell>
          <cell r="B2787" t="str">
            <v>SUS hanging mount for Stainless camera</v>
          </cell>
          <cell r="C2787" t="str">
            <v>0</v>
          </cell>
          <cell r="E2787" t="str">
            <v>PCS</v>
          </cell>
          <cell r="G2787" t="str">
            <v>SBP-300HMS6/KEX</v>
          </cell>
          <cell r="AA2787" t="str">
            <v>HANWHA STOCK</v>
          </cell>
        </row>
        <row r="2788">
          <cell r="A2788" t="str">
            <v>SBP-300KM</v>
          </cell>
          <cell r="B2788" t="str">
            <v>Corner Mount Adaptor (Ivory) (for SBP-300B/300WM/300WM1)</v>
          </cell>
          <cell r="C2788" t="str">
            <v>26</v>
          </cell>
          <cell r="E2788" t="str">
            <v>PCS</v>
          </cell>
          <cell r="F2788" t="str">
            <v>25A</v>
          </cell>
          <cell r="G2788" t="str">
            <v>SBP-300KM/VEX</v>
          </cell>
          <cell r="AA2788" t="str">
            <v>HANWHA STOCK</v>
          </cell>
        </row>
        <row r="2789">
          <cell r="A2789" t="str">
            <v>SBP-300LMW</v>
          </cell>
          <cell r="B2789" t="str">
            <v>Long Arm Wall Mount (Parapet Mount) (White)</v>
          </cell>
          <cell r="C2789" t="str">
            <v>0</v>
          </cell>
          <cell r="E2789" t="str">
            <v>PCS</v>
          </cell>
          <cell r="G2789" t="str">
            <v>SBP-300LMW/VEX</v>
          </cell>
          <cell r="AA2789" t="str">
            <v>HANWHA STOCK</v>
          </cell>
        </row>
        <row r="2790">
          <cell r="A2790" t="str">
            <v>SBP-300NBW</v>
          </cell>
          <cell r="B2790" t="str">
            <v>White Color, PTZ installation Box</v>
          </cell>
          <cell r="C2790" t="str">
            <v>0</v>
          </cell>
          <cell r="E2790" t="str">
            <v>PCS</v>
          </cell>
          <cell r="G2790" t="str">
            <v>SBP-300NBW/KEX</v>
          </cell>
          <cell r="AA2790" t="str">
            <v>HANWHA STOCK</v>
          </cell>
        </row>
        <row r="2791">
          <cell r="A2791" t="str">
            <v>SBP-300PM1</v>
          </cell>
          <cell r="B2791" t="str">
            <v>Pole Mount Adaptor Aluminium</v>
          </cell>
          <cell r="C2791" t="str">
            <v>2</v>
          </cell>
          <cell r="E2791" t="str">
            <v>PCS</v>
          </cell>
          <cell r="F2791" t="str">
            <v>73B</v>
          </cell>
          <cell r="G2791" t="str">
            <v>SBP-300PM1/VEX</v>
          </cell>
          <cell r="AA2791" t="str">
            <v>HANWHA STOCK</v>
          </cell>
        </row>
        <row r="2792">
          <cell r="A2792" t="str">
            <v>SBP-300PMW1</v>
          </cell>
          <cell r="B2792" t="str">
            <v>Pole Mount Adaptor Aluminium (White)</v>
          </cell>
          <cell r="C2792" t="str">
            <v>25</v>
          </cell>
          <cell r="E2792" t="str">
            <v>PCS</v>
          </cell>
          <cell r="F2792" t="str">
            <v>26B</v>
          </cell>
          <cell r="G2792" t="str">
            <v>SBP-300PMW1/VEX</v>
          </cell>
          <cell r="AA2792" t="str">
            <v>HANWHA STOCK</v>
          </cell>
        </row>
        <row r="2793">
          <cell r="A2793" t="str">
            <v>SBP-300PMW2</v>
          </cell>
          <cell r="B2793" t="str">
            <v xml:space="preserve">Pole mount adaptor Aluminium </v>
          </cell>
          <cell r="C2793" t="str">
            <v>9</v>
          </cell>
          <cell r="E2793" t="str">
            <v>PCS</v>
          </cell>
          <cell r="F2793" t="str">
            <v>25B, 26B</v>
          </cell>
          <cell r="G2793" t="str">
            <v>SBP-300PMW2/VEX</v>
          </cell>
          <cell r="AA2793" t="str">
            <v>HANWHA STOCK</v>
          </cell>
        </row>
        <row r="2794">
          <cell r="A2794" t="str">
            <v>SBP-300WM</v>
          </cell>
          <cell r="B2794" t="str">
            <v>Wall Mount (Ivory)</v>
          </cell>
          <cell r="C2794" t="str">
            <v>24</v>
          </cell>
          <cell r="E2794" t="str">
            <v>PCS</v>
          </cell>
          <cell r="F2794" t="str">
            <v>69B</v>
          </cell>
          <cell r="G2794" t="str">
            <v>SBP-300WM/VEX</v>
          </cell>
          <cell r="AA2794" t="str">
            <v>HANWHA STOCK</v>
          </cell>
        </row>
        <row r="2795">
          <cell r="A2795" t="str">
            <v>SBP-300WM1</v>
          </cell>
          <cell r="B2795" t="str">
            <v>Wall Mount (Ivory)</v>
          </cell>
          <cell r="C2795" t="str">
            <v>0</v>
          </cell>
          <cell r="E2795" t="str">
            <v>PCS</v>
          </cell>
          <cell r="G2795" t="str">
            <v>SBP-300WM1/VEX</v>
          </cell>
          <cell r="AA2795" t="str">
            <v>HANWHA STOCK</v>
          </cell>
        </row>
        <row r="2796">
          <cell r="A2796" t="str">
            <v>SBP-300WMS1</v>
          </cell>
          <cell r="B2796" t="str">
            <v>SUS wall mount (Stainless)</v>
          </cell>
          <cell r="C2796" t="str">
            <v>0</v>
          </cell>
          <cell r="E2796" t="str">
            <v>PCS</v>
          </cell>
          <cell r="G2796" t="str">
            <v>SBP-300WMS1/EX</v>
          </cell>
          <cell r="AA2796" t="str">
            <v>HANWHA STOCK</v>
          </cell>
        </row>
        <row r="2797">
          <cell r="A2797" t="str">
            <v>SBP-300WMW</v>
          </cell>
          <cell r="B2797" t="str">
            <v xml:space="preserve">Wall Mount (White) </v>
          </cell>
          <cell r="C2797" t="str">
            <v>0</v>
          </cell>
          <cell r="E2797" t="str">
            <v>PCS</v>
          </cell>
          <cell r="G2797" t="str">
            <v>SBP-300WMW/VEX</v>
          </cell>
          <cell r="AA2797" t="str">
            <v>HANWHA STOCK</v>
          </cell>
        </row>
        <row r="2798">
          <cell r="A2798" t="str">
            <v>SBP-300WMW1</v>
          </cell>
          <cell r="B2798" t="str">
            <v>Wall Mount (White)</v>
          </cell>
          <cell r="C2798" t="str">
            <v>135</v>
          </cell>
          <cell r="E2798" t="str">
            <v>PCS</v>
          </cell>
          <cell r="F2798" t="str">
            <v>67A</v>
          </cell>
          <cell r="G2798" t="str">
            <v>SBP-300WMW1/VEX</v>
          </cell>
          <cell r="AA2798" t="str">
            <v>HANWHA STOCK</v>
          </cell>
        </row>
        <row r="2799">
          <cell r="A2799" t="str">
            <v>SBP-301HMW2</v>
          </cell>
          <cell r="B2799" t="str">
            <v>White Color, Hanging Mount Adaptor (for QNV-7080R/6070R, SNV-L6083R/L5083R/1080R/1080, SND- 7084R/7084/6084R/6084/6083/5084R/5084/5083, SCV- 6083R/6023R/5085/5083R/5083/5082R/5082/3083/3082/3081/2082R/2081R/2081, SCD-6081R)</v>
          </cell>
          <cell r="C2799" t="str">
            <v>0</v>
          </cell>
          <cell r="E2799" t="str">
            <v>PCS</v>
          </cell>
          <cell r="G2799" t="str">
            <v>SBP-301HMW2/VEX</v>
          </cell>
          <cell r="AA2799" t="str">
            <v>HANWHA STOCK</v>
          </cell>
        </row>
        <row r="2800">
          <cell r="A2800" t="str">
            <v>SBP-302CMBW</v>
          </cell>
          <cell r="B2800" t="str">
            <v>Backbox for Ceiling Mount White</v>
          </cell>
          <cell r="C2800" t="str">
            <v>0</v>
          </cell>
          <cell r="E2800" t="str">
            <v>PCS</v>
          </cell>
          <cell r="G2800" t="str">
            <v>SBP-302CMBW/KUS</v>
          </cell>
          <cell r="AA2800" t="str">
            <v>HANWHA STOCK</v>
          </cell>
        </row>
        <row r="2801">
          <cell r="A2801" t="str">
            <v>SBP-302PM</v>
          </cell>
          <cell r="B2801" t="str">
            <v>Pole Mount Adaptor (DarkGray) (for PNO-9080R/SNO-8081R/SBO-100B1)</v>
          </cell>
          <cell r="C2801" t="str">
            <v>0</v>
          </cell>
          <cell r="E2801" t="str">
            <v>PCS</v>
          </cell>
          <cell r="G2801" t="str">
            <v>SBP-302PM/VEX</v>
          </cell>
          <cell r="AA2801" t="str">
            <v>HANWHA STOCK</v>
          </cell>
        </row>
        <row r="2802">
          <cell r="A2802" t="str">
            <v>SBP-317HMW</v>
          </cell>
          <cell r="B2802" t="str">
            <v>Hanging Mount White</v>
          </cell>
          <cell r="C2802" t="str">
            <v>3</v>
          </cell>
          <cell r="E2802" t="str">
            <v>PCS</v>
          </cell>
          <cell r="F2802" t="str">
            <v>25A</v>
          </cell>
          <cell r="G2802" t="str">
            <v>SBP-317HMW/VEX</v>
          </cell>
          <cell r="AA2802" t="str">
            <v>HANWHA STOCK</v>
          </cell>
        </row>
        <row r="2803">
          <cell r="A2803" t="str">
            <v>SBP-390WMW2</v>
          </cell>
          <cell r="B2803" t="str">
            <v>Extension Wall Mount for X-Plus, White</v>
          </cell>
          <cell r="C2803" t="str">
            <v>13</v>
          </cell>
          <cell r="E2803" t="str">
            <v>PCS</v>
          </cell>
          <cell r="F2803" t="str">
            <v>26A</v>
          </cell>
          <cell r="G2803" t="str">
            <v>SBP-390WMW2/VEX</v>
          </cell>
          <cell r="AA2803" t="str">
            <v>HANWHA STOCK</v>
          </cell>
        </row>
        <row r="2804">
          <cell r="A2804" t="str">
            <v>SBV-116B</v>
          </cell>
          <cell r="B2804" t="str">
            <v>Back Box for XNV-6011</v>
          </cell>
          <cell r="C2804" t="str">
            <v>0</v>
          </cell>
          <cell r="E2804" t="str">
            <v>PCS</v>
          </cell>
          <cell r="G2804" t="str">
            <v>SBV-116B/VEX</v>
          </cell>
          <cell r="AA2804" t="str">
            <v>HANWHA STOCK</v>
          </cell>
        </row>
        <row r="2805">
          <cell r="A2805" t="str">
            <v>SBV-120GW</v>
          </cell>
          <cell r="B2805" t="str">
            <v>Back Box</v>
          </cell>
          <cell r="C2805" t="str">
            <v>0</v>
          </cell>
          <cell r="E2805" t="str">
            <v>PCS</v>
          </cell>
          <cell r="G2805" t="str">
            <v>SBV-120GW/VEX</v>
          </cell>
          <cell r="AA2805" t="str">
            <v>HANWHA STOCK</v>
          </cell>
        </row>
        <row r="2806">
          <cell r="A2806" t="str">
            <v>SBV-136BW</v>
          </cell>
          <cell r="B2806" t="str">
            <v>Back Box (for SNV-L6083R/L5083R, SCV-5082/5083/5083R) (White)</v>
          </cell>
          <cell r="C2806" t="str">
            <v>0</v>
          </cell>
          <cell r="E2806" t="str">
            <v>PCS</v>
          </cell>
          <cell r="G2806" t="str">
            <v>SBV-136BW/VEX</v>
          </cell>
          <cell r="AA2806" t="str">
            <v>HANWHA STOCK</v>
          </cell>
        </row>
        <row r="2807">
          <cell r="A2807" t="str">
            <v>SBV-161WCW</v>
          </cell>
          <cell r="B2807" t="str">
            <v>Weather cap compatible with: XNV-C6083R/C7083R/C8083R/C9083R</v>
          </cell>
          <cell r="C2807" t="str">
            <v>0</v>
          </cell>
          <cell r="E2807" t="str">
            <v>PCS</v>
          </cell>
          <cell r="G2807" t="str">
            <v>SBV-161WCW/VEX</v>
          </cell>
          <cell r="AA2807" t="str">
            <v>HANWHA STOCK</v>
          </cell>
        </row>
        <row r="2808">
          <cell r="A2808" t="str">
            <v>SHB-4200</v>
          </cell>
          <cell r="B2808" t="str">
            <v>Indoor/Outdoor Housing for Box Camera, IP66 (including braket)</v>
          </cell>
          <cell r="C2808" t="str">
            <v>0</v>
          </cell>
          <cell r="E2808" t="str">
            <v>PCS</v>
          </cell>
          <cell r="G2808" t="str">
            <v>SHB-4200/KEX</v>
          </cell>
          <cell r="AA2808" t="str">
            <v>HANWHA STOCK</v>
          </cell>
        </row>
        <row r="2809">
          <cell r="A2809" t="str">
            <v>SHD-1198FW</v>
          </cell>
          <cell r="B2809" t="str">
            <v>Flush Mount</v>
          </cell>
          <cell r="C2809" t="str">
            <v>3</v>
          </cell>
          <cell r="E2809" t="str">
            <v>PCS</v>
          </cell>
          <cell r="F2809" t="str">
            <v>70A</v>
          </cell>
          <cell r="G2809" t="str">
            <v>SHD-1198FW/VEX</v>
          </cell>
          <cell r="AA2809" t="str">
            <v>HANWHA STOCK</v>
          </cell>
        </row>
        <row r="2810">
          <cell r="A2810" t="str">
            <v>SHD-1600FPW</v>
          </cell>
          <cell r="B2810" t="str">
            <v>In Ceiling Housing</v>
          </cell>
          <cell r="C2810" t="str">
            <v>54</v>
          </cell>
          <cell r="E2810" t="str">
            <v>PCS</v>
          </cell>
          <cell r="F2810" t="str">
            <v>68B</v>
          </cell>
          <cell r="G2810" t="str">
            <v>SHD-1600FPW/VEX</v>
          </cell>
          <cell r="AA2810" t="str">
            <v>HANWHA STOCK</v>
          </cell>
        </row>
        <row r="2811">
          <cell r="A2811" t="str">
            <v>SHD-2510FPW</v>
          </cell>
          <cell r="B2811" t="str">
            <v>In Ceiling Mount for Muti Cam</v>
          </cell>
          <cell r="C2811" t="str">
            <v>2</v>
          </cell>
          <cell r="E2811" t="str">
            <v>PCS</v>
          </cell>
          <cell r="F2811" t="str">
            <v>26A</v>
          </cell>
          <cell r="G2811" t="str">
            <v>SHD-2510FPW/VEX</v>
          </cell>
          <cell r="AA2811" t="str">
            <v>HANWHA STOCK</v>
          </cell>
        </row>
        <row r="2812">
          <cell r="A2812" t="str">
            <v>SHP-3701FB</v>
          </cell>
          <cell r="B2812" t="str">
            <v xml:space="preserve">PTZ In-Ceiling Housing </v>
          </cell>
          <cell r="C2812" t="str">
            <v>2</v>
          </cell>
          <cell r="E2812" t="str">
            <v>PCS</v>
          </cell>
          <cell r="F2812" t="str">
            <v>72B</v>
          </cell>
          <cell r="G2812" t="str">
            <v>SHP-3701FB/VEX</v>
          </cell>
          <cell r="AA2812" t="str">
            <v>HANWHA STOCK</v>
          </cell>
        </row>
        <row r="2813">
          <cell r="A2813" t="str">
            <v>Signo 20 SEOS T</v>
          </cell>
          <cell r="B2813" t="str">
            <v xml:space="preserve"> </v>
          </cell>
          <cell r="C2813" t="str">
            <v>56</v>
          </cell>
          <cell r="E2813" t="str">
            <v>PCS</v>
          </cell>
          <cell r="F2813" t="str">
            <v>63A</v>
          </cell>
          <cell r="G2813" t="str">
            <v>-</v>
          </cell>
          <cell r="AA2813" t="str">
            <v>HANWHA STOCK</v>
          </cell>
        </row>
        <row r="2814">
          <cell r="A2814" t="str">
            <v>Signo 40 SEOS Elite</v>
          </cell>
          <cell r="B2814" t="str">
            <v>OSDP, SEOS (SEOS Profile) : iClass SEOS/ SEOS Elite</v>
          </cell>
          <cell r="C2814" t="str">
            <v>10</v>
          </cell>
          <cell r="E2814" t="str">
            <v>PCS</v>
          </cell>
          <cell r="F2814" t="str">
            <v>26B</v>
          </cell>
          <cell r="G2814" t="str">
            <v>40NKS01000X6MH003</v>
          </cell>
          <cell r="AA2814" t="str">
            <v>HANWHA STOCK</v>
          </cell>
        </row>
        <row r="2815">
          <cell r="A2815" t="str">
            <v>Signo 40 SEOS Elite T</v>
          </cell>
          <cell r="B2815" t="str">
            <v xml:space="preserve"> </v>
          </cell>
          <cell r="C2815" t="str">
            <v>20</v>
          </cell>
          <cell r="E2815" t="str">
            <v>PCS</v>
          </cell>
          <cell r="F2815" t="str">
            <v>63A</v>
          </cell>
          <cell r="G2815" t="str">
            <v>-</v>
          </cell>
          <cell r="AA2815" t="str">
            <v>HANWHA STOCK</v>
          </cell>
        </row>
        <row r="2816">
          <cell r="A2816" t="str">
            <v>Signo 40 STD</v>
          </cell>
          <cell r="B2816" t="str">
            <v>OSDP, STD (Standard Profile) : iClass SEOS/SE/SR, MIFARE Classsic/ Desfire EV1&amp;EV2, HID Prox, Indala, EM4102</v>
          </cell>
          <cell r="C2816" t="str">
            <v>0</v>
          </cell>
          <cell r="E2816" t="str">
            <v>PCS</v>
          </cell>
          <cell r="G2816" t="str">
            <v>40NKS00000X6PH003</v>
          </cell>
          <cell r="AA2816" t="str">
            <v>HANWHA STOCK</v>
          </cell>
        </row>
        <row r="2817">
          <cell r="A2817" t="str">
            <v>Signo 40K SEOS Elite</v>
          </cell>
          <cell r="B2817" t="str">
            <v>OSDP, keypad, SEOS (SEOS Profile) : iClass SEOS/ SEOS Elite</v>
          </cell>
          <cell r="C2817" t="str">
            <v>9</v>
          </cell>
          <cell r="E2817" t="str">
            <v>PCS</v>
          </cell>
          <cell r="F2817" t="str">
            <v>68A</v>
          </cell>
          <cell r="G2817" t="str">
            <v>40KNKS01000X6MH003</v>
          </cell>
          <cell r="AA2817" t="str">
            <v>HANWHA STOCK</v>
          </cell>
        </row>
        <row r="2818">
          <cell r="A2818" t="str">
            <v>SIGNO20STD</v>
          </cell>
          <cell r="B2818" t="str">
            <v>OSDP, STD (Standard Profile) : iClass SE</v>
          </cell>
          <cell r="C2818" t="str">
            <v>0</v>
          </cell>
          <cell r="E2818" t="str">
            <v>PCS</v>
          </cell>
          <cell r="G2818" t="str">
            <v>20NKS-00-000X6P-H003</v>
          </cell>
          <cell r="AA2818" t="str">
            <v>HANWHA STOCK</v>
          </cell>
        </row>
        <row r="2819">
          <cell r="A2819" t="str">
            <v>SKK-R7106</v>
          </cell>
          <cell r="B2819" t="str">
            <v>ST6000NM019B – 6TB Seagate HDD</v>
          </cell>
          <cell r="C2819" t="str">
            <v>22</v>
          </cell>
          <cell r="E2819" t="str">
            <v>PCS</v>
          </cell>
          <cell r="F2819" t="str">
            <v>68A</v>
          </cell>
          <cell r="G2819" t="str">
            <v>ST6000NM019B</v>
          </cell>
          <cell r="AA2819" t="str">
            <v>HANWHA STOCK</v>
          </cell>
        </row>
        <row r="2820">
          <cell r="A2820" t="str">
            <v>SLA-2M1200P</v>
          </cell>
          <cell r="B2820" t="str">
            <v>2M, 12mm lens for PNM-9322VQP</v>
          </cell>
          <cell r="C2820" t="str">
            <v>0</v>
          </cell>
          <cell r="E2820" t="str">
            <v>PCS</v>
          </cell>
          <cell r="G2820" t="str">
            <v>SLA-2M1200P/VEX</v>
          </cell>
          <cell r="AA2820" t="str">
            <v>HANWHA STOCK</v>
          </cell>
        </row>
        <row r="2821">
          <cell r="A2821" t="str">
            <v>SLA-5M4600D</v>
          </cell>
          <cell r="B2821" t="str">
            <v>5M, 4.6mm lens unit for PNM-9000VD</v>
          </cell>
          <cell r="C2821" t="str">
            <v>2</v>
          </cell>
          <cell r="E2821" t="str">
            <v>PCS</v>
          </cell>
          <cell r="F2821" t="str">
            <v>25B</v>
          </cell>
          <cell r="G2821" t="str">
            <v>SLA-5M4600D/VEX</v>
          </cell>
          <cell r="AA2821" t="str">
            <v>HANWHA STOCK</v>
          </cell>
        </row>
        <row r="2822">
          <cell r="A2822" t="str">
            <v>SLA-5M4600P</v>
          </cell>
          <cell r="B2822" t="str">
            <v>5M, 4.6mm lens unit for PNM-9322VQP</v>
          </cell>
          <cell r="C2822" t="str">
            <v>4</v>
          </cell>
          <cell r="E2822" t="str">
            <v>PCS</v>
          </cell>
          <cell r="F2822" t="str">
            <v>68A</v>
          </cell>
          <cell r="G2822" t="str">
            <v>SLA-5M4600P/VEX</v>
          </cell>
          <cell r="AA2822" t="str">
            <v>HANWHA STOCK</v>
          </cell>
        </row>
        <row r="2823">
          <cell r="A2823" t="str">
            <v>SLA-5M7000P</v>
          </cell>
          <cell r="B2823" t="str">
            <v>5M, 7mm lens unit for PNM-9322VQP</v>
          </cell>
          <cell r="C2823" t="str">
            <v>4</v>
          </cell>
          <cell r="E2823" t="str">
            <v>PCS</v>
          </cell>
          <cell r="F2823" t="str">
            <v>68A</v>
          </cell>
          <cell r="G2823" t="str">
            <v>SLA-5M7000P/VEX</v>
          </cell>
          <cell r="AA2823" t="str">
            <v>HANWHA STOCK</v>
          </cell>
        </row>
        <row r="2824">
          <cell r="A2824" t="str">
            <v>SLA-M8550D</v>
          </cell>
          <cell r="B2824" t="str">
            <v>3MP 8.5~50mm CS mount Lens</v>
          </cell>
          <cell r="C2824" t="str">
            <v>0</v>
          </cell>
          <cell r="E2824" t="str">
            <v>PCS</v>
          </cell>
          <cell r="G2824" t="str">
            <v>SLA-M8550D/EX</v>
          </cell>
          <cell r="AA2824" t="str">
            <v>HANWHA STOCK</v>
          </cell>
        </row>
        <row r="2825">
          <cell r="A2825" t="str">
            <v>SLA-T2480</v>
          </cell>
          <cell r="B2825" t="str">
            <v>Lens for XNB-6001 - 2.4mm Cylinder type</v>
          </cell>
          <cell r="C2825" t="str">
            <v>161</v>
          </cell>
          <cell r="E2825" t="str">
            <v>PCS</v>
          </cell>
          <cell r="F2825" t="str">
            <v>25A</v>
          </cell>
          <cell r="G2825" t="str">
            <v>SLA-T2480/VEX</v>
          </cell>
          <cell r="AA2825" t="str">
            <v>HANWHA STOCK</v>
          </cell>
        </row>
        <row r="2826">
          <cell r="A2826" t="str">
            <v>SLA-T2480VA</v>
          </cell>
          <cell r="B2826" t="str">
            <v>2MP lens for PNM-9000QB, 2.4mm</v>
          </cell>
          <cell r="C2826" t="str">
            <v>1</v>
          </cell>
          <cell r="E2826" t="str">
            <v>PCS</v>
          </cell>
          <cell r="F2826" t="str">
            <v>26B</v>
          </cell>
          <cell r="G2826" t="str">
            <v>SLA-T2480VA/VEX</v>
          </cell>
          <cell r="AA2826" t="str">
            <v>HANWHA STOCK</v>
          </cell>
        </row>
        <row r="2827">
          <cell r="A2827" t="str">
            <v>SMT-2233</v>
          </cell>
          <cell r="B2827" t="str">
            <v>22" LED, VGA, BNC/HDMI With 3pin power code</v>
          </cell>
          <cell r="C2827" t="str">
            <v>0</v>
          </cell>
          <cell r="E2827" t="str">
            <v>PCS</v>
          </cell>
          <cell r="G2827" t="str">
            <v>SMT-2233/KSA</v>
          </cell>
          <cell r="AA2827" t="str">
            <v>HANWHA STOCK</v>
          </cell>
        </row>
        <row r="2828">
          <cell r="A2828" t="str">
            <v>SMT-2431</v>
          </cell>
          <cell r="B2828" t="str">
            <v>24" Monitor</v>
          </cell>
          <cell r="C2828" t="str">
            <v>0</v>
          </cell>
          <cell r="E2828" t="str">
            <v>PCS</v>
          </cell>
          <cell r="G2828" t="str">
            <v>SMT-2431/KSA</v>
          </cell>
          <cell r="AA2828" t="str">
            <v>HANWHA STOCK</v>
          </cell>
        </row>
        <row r="2829">
          <cell r="A2829" t="str">
            <v>SMT-3233</v>
          </cell>
          <cell r="B2829" t="str">
            <v>32" LED Monitor HDMI, DVI, VGA, BNC with 3pin power code</v>
          </cell>
          <cell r="C2829" t="str">
            <v>36</v>
          </cell>
          <cell r="E2829" t="str">
            <v>PCS</v>
          </cell>
          <cell r="F2829" t="str">
            <v>69C</v>
          </cell>
          <cell r="G2829" t="str">
            <v>SMT-3233/KSA</v>
          </cell>
          <cell r="AA2829" t="str">
            <v>HANWHA STOCK</v>
          </cell>
        </row>
        <row r="2830">
          <cell r="A2830" t="str">
            <v>SMT-4343</v>
          </cell>
          <cell r="B2830" t="str">
            <v>43" LED Monitor</v>
          </cell>
          <cell r="C2830" t="str">
            <v>22</v>
          </cell>
          <cell r="E2830" t="str">
            <v>PCS</v>
          </cell>
          <cell r="F2830" t="str">
            <v>68C</v>
          </cell>
          <cell r="G2830" t="str">
            <v>SMT-4343/KSA</v>
          </cell>
          <cell r="AA2830" t="str">
            <v>HANWHA STOCK</v>
          </cell>
        </row>
        <row r="2831">
          <cell r="A2831" t="str">
            <v>SND-L6083RP</v>
          </cell>
          <cell r="B2831" t="str">
            <v>Wisenet Lite, 2M Full HD Network IR Dome</v>
          </cell>
          <cell r="C2831" t="str">
            <v>0</v>
          </cell>
          <cell r="E2831" t="str">
            <v>PCS</v>
          </cell>
          <cell r="G2831" t="str">
            <v>SND-L6083RP/AJ</v>
          </cell>
          <cell r="AA2831" t="str">
            <v>HANWHA STOCK</v>
          </cell>
        </row>
        <row r="2832">
          <cell r="A2832" t="str">
            <v>SNO-L6083RP</v>
          </cell>
          <cell r="B2832" t="str">
            <v>Wisenet Lite, 2M Full HD Network IR Came</v>
          </cell>
          <cell r="C2832" t="str">
            <v>0</v>
          </cell>
          <cell r="E2832" t="str">
            <v>PCS</v>
          </cell>
          <cell r="G2832" t="str">
            <v>SNO-L6083RP/AJ</v>
          </cell>
          <cell r="AA2832" t="str">
            <v>HANWHA STOCK</v>
          </cell>
        </row>
        <row r="2833">
          <cell r="A2833" t="str">
            <v>SNP-6320P</v>
          </cell>
          <cell r="B2833" t="str">
            <v>2M Full HD, 32x, WDR(120dB), D/N(ICR)</v>
          </cell>
          <cell r="C2833" t="str">
            <v>0</v>
          </cell>
          <cell r="E2833" t="str">
            <v>PCS</v>
          </cell>
          <cell r="G2833" t="str">
            <v>SNP-6320P/AJ</v>
          </cell>
          <cell r="AA2833" t="str">
            <v>HANWHA STOCK</v>
          </cell>
        </row>
        <row r="2834">
          <cell r="A2834" t="str">
            <v>SNP-L6233RHP</v>
          </cell>
          <cell r="B2834" t="str">
            <v>Wisenet Lite, 2M Full HD, 23x, IR PTZ</v>
          </cell>
          <cell r="C2834" t="str">
            <v>0</v>
          </cell>
          <cell r="E2834" t="str">
            <v>PCS</v>
          </cell>
          <cell r="G2834" t="str">
            <v>SNP-L6233RHP/AJ</v>
          </cell>
          <cell r="AA2834" t="str">
            <v>HANWHA STOCK</v>
          </cell>
        </row>
        <row r="2835">
          <cell r="A2835" t="str">
            <v>SPA-C110W</v>
          </cell>
          <cell r="B2835" t="str">
            <v>IP Audio Speaker, White Color</v>
          </cell>
          <cell r="C2835" t="str">
            <v>0</v>
          </cell>
          <cell r="E2835" t="str">
            <v>PCS</v>
          </cell>
          <cell r="G2835" t="str">
            <v>SPA-C110W/KEX</v>
          </cell>
          <cell r="AA2835" t="str">
            <v>HANWHA STOCK</v>
          </cell>
        </row>
        <row r="2836">
          <cell r="A2836" t="str">
            <v>SPA-M1000</v>
          </cell>
          <cell r="B2836" t="str">
            <v>IP Microphone, Output Level: +10dBV± 3dB</v>
          </cell>
          <cell r="C2836" t="str">
            <v>0</v>
          </cell>
          <cell r="E2836" t="str">
            <v>PCS</v>
          </cell>
          <cell r="G2836" t="str">
            <v>-</v>
          </cell>
          <cell r="AA2836" t="str">
            <v>HANWHA STOCK</v>
          </cell>
        </row>
        <row r="2837">
          <cell r="A2837" t="str">
            <v>SPA-S1000</v>
          </cell>
          <cell r="B2837" t="str">
            <v>IP Audio Server, Up to 512 speakers, AC</v>
          </cell>
          <cell r="C2837" t="str">
            <v>0</v>
          </cell>
          <cell r="E2837" t="str">
            <v>PCS</v>
          </cell>
          <cell r="G2837" t="str">
            <v>SPA-S1000/KAP</v>
          </cell>
          <cell r="AA2837" t="str">
            <v>HANWHA STOCK</v>
          </cell>
        </row>
        <row r="2838">
          <cell r="A2838" t="str">
            <v>SPA-W100B</v>
          </cell>
          <cell r="B2838" t="str">
            <v>IP Wall mount speaker Black, Output level: +6 dBV ± 3 dB, PoE, PoE+ , Internal memory: 1 Gbytes</v>
          </cell>
          <cell r="C2838" t="str">
            <v>2</v>
          </cell>
          <cell r="E2838" t="str">
            <v>PCS</v>
          </cell>
          <cell r="F2838" t="str">
            <v>68A</v>
          </cell>
          <cell r="G2838" t="str">
            <v>SPA-W100B/KEX</v>
          </cell>
          <cell r="AA2838" t="str">
            <v>HANWHA STOCK</v>
          </cell>
        </row>
        <row r="2839">
          <cell r="A2839" t="str">
            <v>SPB-INW13</v>
          </cell>
          <cell r="B2839" t="str">
            <v>Smoked dome cover</v>
          </cell>
          <cell r="C2839" t="str">
            <v>0</v>
          </cell>
          <cell r="E2839" t="str">
            <v>PCS</v>
          </cell>
          <cell r="G2839" t="str">
            <v>SPB-INW13/VEX</v>
          </cell>
          <cell r="AA2839" t="str">
            <v>HANWHA STOCK</v>
          </cell>
        </row>
        <row r="2840">
          <cell r="A2840" t="str">
            <v>SPC-1010</v>
          </cell>
          <cell r="B2840" t="str">
            <v>PTZ Control Keyboard</v>
          </cell>
          <cell r="C2840" t="str">
            <v>0</v>
          </cell>
          <cell r="E2840" t="str">
            <v>PCS</v>
          </cell>
          <cell r="G2840" t="str">
            <v>SPC-1010/KEX</v>
          </cell>
          <cell r="AA2840" t="str">
            <v>HANWHA STOCK</v>
          </cell>
        </row>
        <row r="2841">
          <cell r="A2841" t="str">
            <v>SPC-2000</v>
          </cell>
          <cell r="B2841" t="str">
            <v>Network Controller Joystick</v>
          </cell>
          <cell r="C2841" t="str">
            <v>0</v>
          </cell>
          <cell r="E2841" t="str">
            <v>PCS</v>
          </cell>
          <cell r="G2841" t="str">
            <v>SPC-2000/KEX</v>
          </cell>
          <cell r="AA2841" t="str">
            <v>HANWHA STOCK</v>
          </cell>
        </row>
        <row r="2842">
          <cell r="A2842" t="str">
            <v>SPC-2001</v>
          </cell>
          <cell r="B2842" t="str">
            <v>Network Controller Joystick</v>
          </cell>
          <cell r="C2842" t="str">
            <v>0</v>
          </cell>
          <cell r="E2842" t="str">
            <v>PCS</v>
          </cell>
          <cell r="G2842" t="str">
            <v>SPC-2001/KEX</v>
          </cell>
          <cell r="AA2842" t="str">
            <v>HANWHA STOCK</v>
          </cell>
        </row>
        <row r="2843">
          <cell r="A2843" t="str">
            <v>SPC-7000</v>
          </cell>
          <cell r="B2843" t="str">
            <v>System Control Keyboard</v>
          </cell>
          <cell r="C2843" t="str">
            <v>2</v>
          </cell>
          <cell r="E2843" t="str">
            <v>PCS</v>
          </cell>
          <cell r="F2843" t="str">
            <v>72B</v>
          </cell>
          <cell r="G2843" t="str">
            <v>SPC-7000/KAN</v>
          </cell>
          <cell r="AA2843" t="str">
            <v>HANWHA STOCK</v>
          </cell>
        </row>
        <row r="2844">
          <cell r="A2844" t="str">
            <v>SPD-150</v>
          </cell>
          <cell r="B2844" t="str">
            <v xml:space="preserve">48CH Network Video Decoder </v>
          </cell>
          <cell r="C2844" t="str">
            <v>50</v>
          </cell>
          <cell r="E2844" t="str">
            <v>PCS</v>
          </cell>
          <cell r="F2844" t="str">
            <v>26A</v>
          </cell>
          <cell r="G2844" t="str">
            <v>SPD-150N/KAN</v>
          </cell>
          <cell r="AA2844" t="str">
            <v>HANWHA STOCK</v>
          </cell>
        </row>
        <row r="2845">
          <cell r="A2845" t="str">
            <v>SPD-151</v>
          </cell>
          <cell r="B2845" t="str">
            <v>48CH Decoder, HDMI, VGA, BNC, Tile merge support, 12V DC, PoE</v>
          </cell>
          <cell r="C2845" t="str">
            <v>0</v>
          </cell>
          <cell r="E2845" t="str">
            <v>PCS</v>
          </cell>
          <cell r="G2845" t="str">
            <v>SPD-151/KAN</v>
          </cell>
          <cell r="AA2845" t="str">
            <v>HANWHA STOCK</v>
          </cell>
        </row>
        <row r="2846">
          <cell r="A2846" t="str">
            <v>SPD-152</v>
          </cell>
          <cell r="B2846" t="str">
            <v>64 CH. Decoder, Dual HDMI display port(HDMI#1 UHD, HDMI#2 FHD), PoE and DC 12V Dual power</v>
          </cell>
          <cell r="C2846" t="str">
            <v>0</v>
          </cell>
          <cell r="E2846" t="str">
            <v>PCS</v>
          </cell>
          <cell r="G2846" t="str">
            <v>SPD-152/VEX</v>
          </cell>
          <cell r="AA2846" t="str">
            <v>HANWHA STOCK</v>
          </cell>
        </row>
        <row r="2847">
          <cell r="A2847" t="str">
            <v>SRN-873S</v>
          </cell>
          <cell r="B2847" t="str">
            <v>8CH H.264 NVR with PoE Switch</v>
          </cell>
          <cell r="C2847" t="str">
            <v>0</v>
          </cell>
          <cell r="E2847" t="str">
            <v>PCS</v>
          </cell>
          <cell r="G2847" t="str">
            <v>SRN-873SP/AJ</v>
          </cell>
          <cell r="AA2847" t="str">
            <v>HANWHA STOCK</v>
          </cell>
        </row>
        <row r="2848">
          <cell r="A2848" t="str">
            <v>SSA-X300</v>
          </cell>
          <cell r="B2848" t="str">
            <v>Power Package (Enclosure+SMPS), 4.5A@12VDC~13.5VDC</v>
          </cell>
          <cell r="C2848" t="str">
            <v>0</v>
          </cell>
          <cell r="E2848" t="str">
            <v>PCS</v>
          </cell>
          <cell r="G2848" t="str">
            <v>SSA-X300/AJ</v>
          </cell>
          <cell r="AA2848" t="str">
            <v>HANWHA STOCK</v>
          </cell>
        </row>
        <row r="2849">
          <cell r="A2849" t="str">
            <v>ST10000NM017B</v>
          </cell>
          <cell r="B2849" t="str">
            <v>SEAGATE EXOS 10TB</v>
          </cell>
          <cell r="C2849" t="str">
            <v>0</v>
          </cell>
          <cell r="E2849" t="str">
            <v>PCS</v>
          </cell>
          <cell r="G2849" t="str">
            <v>SKK-R7110/AJ</v>
          </cell>
          <cell r="AA2849" t="str">
            <v>HANWHA STOCK</v>
          </cell>
        </row>
        <row r="2850">
          <cell r="A2850" t="str">
            <v>ST12000NM000J</v>
          </cell>
          <cell r="B2850" t="str">
            <v>SEAGATE EXOS 12TB</v>
          </cell>
          <cell r="C2850" t="str">
            <v>0</v>
          </cell>
          <cell r="E2850" t="str">
            <v>PCS</v>
          </cell>
          <cell r="G2850" t="str">
            <v>SKK-R7112/AJ</v>
          </cell>
          <cell r="AA2850" t="str">
            <v>HANWHA STOCK</v>
          </cell>
        </row>
        <row r="2851">
          <cell r="A2851" t="str">
            <v>TID-600R</v>
          </cell>
          <cell r="B2851" t="str">
            <v>Network Intercom</v>
          </cell>
          <cell r="C2851" t="str">
            <v>0</v>
          </cell>
          <cell r="E2851" t="str">
            <v>PCS</v>
          </cell>
          <cell r="G2851" t="str">
            <v>TID-600R/VAP</v>
          </cell>
          <cell r="AA2851" t="str">
            <v>HANWHA STOCK</v>
          </cell>
        </row>
        <row r="2852">
          <cell r="A2852" t="str">
            <v>TNM-C4950TD</v>
          </cell>
          <cell r="B2852" t="str">
            <v>VGA thermal-13.5mm fixed focal  &amp; 8MP visible sensor -10.9~29mm(2.6x) motorized varifocal, Day &amp; Night(ICR), WDR(120dB), IP66/IP67, NEMA4X</v>
          </cell>
          <cell r="C2852" t="str">
            <v>0</v>
          </cell>
          <cell r="E2852" t="str">
            <v>PCS</v>
          </cell>
          <cell r="G2852" t="str">
            <v>TNM-C4950TD/KEX</v>
          </cell>
          <cell r="AA2852" t="str">
            <v>HANWHA STOCK</v>
          </cell>
        </row>
        <row r="2853">
          <cell r="A2853" t="str">
            <v>TNO-4050T</v>
          </cell>
          <cell r="B2853" t="str">
            <v>VGA Thermal Bullet</v>
          </cell>
          <cell r="C2853" t="str">
            <v>0</v>
          </cell>
          <cell r="E2853" t="str">
            <v>PCS</v>
          </cell>
          <cell r="G2853" t="str">
            <v>TNO-4050T/KAP</v>
          </cell>
          <cell r="AA2853" t="str">
            <v>HANWHA STOCK</v>
          </cell>
        </row>
        <row r="2854">
          <cell r="A2854" t="str">
            <v>TNO-6322ER</v>
          </cell>
          <cell r="B2854" t="str">
            <v>2MP Explosion-proof Camera, 4.44 ~ 142.6mm(32X) zoom, IR 70m, WDR, Intelligent analytics</v>
          </cell>
          <cell r="C2854" t="str">
            <v>0</v>
          </cell>
          <cell r="E2854" t="str">
            <v>PCS</v>
          </cell>
          <cell r="G2854" t="str">
            <v>TNO-6322ER/KAP</v>
          </cell>
          <cell r="AA2854" t="str">
            <v>HANWHA STOCK</v>
          </cell>
        </row>
        <row r="2855">
          <cell r="A2855" t="str">
            <v>TNU-6322ER</v>
          </cell>
          <cell r="B2855" t="str">
            <v>2MP Explosion-proof Camera, 4.44 ~ 142.6mm(32X) zoom, IR 200m, WDR, Intelligent analytics</v>
          </cell>
          <cell r="C2855" t="str">
            <v>0</v>
          </cell>
          <cell r="E2855" t="str">
            <v>PCS</v>
          </cell>
          <cell r="G2855" t="str">
            <v>TNU-6322ER/KAP</v>
          </cell>
          <cell r="AA2855" t="str">
            <v>HANWHA STOCK</v>
          </cell>
        </row>
        <row r="2856">
          <cell r="A2856" t="str">
            <v>TNV-7011RC</v>
          </cell>
          <cell r="B2856" t="str">
            <v>3MP Corner Mount Camera, Built-in 2.8mm fixed lens, WDR (120dB), IR-10m, IP66, IK10+</v>
          </cell>
          <cell r="C2856" t="str">
            <v>0</v>
          </cell>
          <cell r="E2856" t="str">
            <v>PCS</v>
          </cell>
          <cell r="G2856" t="str">
            <v>TNV-7011RC/VEX</v>
          </cell>
          <cell r="AA2856" t="str">
            <v>HANWHA STOCK</v>
          </cell>
        </row>
        <row r="2857">
          <cell r="A2857" t="str">
            <v>TNV-8011C</v>
          </cell>
          <cell r="B2857" t="str">
            <v>5MP Corner Mount Camera,  2.3mm fixed focal, WDR (120dB), PoE, IP66, IP6K9K, IK10</v>
          </cell>
          <cell r="C2857" t="str">
            <v>0</v>
          </cell>
          <cell r="E2857" t="str">
            <v>PCS</v>
          </cell>
          <cell r="G2857" t="str">
            <v>TNV-8011C/VEX</v>
          </cell>
          <cell r="AA2857" t="str">
            <v>HANWHA STOCK</v>
          </cell>
        </row>
        <row r="2858">
          <cell r="A2858" t="str">
            <v>U90</v>
          </cell>
          <cell r="B2858" t="str">
            <v>UHF long range reader (3~5m), 902~928MHz</v>
          </cell>
          <cell r="C2858" t="str">
            <v>18</v>
          </cell>
          <cell r="E2858" t="str">
            <v>PCS</v>
          </cell>
          <cell r="F2858" t="str">
            <v>71B</v>
          </cell>
          <cell r="G2858" t="str">
            <v>RDRSEU909K00000</v>
          </cell>
          <cell r="AA2858" t="str">
            <v>HANWHA STOCK</v>
          </cell>
        </row>
        <row r="2859">
          <cell r="A2859" t="str">
            <v>UHF CARD</v>
          </cell>
          <cell r="B2859" t="str">
            <v>UHF long range card</v>
          </cell>
          <cell r="C2859" t="str">
            <v>0</v>
          </cell>
          <cell r="E2859" t="str">
            <v>PCS</v>
          </cell>
          <cell r="G2859" t="str">
            <v>600TGGAN</v>
          </cell>
          <cell r="AA2859" t="str">
            <v>HANWHA STOCK</v>
          </cell>
        </row>
        <row r="2860">
          <cell r="A2860" t="str">
            <v>V100</v>
          </cell>
          <cell r="B2860" t="str">
            <v>Reader board, 2 readers, 4 input, 2output, Wiegand</v>
          </cell>
          <cell r="C2860" t="str">
            <v>86</v>
          </cell>
          <cell r="E2860" t="str">
            <v>PCS</v>
          </cell>
          <cell r="F2860" t="str">
            <v>71B</v>
          </cell>
          <cell r="G2860" t="str">
            <v>70100AEP0NH003</v>
          </cell>
          <cell r="AA2860" t="str">
            <v>HANWHA STOCK</v>
          </cell>
        </row>
        <row r="2861">
          <cell r="A2861" t="str">
            <v>V1000</v>
          </cell>
          <cell r="B2861" t="str">
            <v>Centralized controller, up to 32 exp modules, 2 input, 2 output, Linux 2.6</v>
          </cell>
          <cell r="C2861" t="str">
            <v>14</v>
          </cell>
          <cell r="E2861" t="str">
            <v>PCS</v>
          </cell>
          <cell r="F2861" t="str">
            <v>71B</v>
          </cell>
          <cell r="G2861" t="str">
            <v>71000BEP0N01AH003</v>
          </cell>
          <cell r="AA2861" t="str">
            <v>HANWHA STOCK</v>
          </cell>
        </row>
        <row r="2862">
          <cell r="A2862" t="str">
            <v>V200</v>
          </cell>
          <cell r="B2862" t="str">
            <v>Input board, 16 input, 2 output, RS485</v>
          </cell>
          <cell r="C2862" t="str">
            <v>32</v>
          </cell>
          <cell r="E2862" t="str">
            <v>PCS</v>
          </cell>
          <cell r="F2862" t="str">
            <v>68B</v>
          </cell>
          <cell r="G2862" t="str">
            <v>70200AEP0NH003</v>
          </cell>
          <cell r="AA2862" t="str">
            <v>HANWHA STOCK</v>
          </cell>
        </row>
        <row r="2863">
          <cell r="A2863" t="str">
            <v>V2000</v>
          </cell>
          <cell r="B2863" t="str">
            <v>2readers controller, 2 input, 4 output, Linux 2.6</v>
          </cell>
          <cell r="C2863" t="str">
            <v>26</v>
          </cell>
          <cell r="E2863" t="str">
            <v>PCS</v>
          </cell>
          <cell r="F2863" t="str">
            <v>71B</v>
          </cell>
          <cell r="G2863" t="str">
            <v>72000BEP0N01AH003</v>
          </cell>
          <cell r="AA2863" t="str">
            <v>HANWHA STOCK</v>
          </cell>
        </row>
        <row r="2864">
          <cell r="A2864" t="str">
            <v>V300</v>
          </cell>
          <cell r="B2864" t="str">
            <v>Output board, 2 input, 12 output, RS485</v>
          </cell>
          <cell r="C2864" t="str">
            <v>36</v>
          </cell>
          <cell r="E2864" t="str">
            <v>PCS</v>
          </cell>
          <cell r="F2864" t="str">
            <v>68B</v>
          </cell>
          <cell r="G2864" t="str">
            <v>70300AEP0NH003</v>
          </cell>
          <cell r="AA2864" t="str">
            <v>HANWHA STOCK</v>
          </cell>
        </row>
        <row r="2865">
          <cell r="A2865" t="str">
            <v>X100</v>
          </cell>
          <cell r="B2865" t="str">
            <v>Reader board, 4 readers (OSDP), 7 input, 4output, Wiegand, OSDP</v>
          </cell>
          <cell r="C2865" t="str">
            <v>0</v>
          </cell>
          <cell r="E2865" t="str">
            <v>PCS</v>
          </cell>
          <cell r="G2865" t="str">
            <v>X100AH003</v>
          </cell>
          <cell r="AA2865" t="str">
            <v>HANWHA STOCK</v>
          </cell>
        </row>
        <row r="2866">
          <cell r="A2866" t="str">
            <v>X1100</v>
          </cell>
          <cell r="B2866" t="str">
            <v>Hybrid controller (Centralized/ Distributed), 4readers(OSDP), 7 input, 4 output, OSDP</v>
          </cell>
          <cell r="C2866" t="str">
            <v>0</v>
          </cell>
          <cell r="E2866" t="str">
            <v>PCS</v>
          </cell>
          <cell r="G2866" t="str">
            <v>X1100AH003</v>
          </cell>
          <cell r="AA2866" t="str">
            <v>HANWHA STOCK</v>
          </cell>
        </row>
        <row r="2867">
          <cell r="A2867" t="str">
            <v>X200</v>
          </cell>
          <cell r="B2867" t="str">
            <v>Input board, 19 input, 2 output, RS485</v>
          </cell>
          <cell r="C2867" t="str">
            <v>0</v>
          </cell>
          <cell r="E2867" t="str">
            <v>PCS</v>
          </cell>
          <cell r="G2867" t="str">
            <v>X200AH003</v>
          </cell>
          <cell r="AA2867" t="str">
            <v>HANWHA STOCK</v>
          </cell>
        </row>
        <row r="2868">
          <cell r="A2868" t="str">
            <v>X300</v>
          </cell>
          <cell r="B2868" t="str">
            <v>Output board, 3 input, 12 output, RS485</v>
          </cell>
          <cell r="C2868" t="str">
            <v>8</v>
          </cell>
          <cell r="E2868" t="str">
            <v>PCS</v>
          </cell>
          <cell r="F2868" t="str">
            <v>26B</v>
          </cell>
          <cell r="G2868" t="str">
            <v>X300AH003</v>
          </cell>
          <cell r="AA2868" t="str">
            <v>HANWHA STOCK</v>
          </cell>
        </row>
        <row r="2869">
          <cell r="A2869" t="str">
            <v>XNB-6001</v>
          </cell>
          <cell r="B2869" t="str">
            <v>2MP Network Remote Head Camera &amp; lens modules, Temp 60 ° and RH 95%</v>
          </cell>
          <cell r="C2869" t="str">
            <v>63</v>
          </cell>
          <cell r="E2869" t="str">
            <v>PCS</v>
          </cell>
          <cell r="F2869" t="str">
            <v>25B</v>
          </cell>
          <cell r="G2869" t="str">
            <v>XNB-6001/KME</v>
          </cell>
          <cell r="AA2869" t="str">
            <v>HANWHA STOCK</v>
          </cell>
        </row>
        <row r="2870">
          <cell r="A2870" t="str">
            <v>XNB-6002</v>
          </cell>
          <cell r="B2870" t="str">
            <v>2M Network Remote Head Camera &amp; lens mod</v>
          </cell>
          <cell r="C2870" t="str">
            <v>0</v>
          </cell>
          <cell r="E2870" t="str">
            <v>PCS</v>
          </cell>
          <cell r="G2870" t="str">
            <v>-</v>
          </cell>
          <cell r="AA2870" t="str">
            <v>HANWHA STOCK</v>
          </cell>
        </row>
        <row r="2871">
          <cell r="A2871" t="str">
            <v>XND-6080R</v>
          </cell>
          <cell r="B2871" t="str">
            <v>2MP IR Dome Camera, 2.8 ~12mm, 150dB WDR, 30m IR, Hard Coating</v>
          </cell>
          <cell r="C2871" t="str">
            <v>0</v>
          </cell>
          <cell r="E2871" t="str">
            <v>PCS</v>
          </cell>
          <cell r="G2871" t="str">
            <v>XND-6080R/KME</v>
          </cell>
          <cell r="AA2871" t="str">
            <v>HANWHA STOCK</v>
          </cell>
        </row>
        <row r="2872">
          <cell r="A2872" t="str">
            <v>XND-6081RV</v>
          </cell>
          <cell r="B2872" t="str">
            <v>2MP IR Dome Camera, 2.8-12mm Lens,150dB WDR, 50m IR, IP52, IK10</v>
          </cell>
          <cell r="C2872" t="str">
            <v>19</v>
          </cell>
          <cell r="E2872" t="str">
            <v>PCS</v>
          </cell>
          <cell r="F2872" t="str">
            <v>69B</v>
          </cell>
          <cell r="G2872" t="str">
            <v>XND-6081RV/VAP</v>
          </cell>
          <cell r="AA2872" t="str">
            <v>HANWHA STOCK</v>
          </cell>
        </row>
        <row r="2873">
          <cell r="A2873" t="str">
            <v>XND-8080R</v>
          </cell>
          <cell r="B2873" t="str">
            <v>5MP IR Dome Camera, 3.9 ~ 9.4mm, 30m IR</v>
          </cell>
          <cell r="C2873" t="str">
            <v>0</v>
          </cell>
          <cell r="E2873" t="str">
            <v>PCS</v>
          </cell>
          <cell r="G2873" t="str">
            <v>XND-8080RN/AJ</v>
          </cell>
          <cell r="AA2873" t="str">
            <v>HANWHA STOCK</v>
          </cell>
        </row>
        <row r="2874">
          <cell r="A2874" t="str">
            <v>XND-8081RV</v>
          </cell>
          <cell r="B2874" t="str">
            <v>5MP IR Dome Camera, 3.9-9.4mm Lens, 50m IR, Metal Cover, IP52, IK10</v>
          </cell>
          <cell r="C2874" t="str">
            <v>0</v>
          </cell>
          <cell r="E2874" t="str">
            <v>PCS</v>
          </cell>
          <cell r="G2874" t="str">
            <v>XND-8081RV/VAP</v>
          </cell>
          <cell r="AA2874" t="str">
            <v>HANWHA STOCK</v>
          </cell>
        </row>
        <row r="2875">
          <cell r="A2875" t="str">
            <v>XND-8082RV</v>
          </cell>
          <cell r="B2875" t="str">
            <v>6MP IR Dome Camera, 2.8~8.4mm motorized VF, IR 40m, IP52, IK10</v>
          </cell>
          <cell r="C2875" t="str">
            <v>0</v>
          </cell>
          <cell r="E2875" t="str">
            <v>PCS</v>
          </cell>
          <cell r="G2875" t="str">
            <v>XND-8082RV/KAP</v>
          </cell>
          <cell r="AA2875" t="str">
            <v>HANWHA STOCK</v>
          </cell>
        </row>
        <row r="2876">
          <cell r="A2876" t="str">
            <v>XND-9082RV</v>
          </cell>
          <cell r="B2876" t="str">
            <v>4K IR Dome Camera, 2.8~8.4mm motorized VF, IR 40m, IP52, IK10</v>
          </cell>
          <cell r="C2876" t="str">
            <v>0</v>
          </cell>
          <cell r="E2876" t="str">
            <v>PCS</v>
          </cell>
          <cell r="G2876" t="str">
            <v>XND-9082RV/KAP</v>
          </cell>
          <cell r="AA2876" t="str">
            <v>HANWHA STOCK</v>
          </cell>
        </row>
        <row r="2877">
          <cell r="A2877" t="str">
            <v>XND-C8083RV</v>
          </cell>
          <cell r="B2877" t="str">
            <v>6MP IR Indoor Vandal Dome AI Camera</v>
          </cell>
          <cell r="C2877" t="str">
            <v>193</v>
          </cell>
          <cell r="E2877" t="str">
            <v>PCS</v>
          </cell>
          <cell r="F2877" t="str">
            <v>Zone B</v>
          </cell>
          <cell r="G2877" t="str">
            <v>XND-C8083RV/VEX</v>
          </cell>
          <cell r="AA2877" t="str">
            <v>HANWHA STOCK</v>
          </cell>
        </row>
        <row r="2878">
          <cell r="A2878" t="str">
            <v>XND-C9083RV</v>
          </cell>
          <cell r="B2878" t="str">
            <v>4K IR Dome Camera, 4.4-9.3mm (2.1x) Moto</v>
          </cell>
          <cell r="C2878" t="str">
            <v>0</v>
          </cell>
          <cell r="E2878" t="str">
            <v>PCS</v>
          </cell>
          <cell r="G2878" t="str">
            <v>XND-C9083RV/KEX</v>
          </cell>
          <cell r="AA2878" t="str">
            <v>HANWHA STOCK</v>
          </cell>
        </row>
        <row r="2879">
          <cell r="A2879" t="str">
            <v>XND-L6080R</v>
          </cell>
          <cell r="B2879" t="str">
            <v>To be filled later</v>
          </cell>
          <cell r="C2879" t="str">
            <v>0</v>
          </cell>
          <cell r="E2879" t="str">
            <v>PCS</v>
          </cell>
          <cell r="G2879" t="str">
            <v>XND-L6080R/KAP</v>
          </cell>
          <cell r="AA2879" t="str">
            <v>HANWHA STOCK</v>
          </cell>
        </row>
        <row r="2880">
          <cell r="A2880" t="str">
            <v>XNF-8010R</v>
          </cell>
          <cell r="B2880" t="str">
            <v>6MP IR Fisheye Indoor Camera, 1.6mm, 15m IR</v>
          </cell>
          <cell r="C2880" t="str">
            <v>5</v>
          </cell>
          <cell r="E2880" t="str">
            <v>PCS</v>
          </cell>
          <cell r="F2880" t="str">
            <v>68B</v>
          </cell>
          <cell r="G2880" t="str">
            <v>XNF-8010RP/AJ</v>
          </cell>
          <cell r="AA2880" t="str">
            <v>HANWHA STOCK</v>
          </cell>
        </row>
        <row r="2881">
          <cell r="A2881" t="str">
            <v>XNF-8010RV</v>
          </cell>
          <cell r="B2881" t="str">
            <v>6MP IR Fisheye Camera, 1.6mm, 15m IR, IP66, IK10, Hard Coating</v>
          </cell>
          <cell r="C2881" t="str">
            <v>1</v>
          </cell>
          <cell r="E2881" t="str">
            <v>PCS</v>
          </cell>
          <cell r="F2881" t="str">
            <v>Zone B</v>
          </cell>
          <cell r="G2881" t="str">
            <v>XNF-8010RV/KME</v>
          </cell>
          <cell r="AA2881" t="str">
            <v>HANWHA STOCK</v>
          </cell>
        </row>
        <row r="2882">
          <cell r="A2882" t="str">
            <v>XNF-9013RV</v>
          </cell>
          <cell r="B2882" t="str">
            <v>12MP AI IR Fisheye Camera</v>
          </cell>
          <cell r="C2882" t="str">
            <v>0</v>
          </cell>
          <cell r="E2882" t="str">
            <v>PCS</v>
          </cell>
          <cell r="G2882" t="str">
            <v>-</v>
          </cell>
          <cell r="AA2882" t="str">
            <v>HANWHA STOCK</v>
          </cell>
        </row>
        <row r="2883">
          <cell r="A2883" t="str">
            <v>XNO-6010R</v>
          </cell>
          <cell r="B2883" t="str">
            <v>2MP IR Bullet Camera, 2.4mm, 20m IR, 150dB WDR, IP67, NEMA4X, IK10</v>
          </cell>
          <cell r="C2883" t="str">
            <v>9</v>
          </cell>
          <cell r="E2883" t="str">
            <v>PCS</v>
          </cell>
          <cell r="F2883" t="str">
            <v>68B</v>
          </cell>
          <cell r="G2883" t="str">
            <v>XNO-6010RP/AJ</v>
          </cell>
          <cell r="AA2883" t="str">
            <v>HANWHA STOCK</v>
          </cell>
        </row>
        <row r="2884">
          <cell r="A2884" t="str">
            <v>XNO-6010RP</v>
          </cell>
          <cell r="B2884" t="str">
            <v>2MP IR Bullet Camera, 2.4mm, 20m IR, 150dB WDR, IP67, NEMA4X, IK10</v>
          </cell>
          <cell r="C2884" t="str">
            <v>2</v>
          </cell>
          <cell r="E2884" t="str">
            <v>PCS</v>
          </cell>
          <cell r="F2884" t="str">
            <v>26B</v>
          </cell>
          <cell r="G2884" t="str">
            <v>XNO-6010RP/AJ</v>
          </cell>
          <cell r="AA2884" t="str">
            <v>HANWHA STOCK</v>
          </cell>
        </row>
        <row r="2885">
          <cell r="A2885" t="str">
            <v>XNO-6020R</v>
          </cell>
          <cell r="B2885" t="str">
            <v>2MP IR Bullet Camera, 4mm, 30m IR, 150dB WDR, IP67, NEMA4X, IK10</v>
          </cell>
          <cell r="C2885" t="str">
            <v>60</v>
          </cell>
          <cell r="E2885" t="str">
            <v>PCS</v>
          </cell>
          <cell r="F2885" t="str">
            <v>25A</v>
          </cell>
          <cell r="G2885" t="str">
            <v>XNO-6020RP/AJ</v>
          </cell>
          <cell r="AA2885" t="str">
            <v>HANWHA STOCK</v>
          </cell>
        </row>
        <row r="2886">
          <cell r="A2886" t="str">
            <v>XNO-6080R</v>
          </cell>
          <cell r="B2886" t="str">
            <v>2MP IR Bullet Camera, 2.8-12mm, 50m IR, 150dB WDR, IP67, NEMA4X, IK10, Temp 60 ° and RH 95%</v>
          </cell>
          <cell r="C2886" t="str">
            <v>24</v>
          </cell>
          <cell r="E2886" t="str">
            <v>PCS</v>
          </cell>
          <cell r="F2886" t="str">
            <v>24B, 67B</v>
          </cell>
          <cell r="G2886" t="str">
            <v>XNO-6080R/KME</v>
          </cell>
          <cell r="AA2886" t="str">
            <v>HANWHA STOCK</v>
          </cell>
        </row>
        <row r="2887">
          <cell r="A2887" t="str">
            <v>XNO-6085R</v>
          </cell>
          <cell r="B2887" t="str">
            <v>2MP IR Bullet Camera (extraLUX), 4.1-16.4mm Lens, 150dB WDR, 70m IR, IP67, NEMA4X, IK10</v>
          </cell>
          <cell r="C2887" t="str">
            <v>10</v>
          </cell>
          <cell r="E2887" t="str">
            <v>PCS</v>
          </cell>
          <cell r="F2887" t="str">
            <v>68A</v>
          </cell>
          <cell r="G2887" t="str">
            <v>XNO-6085RP/AJ</v>
          </cell>
          <cell r="AA2887" t="str">
            <v>HANWHA STOCK</v>
          </cell>
        </row>
        <row r="2888">
          <cell r="A2888" t="str">
            <v>XNO-6120R</v>
          </cell>
          <cell r="B2888" t="str">
            <v>2MP IR Bullet Camera, 5.2-62.4mm Lens, 150dB WDR, 70m IR, IP67, NEMA4X, IK10, Temp 60 ° and RH 95%</v>
          </cell>
          <cell r="C2888" t="str">
            <v>2</v>
          </cell>
          <cell r="E2888" t="str">
            <v>PCS</v>
          </cell>
          <cell r="F2888" t="str">
            <v>73B</v>
          </cell>
          <cell r="G2888" t="str">
            <v>XNO-6120R/KME</v>
          </cell>
          <cell r="AA2888" t="str">
            <v>HANWHA STOCK</v>
          </cell>
        </row>
        <row r="2889">
          <cell r="A2889" t="str">
            <v>XNO-6123R</v>
          </cell>
          <cell r="B2889" t="str">
            <v>2MP Bullet camera, 5.2~62.4mm, IR-90m,15</v>
          </cell>
          <cell r="C2889" t="str">
            <v>0</v>
          </cell>
          <cell r="E2889" t="str">
            <v>PCS</v>
          </cell>
          <cell r="G2889" t="str">
            <v>-</v>
          </cell>
          <cell r="AA2889" t="str">
            <v>HANWHA STOCK</v>
          </cell>
        </row>
        <row r="2890">
          <cell r="A2890" t="str">
            <v>XNO-8020R</v>
          </cell>
          <cell r="B2890" t="str">
            <v>5MP IR Bullet Camera, 3.7mm Lens, 30m IR, IP67, NEMA4X, IK10</v>
          </cell>
          <cell r="C2890" t="str">
            <v>10</v>
          </cell>
          <cell r="E2890" t="str">
            <v>PCS</v>
          </cell>
          <cell r="F2890" t="str">
            <v>70A</v>
          </cell>
          <cell r="G2890" t="str">
            <v>XNO-8020RN/AJ</v>
          </cell>
          <cell r="AA2890" t="str">
            <v>HANWHA STOCK</v>
          </cell>
        </row>
        <row r="2891">
          <cell r="A2891" t="str">
            <v>XNO-8030R</v>
          </cell>
          <cell r="B2891" t="str">
            <v>5MP IR Bullet Camera, 4.6mm Lens, 30m IR, IP67, NEMA4X, IK10</v>
          </cell>
          <cell r="C2891" t="str">
            <v>10</v>
          </cell>
          <cell r="E2891" t="str">
            <v>PCS</v>
          </cell>
          <cell r="F2891" t="str">
            <v>72B</v>
          </cell>
          <cell r="G2891" t="str">
            <v>XNO-8030RP/AJ</v>
          </cell>
          <cell r="AA2891" t="str">
            <v>HANWHA STOCK</v>
          </cell>
        </row>
        <row r="2892">
          <cell r="A2892" t="str">
            <v>XNO-8040RP</v>
          </cell>
          <cell r="B2892" t="str">
            <v>5MP IR Bullet Camera, 7mm Lens, 30m IR, IP67, NEMA4X, IK10</v>
          </cell>
          <cell r="C2892" t="str">
            <v>10</v>
          </cell>
          <cell r="E2892" t="str">
            <v>PCS</v>
          </cell>
          <cell r="F2892" t="str">
            <v>70A</v>
          </cell>
          <cell r="G2892" t="str">
            <v>XNO-8040RP/AJ</v>
          </cell>
          <cell r="AA2892" t="str">
            <v>HANWHA STOCK</v>
          </cell>
        </row>
        <row r="2893">
          <cell r="A2893" t="str">
            <v>XNO-8080R</v>
          </cell>
          <cell r="B2893" t="str">
            <v>5MP IR Bullet Camera, 3.7-9.4mm Lens, 50m IR, IP67, NEMA4X, IK10</v>
          </cell>
          <cell r="C2893" t="str">
            <v>5</v>
          </cell>
          <cell r="E2893" t="str">
            <v>PCS</v>
          </cell>
          <cell r="F2893" t="str">
            <v>Zone B</v>
          </cell>
          <cell r="G2893" t="str">
            <v>XNO-8080R/KME</v>
          </cell>
          <cell r="AA2893" t="str">
            <v>HANWHA STOCK</v>
          </cell>
        </row>
        <row r="2894">
          <cell r="A2894" t="str">
            <v>XNO-8082R</v>
          </cell>
          <cell r="B2894" t="str">
            <v>6MP IR Vandal Dome Camera, 2.8~8.4mm motorized VF, IR 40m, IP66/IP67/IP6K9K, IK10, NEMA4X</v>
          </cell>
          <cell r="C2894" t="str">
            <v>0</v>
          </cell>
          <cell r="E2894" t="str">
            <v>PCS</v>
          </cell>
          <cell r="G2894" t="str">
            <v>XNO-8082R/KAP</v>
          </cell>
          <cell r="AA2894" t="str">
            <v>HANWHA STOCK</v>
          </cell>
        </row>
        <row r="2895">
          <cell r="A2895" t="str">
            <v>XNO-9082R</v>
          </cell>
          <cell r="B2895" t="str">
            <v>4K IR Bullet Camera, 2.8~8.4mm motorized VF, IR 40m, IP66/IP67, IK10, NEMA4X</v>
          </cell>
          <cell r="C2895" t="str">
            <v>0</v>
          </cell>
          <cell r="E2895" t="str">
            <v>PCS</v>
          </cell>
          <cell r="G2895" t="str">
            <v>XNO-9082R/KAP</v>
          </cell>
          <cell r="AA2895" t="str">
            <v>HANWHA STOCK</v>
          </cell>
        </row>
        <row r="2896">
          <cell r="A2896" t="str">
            <v>XNO-9083R</v>
          </cell>
          <cell r="B2896" t="str">
            <v>Bullet Camera 4K AI IR Bullet Camera,4.4</v>
          </cell>
          <cell r="C2896" t="str">
            <v>0</v>
          </cell>
          <cell r="E2896" t="str">
            <v>PCS</v>
          </cell>
          <cell r="G2896" t="str">
            <v>XNO-9083R/VEX</v>
          </cell>
          <cell r="AA2896" t="str">
            <v>HANWHA STOCK</v>
          </cell>
        </row>
        <row r="2897">
          <cell r="A2897" t="str">
            <v>XNO-C9083R</v>
          </cell>
          <cell r="B2897" t="str">
            <v>4K IR Bullet Camera, 4.4-9.3mm (2.1x) Motorized Varifocal, IR-40m, IP66/IP67/NEMA4X, IK10</v>
          </cell>
          <cell r="C2897" t="str">
            <v>3</v>
          </cell>
          <cell r="E2897" t="str">
            <v>PCS</v>
          </cell>
          <cell r="F2897" t="str">
            <v>73B</v>
          </cell>
          <cell r="G2897" t="str">
            <v>XNO-C9083R/KEX</v>
          </cell>
          <cell r="AA2897" t="str">
            <v>HANWHA STOCK</v>
          </cell>
        </row>
        <row r="2898">
          <cell r="A2898" t="str">
            <v>XNO-L6080RA</v>
          </cell>
          <cell r="B2898" t="str">
            <v>2MP IR Bullet Camera,  Lite, 3.2 ~10mm, 30m IR, VA,  IP66, IK10</v>
          </cell>
          <cell r="C2898" t="str">
            <v>0</v>
          </cell>
          <cell r="E2898" t="str">
            <v>PCS</v>
          </cell>
          <cell r="G2898" t="str">
            <v>XNO-L6080RA/KME</v>
          </cell>
          <cell r="AA2898" t="str">
            <v>HANWHA STOCK</v>
          </cell>
        </row>
        <row r="2899">
          <cell r="A2899" t="str">
            <v>XNP-6120H</v>
          </cell>
          <cell r="B2899" t="str">
            <v>2MP 12x PTZ Camera, 150dB WDR, IP66, IK10, Hard Coating</v>
          </cell>
          <cell r="C2899" t="str">
            <v>30</v>
          </cell>
          <cell r="E2899" t="str">
            <v>PCS</v>
          </cell>
          <cell r="F2899" t="str">
            <v>69B</v>
          </cell>
          <cell r="G2899" t="str">
            <v>XNP-6120H/KME</v>
          </cell>
          <cell r="AA2899" t="str">
            <v>HANWHA STOCK</v>
          </cell>
        </row>
        <row r="2900">
          <cell r="A2900" t="str">
            <v>XNP-6320</v>
          </cell>
          <cell r="B2900" t="str">
            <v>2MP 32x Indoor PTZ Camera, 150dB WDR, IP66, IK10</v>
          </cell>
          <cell r="C2900" t="str">
            <v>34</v>
          </cell>
          <cell r="E2900" t="str">
            <v>PCS</v>
          </cell>
          <cell r="F2900" t="str">
            <v>81A</v>
          </cell>
          <cell r="G2900" t="str">
            <v>XNP-6320/KAP</v>
          </cell>
          <cell r="AA2900" t="str">
            <v>HANWHA STOCK</v>
          </cell>
        </row>
        <row r="2901">
          <cell r="A2901" t="str">
            <v>XNP-6320H</v>
          </cell>
          <cell r="B2901" t="str">
            <v>2MP 32x PTZ Camera, 150dB WDR, IP66, IK10, Hard Coating</v>
          </cell>
          <cell r="C2901" t="str">
            <v>48</v>
          </cell>
          <cell r="E2901" t="str">
            <v>PCS</v>
          </cell>
          <cell r="F2901" t="str">
            <v>25A, 72C</v>
          </cell>
          <cell r="G2901" t="str">
            <v>XNP-6320H/KME</v>
          </cell>
          <cell r="AA2901" t="str">
            <v>HANWHA STOCK</v>
          </cell>
        </row>
        <row r="2902">
          <cell r="A2902" t="str">
            <v>XNP-6320RH</v>
          </cell>
          <cell r="B2902" t="str">
            <v>2MP 32x IR PTZ Camera, 200m IR, 150dB WDR, IP66, IK10, Temp 60 ° and RH 95%</v>
          </cell>
          <cell r="C2902" t="str">
            <v>1</v>
          </cell>
          <cell r="E2902" t="str">
            <v>PCS</v>
          </cell>
          <cell r="F2902" t="str">
            <v>70B</v>
          </cell>
          <cell r="G2902" t="str">
            <v>XNP-6320RH/KME</v>
          </cell>
          <cell r="AA2902" t="str">
            <v>HANWHA STOCK</v>
          </cell>
        </row>
        <row r="2903">
          <cell r="A2903" t="str">
            <v>XNP-6371RH</v>
          </cell>
          <cell r="B2903" t="str">
            <v>2MP 37x IR PTZ Camera, 350m IR, 150dB WDR, IP66, IK10, Temp 60 ° and RH 95%</v>
          </cell>
          <cell r="C2903" t="str">
            <v>22</v>
          </cell>
          <cell r="E2903" t="str">
            <v>PCS</v>
          </cell>
          <cell r="F2903" t="str">
            <v>71B, 72B</v>
          </cell>
          <cell r="G2903" t="str">
            <v>XNP-6371RH/KME</v>
          </cell>
          <cell r="AA2903" t="str">
            <v>HANWHA STOCK</v>
          </cell>
        </row>
        <row r="2904">
          <cell r="A2904" t="str">
            <v>XNP-6400R</v>
          </cell>
          <cell r="B2904" t="str">
            <v>2MP 40x IR PTZ Camera, IR, IP66, IK10, NEMA4X</v>
          </cell>
          <cell r="C2904" t="str">
            <v>4</v>
          </cell>
          <cell r="E2904" t="str">
            <v>PCS</v>
          </cell>
          <cell r="F2904" t="str">
            <v>24A</v>
          </cell>
          <cell r="G2904" t="str">
            <v>XNP-6400R/KAP</v>
          </cell>
          <cell r="AA2904" t="str">
            <v>HANWHA STOCK</v>
          </cell>
        </row>
        <row r="2905">
          <cell r="A2905" t="str">
            <v>XNP-6400RW</v>
          </cell>
          <cell r="B2905" t="str">
            <v>2MP 40x Outdoor non Dome  PTZ, IR, Wiper, IP66, IK10, NEMA4X</v>
          </cell>
          <cell r="C2905" t="str">
            <v>0</v>
          </cell>
          <cell r="E2905" t="str">
            <v>PCS</v>
          </cell>
          <cell r="G2905" t="str">
            <v>XNP-6400RW/KAP</v>
          </cell>
          <cell r="AA2905" t="str">
            <v>HANWHA STOCK</v>
          </cell>
        </row>
        <row r="2906">
          <cell r="A2906" t="str">
            <v>XNP-6550RH</v>
          </cell>
          <cell r="B2906" t="str">
            <v>2MP 55x IR PTZ Camera, 500m IR, 120dB WDR, IP66, IK10, Temp 60 ° and RH 95%</v>
          </cell>
          <cell r="C2906" t="str">
            <v>0</v>
          </cell>
          <cell r="E2906" t="str">
            <v>PCS</v>
          </cell>
          <cell r="G2906" t="str">
            <v>XNP-6550RH/KME</v>
          </cell>
          <cell r="AA2906" t="str">
            <v>HANWHA STOCK</v>
          </cell>
        </row>
        <row r="2907">
          <cell r="A2907" t="str">
            <v>XNP-8250R</v>
          </cell>
          <cell r="B2907" t="str">
            <v>6MP 25x IR PTZ Camera, IR, IP66, IK10, NEMA4X</v>
          </cell>
          <cell r="C2907" t="str">
            <v>0</v>
          </cell>
          <cell r="E2907" t="str">
            <v>PCS</v>
          </cell>
          <cell r="G2907" t="str">
            <v>XNP-8250R/KAP</v>
          </cell>
          <cell r="AA2907" t="str">
            <v>HANWHA STOCK</v>
          </cell>
        </row>
        <row r="2908">
          <cell r="A2908" t="str">
            <v>XNP-8300RW</v>
          </cell>
          <cell r="B2908" t="str">
            <v>6MP 30x Outdoor non Dome PTZ, IR, Wiper, IP66, IK10, NEMA4X</v>
          </cell>
          <cell r="C2908" t="str">
            <v>0</v>
          </cell>
          <cell r="E2908" t="str">
            <v>PCS</v>
          </cell>
          <cell r="G2908" t="str">
            <v>XNP-8300RW/KAP</v>
          </cell>
          <cell r="AA2908" t="str">
            <v>HANWHA STOCK</v>
          </cell>
        </row>
        <row r="2909">
          <cell r="A2909" t="str">
            <v>XNP-9250R</v>
          </cell>
          <cell r="B2909" t="str">
            <v>PTZ Camera 4K 25x Outdoor IR PTZ Camera,</v>
          </cell>
          <cell r="C2909" t="str">
            <v>0</v>
          </cell>
          <cell r="E2909" t="str">
            <v>PCS</v>
          </cell>
          <cell r="G2909" t="str">
            <v>XNP-9250R/VAP</v>
          </cell>
          <cell r="AA2909" t="str">
            <v>HANWHA STOCK</v>
          </cell>
        </row>
        <row r="2910">
          <cell r="A2910" t="str">
            <v>XNP-9300RW</v>
          </cell>
          <cell r="B2910" t="str">
            <v>4K 30x Outdoor non Dome PTZ, IR, Wiper, IP66, IK10, NEMA4X</v>
          </cell>
          <cell r="C2910" t="str">
            <v>9</v>
          </cell>
          <cell r="E2910" t="str">
            <v>PCS</v>
          </cell>
          <cell r="F2910" t="str">
            <v>26A</v>
          </cell>
          <cell r="G2910" t="str">
            <v>XNP-9300RW/KAP</v>
          </cell>
          <cell r="AA2910" t="str">
            <v>HANWHA STOCK</v>
          </cell>
        </row>
        <row r="2911">
          <cell r="A2911" t="str">
            <v>XNP-C9253R</v>
          </cell>
          <cell r="B2911" t="str">
            <v>8MP 25x AI PTZ Camera  5~125mm(25x) zoom</v>
          </cell>
          <cell r="C2911" t="str">
            <v>2</v>
          </cell>
          <cell r="E2911" t="str">
            <v>PCS</v>
          </cell>
          <cell r="F2911" t="str">
            <v>Zone B</v>
          </cell>
          <cell r="G2911" t="str">
            <v>XNP-C9253R/VAP</v>
          </cell>
          <cell r="AA2911" t="str">
            <v>HANWHA STOCK</v>
          </cell>
        </row>
        <row r="2912">
          <cell r="A2912" t="str">
            <v>XNV-6011</v>
          </cell>
          <cell r="B2912" t="str">
            <v>2MP Vandal Dome Camera, 2.8mm fixed, 150dB WDR, IP66, IK10, NEMA4X, Hard Coating</v>
          </cell>
          <cell r="C2912" t="str">
            <v>0</v>
          </cell>
          <cell r="E2912" t="str">
            <v>PCS</v>
          </cell>
          <cell r="G2912" t="str">
            <v>XNV-6011/KME</v>
          </cell>
          <cell r="AA2912" t="str">
            <v>HANWHA STOCK</v>
          </cell>
        </row>
        <row r="2913">
          <cell r="A2913" t="str">
            <v>XNV-6020R</v>
          </cell>
          <cell r="B2913" t="str">
            <v>2MP IR Vandal Dome Camera, 4mm, 150dB WDR, 30m IR, IP67, IK10, Hard Coating</v>
          </cell>
          <cell r="C2913" t="str">
            <v>39</v>
          </cell>
          <cell r="E2913" t="str">
            <v>PCS</v>
          </cell>
          <cell r="F2913" t="str">
            <v>69A</v>
          </cell>
          <cell r="G2913" t="str">
            <v>XNV-6020R/KME</v>
          </cell>
          <cell r="AA2913" t="str">
            <v>HANWHA STOCK</v>
          </cell>
        </row>
        <row r="2914">
          <cell r="A2914" t="str">
            <v>XNV-6080R</v>
          </cell>
          <cell r="B2914" t="str">
            <v>2MP IR Vandal Dome Camera, 2.8 ~ 12mm, 150dB WDR, 50m IR, IP67, NEMA 4X, IK10 , AUH project, Hard Coating</v>
          </cell>
          <cell r="C2914" t="str">
            <v>0</v>
          </cell>
          <cell r="E2914" t="str">
            <v>PCS</v>
          </cell>
          <cell r="G2914" t="str">
            <v>XNV-6080R/KME</v>
          </cell>
          <cell r="AA2914" t="str">
            <v>HANWHA STOCK</v>
          </cell>
        </row>
        <row r="2915">
          <cell r="A2915" t="str">
            <v>XNV-6081</v>
          </cell>
          <cell r="B2915" t="str">
            <v>2MP Vandal Dome Camera, 2.8-12mm Lens,150dB WDR</v>
          </cell>
          <cell r="C2915" t="str">
            <v>18</v>
          </cell>
          <cell r="E2915" t="str">
            <v>PCS</v>
          </cell>
          <cell r="F2915" t="str">
            <v>68A</v>
          </cell>
          <cell r="G2915" t="str">
            <v>XNV-6081/VAP</v>
          </cell>
          <cell r="AA2915" t="str">
            <v>HANWHA STOCK</v>
          </cell>
        </row>
        <row r="2916">
          <cell r="A2916" t="str">
            <v>XNV-6120R</v>
          </cell>
          <cell r="B2916" t="str">
            <v>2MP IR Vandal Dome Camera, 5.2 ~ 62.4mm, 150dB WDR, 70m IR, IP67, NEMA 4X, IK10, AUH Project, Hard Coating</v>
          </cell>
          <cell r="C2916" t="str">
            <v>1</v>
          </cell>
          <cell r="E2916" t="str">
            <v>PCS</v>
          </cell>
          <cell r="F2916" t="str">
            <v>68A</v>
          </cell>
          <cell r="G2916" t="str">
            <v>XNV-6120R/KME</v>
          </cell>
          <cell r="AA2916" t="str">
            <v>HANWHA STOCK</v>
          </cell>
        </row>
        <row r="2917">
          <cell r="A2917" t="str">
            <v>XNV-8080R</v>
          </cell>
          <cell r="B2917" t="str">
            <v>5MP IR Vandal Dome Camera, 3.9~9.4mm, 50m IR, IP67, NEMA4X, IK10, Hard Coating</v>
          </cell>
          <cell r="C2917" t="str">
            <v>3</v>
          </cell>
          <cell r="E2917" t="str">
            <v>PCS</v>
          </cell>
          <cell r="F2917" t="str">
            <v>68A</v>
          </cell>
          <cell r="G2917" t="str">
            <v>XNV-8080R/KME</v>
          </cell>
          <cell r="AA2917" t="str">
            <v>HANWHA STOCK</v>
          </cell>
        </row>
        <row r="2918">
          <cell r="A2918" t="str">
            <v>XNV-8080RSA</v>
          </cell>
          <cell r="B2918" t="str">
            <v>5MP Stainless Steel, IR Vandal Dome Camera, 3.9-9.4mm, IR 50m, IP66, IK10+, NEMA4X</v>
          </cell>
          <cell r="C2918" t="str">
            <v>0</v>
          </cell>
          <cell r="E2918" t="str">
            <v>PCS</v>
          </cell>
          <cell r="G2918" t="str">
            <v>XNV-8080RSA/KAP</v>
          </cell>
          <cell r="AA2918" t="str">
            <v>HANWHA STOCK</v>
          </cell>
        </row>
        <row r="2919">
          <cell r="A2919" t="str">
            <v>XNV-8081R</v>
          </cell>
          <cell r="B2919" t="str">
            <v>5MP IR Vandal Dome Camera, 3.9-9.4mm Lens, 50m IR</v>
          </cell>
          <cell r="C2919" t="str">
            <v>8</v>
          </cell>
          <cell r="E2919" t="str">
            <v>PCS</v>
          </cell>
          <cell r="F2919" t="str">
            <v>68A</v>
          </cell>
          <cell r="G2919" t="str">
            <v>XNV-8081R/VAP</v>
          </cell>
          <cell r="AA2919" t="str">
            <v>HANWHA STOCK</v>
          </cell>
        </row>
        <row r="2920">
          <cell r="A2920" t="str">
            <v>XNV-8081RE</v>
          </cell>
          <cell r="B2920" t="str">
            <v>5MP IR Vandal Dome Camera with PoE Extender 3.9-9.4mm Lens, 50m IR</v>
          </cell>
          <cell r="C2920" t="str">
            <v>0</v>
          </cell>
          <cell r="E2920" t="str">
            <v>PCS</v>
          </cell>
          <cell r="G2920" t="str">
            <v>XNV-8081RE/VAP</v>
          </cell>
          <cell r="AA2920" t="str">
            <v>HANWHA STOCK</v>
          </cell>
        </row>
        <row r="2921">
          <cell r="A2921" t="str">
            <v>XNV-8082R</v>
          </cell>
          <cell r="B2921" t="str">
            <v>6MP IR Vandal Dome Camera, 2.8~8.4mm motorized VF, IR 40m, IP66/IP67/IP6K9K, IK10+, NEMA4X</v>
          </cell>
          <cell r="C2921" t="str">
            <v>30</v>
          </cell>
          <cell r="E2921" t="str">
            <v>PCS</v>
          </cell>
          <cell r="F2921" t="str">
            <v>70A</v>
          </cell>
          <cell r="G2921" t="str">
            <v>XNV-8082R/KAP</v>
          </cell>
          <cell r="AA2921" t="str">
            <v>HANWHA STOCK</v>
          </cell>
        </row>
        <row r="2922">
          <cell r="A2922" t="str">
            <v>XNV-8093R</v>
          </cell>
          <cell r="B2922" t="str">
            <v>6MP AI IR Vandal Dome Camera, 10.9~29mm</v>
          </cell>
          <cell r="C2922" t="str">
            <v>5</v>
          </cell>
          <cell r="E2922" t="str">
            <v>PCS</v>
          </cell>
          <cell r="F2922" t="str">
            <v>Zone B</v>
          </cell>
          <cell r="G2922" t="str">
            <v>XNV-8093R/VEX</v>
          </cell>
          <cell r="AA2922" t="str">
            <v>HANWHA STOCK</v>
          </cell>
        </row>
        <row r="2923">
          <cell r="A2923" t="str">
            <v>XNV-C8083R</v>
          </cell>
          <cell r="B2923" t="str">
            <v>6MP IR Vandal Dome Camera, 4.4-9.3mm (2.1x) Motorized Varifocal, IR-40m, IP66/IP67/NEMA4X, IK10</v>
          </cell>
          <cell r="C2923" t="str">
            <v>0</v>
          </cell>
          <cell r="E2923" t="str">
            <v>PCS</v>
          </cell>
          <cell r="G2923" t="str">
            <v>XNV-C8083R/KEX</v>
          </cell>
          <cell r="AA2923" t="str">
            <v>HANWHA STOCK</v>
          </cell>
        </row>
        <row r="2924">
          <cell r="A2924" t="str">
            <v>XNV-C9083R</v>
          </cell>
          <cell r="B2924" t="str">
            <v>AI 4K IR Vandal Dome Camera, 4.4-9.3mm</v>
          </cell>
          <cell r="C2924" t="str">
            <v>0</v>
          </cell>
          <cell r="E2924" t="str">
            <v>PCS</v>
          </cell>
          <cell r="G2924" t="str">
            <v>XNV-C9083R/KEX</v>
          </cell>
          <cell r="AA2924" t="str">
            <v>HANWHA STOCK</v>
          </cell>
        </row>
        <row r="2925">
          <cell r="A2925" t="str">
            <v>XNV-L6080A</v>
          </cell>
          <cell r="B2925" t="str">
            <v>2MP Vandal Dome Camera,  Lite, 3.2 ~10mm, VA, IP66, IK10, Hard Coating</v>
          </cell>
          <cell r="C2925" t="str">
            <v>0</v>
          </cell>
          <cell r="E2925" t="str">
            <v>PCS</v>
          </cell>
          <cell r="G2925" t="str">
            <v>XNV-L6080A/KME</v>
          </cell>
          <cell r="AA2925" t="str">
            <v>HANWHA STOCK</v>
          </cell>
        </row>
        <row r="2926">
          <cell r="A2926" t="str">
            <v>XNV-L6080RA</v>
          </cell>
          <cell r="B2926" t="str">
            <v>2MP IR Vandal Dome Camera, Lite, 3.2 ~10mm, VA, 30m IR,  IP66, IK10, Hard Coating, Temp 60 ° and RH 95%</v>
          </cell>
          <cell r="C2926" t="str">
            <v>0</v>
          </cell>
          <cell r="E2926" t="str">
            <v>PCS</v>
          </cell>
          <cell r="G2926" t="str">
            <v>XNV-L6080RA/KME</v>
          </cell>
          <cell r="AA2926" t="str">
            <v>HANWHA STOCK</v>
          </cell>
        </row>
        <row r="2927">
          <cell r="A2927" t="str">
            <v>XRN-1620B2</v>
          </cell>
          <cell r="B2927" t="str">
            <v xml:space="preserve">16CH NVR, Upto 8 SATA, 140 Mbps, Supports AI Search </v>
          </cell>
          <cell r="C2927" t="str">
            <v>0</v>
          </cell>
          <cell r="E2927" t="str">
            <v>PCS</v>
          </cell>
          <cell r="G2927" t="str">
            <v>XRN-1620B2/KSA</v>
          </cell>
          <cell r="AA2927" t="str">
            <v>HANWHA STOCK</v>
          </cell>
        </row>
        <row r="2928">
          <cell r="A2928" t="str">
            <v>XRN-1620SB1</v>
          </cell>
          <cell r="B2928" t="str">
            <v xml:space="preserve">16CH PoE NVR, Upto 4 SATA, 140 Mbps, Supports AI Search </v>
          </cell>
          <cell r="C2928" t="str">
            <v>15</v>
          </cell>
          <cell r="E2928" t="str">
            <v>PCS</v>
          </cell>
          <cell r="F2928" t="str">
            <v>71C</v>
          </cell>
          <cell r="G2928" t="str">
            <v>XRN-1620SB1/KSA</v>
          </cell>
          <cell r="AA2928" t="str">
            <v>HANWHA STOCK</v>
          </cell>
        </row>
        <row r="2929">
          <cell r="A2929" t="str">
            <v>XRN-3010A</v>
          </cell>
          <cell r="B2929" t="str">
            <v>64CH NVR, Up to 8 SATA, 300Mbps, N+1 failover supported ( KSA &amp; Kuwait )</v>
          </cell>
          <cell r="C2929" t="str">
            <v>0</v>
          </cell>
          <cell r="E2929" t="str">
            <v>PCS</v>
          </cell>
          <cell r="G2929" t="str">
            <v>XRN-3010A/KSA</v>
          </cell>
          <cell r="AA2929" t="str">
            <v>HANWHA STOCK</v>
          </cell>
        </row>
        <row r="2930">
          <cell r="A2930" t="str">
            <v>XRN-3210B2</v>
          </cell>
          <cell r="B2930" t="str">
            <v>32CH NVR, 8 SATA, 400 Mbps, N+1 failover, AI Serach</v>
          </cell>
          <cell r="C2930" t="str">
            <v>61</v>
          </cell>
          <cell r="E2930" t="str">
            <v>PCS</v>
          </cell>
          <cell r="F2930" t="str">
            <v>23C, 73B</v>
          </cell>
          <cell r="G2930" t="str">
            <v>XRN-3210B2/KSA</v>
          </cell>
          <cell r="AA2930" t="str">
            <v>HANWHA STOCK</v>
          </cell>
        </row>
        <row r="2931">
          <cell r="A2931" t="str">
            <v>XRN-3210B4</v>
          </cell>
          <cell r="B2931" t="str">
            <v>32 CH NVR, 16 SATA, 400 Mbps, N+1 failover,AI Serach</v>
          </cell>
          <cell r="C2931" t="str">
            <v>0</v>
          </cell>
          <cell r="E2931" t="str">
            <v>PCS</v>
          </cell>
          <cell r="G2931" t="str">
            <v>XRN-3210B4/KSA</v>
          </cell>
          <cell r="AA2931" t="str">
            <v>HANWHA STOCK</v>
          </cell>
        </row>
        <row r="2932">
          <cell r="A2932" t="str">
            <v>XRN-3210RB2</v>
          </cell>
          <cell r="B2932" t="str">
            <v>32CH NVR, 8 SATA, 400 Mbps, RAID 5/6, N+1 failover,AI Serach</v>
          </cell>
          <cell r="C2932" t="str">
            <v>0</v>
          </cell>
          <cell r="E2932" t="str">
            <v>PCS</v>
          </cell>
          <cell r="G2932" t="str">
            <v xml:space="preserve">XRN-3210RB2/KSA </v>
          </cell>
          <cell r="AA2932" t="str">
            <v>HANWHA STOCK</v>
          </cell>
        </row>
        <row r="2933">
          <cell r="A2933" t="str">
            <v>XRN-420S</v>
          </cell>
          <cell r="B2933" t="str">
            <v xml:space="preserve">4 CH PoE NVR, Up to 1 SATA ( Max 6TB), 50Mbps </v>
          </cell>
          <cell r="C2933" t="str">
            <v>0</v>
          </cell>
          <cell r="E2933" t="str">
            <v>PCS</v>
          </cell>
          <cell r="G2933" t="str">
            <v>XRN-420S/VSA</v>
          </cell>
          <cell r="AA2933" t="str">
            <v>HANWHA STOCK</v>
          </cell>
        </row>
        <row r="2934">
          <cell r="A2934" t="str">
            <v>XRN-6410B2</v>
          </cell>
          <cell r="B2934" t="str">
            <v>64CH AI NVR, 8 SATA, 400 Mbps, N+1 failover, AI Serach</v>
          </cell>
          <cell r="C2934" t="str">
            <v>0</v>
          </cell>
          <cell r="E2934" t="str">
            <v>PCS</v>
          </cell>
          <cell r="G2934" t="str">
            <v>XRN-6410B2/KSA</v>
          </cell>
          <cell r="AA2934" t="str">
            <v>HANWHA STOCK</v>
          </cell>
        </row>
        <row r="2935">
          <cell r="A2935" t="str">
            <v>XRN-6410B4</v>
          </cell>
          <cell r="B2935" t="str">
            <v xml:space="preserve">64 CH NVR, 16 SATA, 400 Mbps, N+1 failover, Supports AI Serach </v>
          </cell>
          <cell r="C2935" t="str">
            <v>0</v>
          </cell>
          <cell r="E2935" t="str">
            <v>PCS</v>
          </cell>
          <cell r="G2935" t="str">
            <v>XRN-6410B4/KSA</v>
          </cell>
          <cell r="AA2935" t="str">
            <v>HANWHA STOCK</v>
          </cell>
        </row>
        <row r="2936">
          <cell r="A2936" t="str">
            <v>XRN-6410DB4</v>
          </cell>
          <cell r="B2936" t="str">
            <v>64 CH NVR, 16 SATA, 400 Mbps, N+1 failover, Dual SMPS,AI Serach</v>
          </cell>
          <cell r="C2936" t="str">
            <v>0</v>
          </cell>
          <cell r="E2936" t="str">
            <v>PCS</v>
          </cell>
          <cell r="G2936" t="str">
            <v>XRN-6410DB4/KSA</v>
          </cell>
          <cell r="AA2936" t="str">
            <v>HANWHA STOCK</v>
          </cell>
        </row>
        <row r="2937">
          <cell r="A2937" t="str">
            <v>XRN-6410RB2</v>
          </cell>
          <cell r="B2937" t="str">
            <v>64CH AI NVR, 8 SATA, 400 Mbps, RAID 5/6, N+1 failover, AI Serach</v>
          </cell>
          <cell r="C2937" t="str">
            <v>0</v>
          </cell>
          <cell r="E2937" t="str">
            <v>PCS</v>
          </cell>
          <cell r="G2937" t="str">
            <v>XRN-6410RB2/KSA</v>
          </cell>
          <cell r="AA2937" t="str">
            <v>HANWHA STOCK</v>
          </cell>
        </row>
        <row r="2938">
          <cell r="A2938" t="str">
            <v>XRN-6420B4</v>
          </cell>
          <cell r="B2938" t="str">
            <v>64CH NVR with 12th gen. Intel® Processor</v>
          </cell>
          <cell r="C2938" t="str">
            <v>0</v>
          </cell>
          <cell r="E2938" t="str">
            <v>PCS</v>
          </cell>
          <cell r="G2938" t="str">
            <v>XRN-6420B4/VSA</v>
          </cell>
          <cell r="AA2938" t="str">
            <v>HANWHA STOCK</v>
          </cell>
        </row>
        <row r="2939">
          <cell r="A2939" t="str">
            <v>XRN-6420DB4</v>
          </cell>
          <cell r="B2939" t="str">
            <v>NETWORK VIDEO RECORDER</v>
          </cell>
          <cell r="C2939" t="str">
            <v>0</v>
          </cell>
          <cell r="E2939" t="str">
            <v>PCS</v>
          </cell>
          <cell r="G2939" t="str">
            <v>XRN-6420DB4/KSA</v>
          </cell>
          <cell r="AA2939" t="str">
            <v>HANWHA STOCK</v>
          </cell>
        </row>
        <row r="2940">
          <cell r="A2940" t="str">
            <v>XRN-6420RB2</v>
          </cell>
          <cell r="B2940" t="str">
            <v>64CH NVR with 12th gen. Intel® Processor</v>
          </cell>
          <cell r="C2940" t="str">
            <v>2</v>
          </cell>
          <cell r="E2940" t="str">
            <v>PCS</v>
          </cell>
          <cell r="F2940" t="str">
            <v>24B</v>
          </cell>
          <cell r="G2940" t="str">
            <v>XRN-6420RB2/VSA</v>
          </cell>
          <cell r="AA2940" t="str">
            <v>HANWHA STOCK</v>
          </cell>
        </row>
        <row r="2941">
          <cell r="A2941" t="str">
            <v>XRN-810S</v>
          </cell>
          <cell r="B2941" t="str">
            <v xml:space="preserve">8 CH PoE NVR, Up to 2 SATA (Max 12 TB), 100Mbps </v>
          </cell>
          <cell r="C2941" t="str">
            <v>3</v>
          </cell>
          <cell r="E2941" t="str">
            <v>PCS</v>
          </cell>
          <cell r="F2941" t="str">
            <v>25B</v>
          </cell>
          <cell r="G2941" t="str">
            <v>XRN-810SN/SA</v>
          </cell>
          <cell r="AA2941" t="str">
            <v>HANWHA STOCK</v>
          </cell>
        </row>
        <row r="2942">
          <cell r="A2942" t="str">
            <v>XRN-810SP</v>
          </cell>
          <cell r="B2942" t="str">
            <v>8 CH PoE NVR, Up to 2 SATA (Max 12 TB), 100Mbps</v>
          </cell>
          <cell r="C2942" t="str">
            <v>1</v>
          </cell>
          <cell r="E2942" t="str">
            <v>PCS</v>
          </cell>
          <cell r="F2942" t="str">
            <v>65A</v>
          </cell>
          <cell r="G2942" t="str">
            <v>XRN-810SP/AJ</v>
          </cell>
          <cell r="AA2942" t="str">
            <v>HANWHA STOCK</v>
          </cell>
        </row>
        <row r="2943">
          <cell r="A2943" t="str">
            <v>XRP-4210B4</v>
          </cell>
          <cell r="B2943" t="str">
            <v>72CH SSM Recording Server, 400Mbps, 16 SATA Enterprise,  Failover, AI Event</v>
          </cell>
          <cell r="C2943" t="str">
            <v>0</v>
          </cell>
          <cell r="E2943" t="str">
            <v>PCS</v>
          </cell>
          <cell r="G2943" t="str">
            <v>XRP-4210B4/KSA</v>
          </cell>
          <cell r="AA2943" t="str">
            <v>HANWHA STOCK</v>
          </cell>
        </row>
        <row r="2944">
          <cell r="A2944" t="str">
            <v>XRP-4310DB4</v>
          </cell>
          <cell r="B2944" t="str">
            <v>128CH SSM Recording Server,400Mbps, 16 SATA Enterprise, Failover, AI Event</v>
          </cell>
          <cell r="C2944" t="str">
            <v>0</v>
          </cell>
          <cell r="E2944" t="str">
            <v>PCS</v>
          </cell>
          <cell r="G2944" t="str">
            <v>XRP-4310DB4/KSA</v>
          </cell>
          <cell r="AA2944" t="str">
            <v>HANWHA STOCK</v>
          </cell>
        </row>
        <row r="2945">
          <cell r="A2945" t="str">
            <v>XWV-3010</v>
          </cell>
          <cell r="B2945" t="str">
            <v>Viewer Workstation PC</v>
          </cell>
          <cell r="C2945" t="str">
            <v>0</v>
          </cell>
          <cell r="E2945" t="str">
            <v>PCS</v>
          </cell>
          <cell r="G2945" t="str">
            <v>XWV-3010/KSA</v>
          </cell>
          <cell r="AA2945" t="str">
            <v>HANWHA STOCK</v>
          </cell>
        </row>
        <row r="2946">
          <cell r="A2946" t="str">
            <v>Part Number</v>
          </cell>
          <cell r="B2946" t="str">
            <v>Material description</v>
          </cell>
          <cell r="C2946" t="str">
            <v>Available Qty</v>
          </cell>
          <cell r="E2946" t="str">
            <v>UOM</v>
          </cell>
          <cell r="F2946" t="str">
            <v>Rack #</v>
          </cell>
          <cell r="G2946" t="str">
            <v>SAP Part Number</v>
          </cell>
          <cell r="AA2946" t="str">
            <v>LG STOCK</v>
          </cell>
        </row>
        <row r="2947">
          <cell r="A2947" t="str">
            <v>110UM5K-B.AMIQ</v>
          </cell>
          <cell r="B2947" t="str">
            <v>110'' UHD Slim UMK5-B Series</v>
          </cell>
          <cell r="C2947" t="str">
            <v>8</v>
          </cell>
          <cell r="E2947" t="str">
            <v>PCS</v>
          </cell>
          <cell r="F2947" t="str">
            <v>Zone A, Zone F</v>
          </cell>
          <cell r="G2947" t="str">
            <v>110UM5K-B.AMIQ</v>
          </cell>
          <cell r="AA2947" t="str">
            <v>LG STOCK</v>
          </cell>
        </row>
        <row r="2948">
          <cell r="A2948" t="str">
            <v>32SM5J-B.AMID</v>
          </cell>
          <cell r="B2948" t="str">
            <v>32” FHD Signage</v>
          </cell>
          <cell r="C2948" t="str">
            <v>55</v>
          </cell>
          <cell r="E2948" t="str">
            <v>PCS</v>
          </cell>
          <cell r="F2948" t="str">
            <v>107B, 107B</v>
          </cell>
          <cell r="G2948" t="str">
            <v>32SM5J-B.AMID</v>
          </cell>
          <cell r="AA2948" t="str">
            <v>LG STOCK</v>
          </cell>
        </row>
        <row r="2949">
          <cell r="A2949" t="str">
            <v>43TNF5P-B.AMID</v>
          </cell>
          <cell r="B2949" t="str">
            <v>Touch Open Frame Brightness :500 nit Mul</v>
          </cell>
          <cell r="C2949" t="str">
            <v>0</v>
          </cell>
          <cell r="E2949" t="str">
            <v>PCS</v>
          </cell>
          <cell r="G2949" t="str">
            <v>43TNF5P</v>
          </cell>
          <cell r="AA2949" t="str">
            <v>LG STOCK</v>
          </cell>
        </row>
        <row r="2950">
          <cell r="A2950" t="str">
            <v>43UM5N-H</v>
          </cell>
          <cell r="B2950" t="str">
            <v>4K UHD Signage</v>
          </cell>
          <cell r="C2950" t="str">
            <v>0</v>
          </cell>
          <cell r="E2950" t="str">
            <v>PCS</v>
          </cell>
          <cell r="G2950" t="str">
            <v>musa</v>
          </cell>
          <cell r="AA2950" t="str">
            <v>LG STOCK</v>
          </cell>
        </row>
        <row r="2951">
          <cell r="A2951" t="str">
            <v>43UM662H4LC.AMIE</v>
          </cell>
          <cell r="B2951" t="str">
            <v>43UM662H4LC.AMIE</v>
          </cell>
          <cell r="C2951" t="str">
            <v>306</v>
          </cell>
          <cell r="E2951" t="str">
            <v>PCS</v>
          </cell>
          <cell r="F2951" t="str">
            <v>Zone F</v>
          </cell>
          <cell r="G2951" t="str">
            <v>43UM662H4LC.AMIE</v>
          </cell>
          <cell r="AA2951" t="str">
            <v>LG STOCK</v>
          </cell>
        </row>
        <row r="2952">
          <cell r="A2952" t="str">
            <v>43US660H0GD.AMIE</v>
          </cell>
          <cell r="B2952" t="str">
            <v>43US660H0GD.AMIE</v>
          </cell>
          <cell r="C2952" t="str">
            <v>315</v>
          </cell>
          <cell r="E2952" t="str">
            <v>PCS</v>
          </cell>
          <cell r="F2952" t="str">
            <v>96A, 97A, 98A, 99A, 100A, 101A, 102A, 103A, 103C, 104C, 107C, Zone F</v>
          </cell>
          <cell r="G2952" t="str">
            <v>43US660H0GD.AMIE</v>
          </cell>
          <cell r="AA2952" t="str">
            <v>LG STOCK</v>
          </cell>
        </row>
        <row r="2953">
          <cell r="A2953" t="str">
            <v>55UL3J-N.AMID</v>
          </cell>
          <cell r="B2953" t="str">
            <v>Digital Signage LG Model 55UL3J-N (UHD) LCD Screen 55</v>
          </cell>
          <cell r="C2953" t="str">
            <v>184</v>
          </cell>
          <cell r="E2953" t="str">
            <v>PCS</v>
          </cell>
          <cell r="F2953" t="str">
            <v>107A, 111C, Zone A</v>
          </cell>
          <cell r="G2953" t="str">
            <v>55UL3J-N.AMID</v>
          </cell>
          <cell r="AA2953" t="str">
            <v>LG STOCK</v>
          </cell>
        </row>
        <row r="2954">
          <cell r="A2954" t="str">
            <v>55UM662H0LC.AMIE</v>
          </cell>
          <cell r="B2954" t="str">
            <v>4K UHD Hospitality TV with Pro: Centric</v>
          </cell>
          <cell r="C2954" t="str">
            <v>141</v>
          </cell>
          <cell r="E2954" t="str">
            <v>PCS</v>
          </cell>
          <cell r="F2954" t="str">
            <v>Zone E</v>
          </cell>
          <cell r="G2954" t="str">
            <v>55UM662H0LC.AMIE</v>
          </cell>
          <cell r="AA2954" t="str">
            <v>LG STOCK</v>
          </cell>
        </row>
        <row r="2955">
          <cell r="A2955" t="str">
            <v>55UM767H0LD.AMIE</v>
          </cell>
          <cell r="B2955" t="str">
            <v>55UM767H0LD.AMIE</v>
          </cell>
          <cell r="C2955" t="str">
            <v>155</v>
          </cell>
          <cell r="E2955" t="str">
            <v>PCS</v>
          </cell>
          <cell r="F2955" t="str">
            <v>Zone F</v>
          </cell>
          <cell r="G2955" t="str">
            <v>55UM767H0LD.AMIE</v>
          </cell>
          <cell r="AA2955" t="str">
            <v>LG STOCK</v>
          </cell>
        </row>
        <row r="2956">
          <cell r="A2956" t="str">
            <v>55US660H0GD</v>
          </cell>
          <cell r="B2956" t="str">
            <v>4K UHD TV with Pro:Centric</v>
          </cell>
          <cell r="C2956" t="str">
            <v>0</v>
          </cell>
          <cell r="E2956" t="str">
            <v>PCS</v>
          </cell>
          <cell r="G2956" t="str">
            <v>musa</v>
          </cell>
          <cell r="AA2956" t="str">
            <v>LG STOCK</v>
          </cell>
        </row>
        <row r="2957">
          <cell r="A2957" t="str">
            <v>55VSH7J-H</v>
          </cell>
          <cell r="B2957" t="str">
            <v>55 inch video wall 700 nits 0.44m</v>
          </cell>
          <cell r="C2957" t="str">
            <v>16</v>
          </cell>
          <cell r="E2957" t="str">
            <v>PCS</v>
          </cell>
          <cell r="F2957" t="str">
            <v>108A</v>
          </cell>
          <cell r="G2957" t="str">
            <v>55VSH7J-H</v>
          </cell>
          <cell r="AA2957" t="str">
            <v>LG STOCK</v>
          </cell>
        </row>
        <row r="2958">
          <cell r="A2958" t="str">
            <v>55VSM5J-H.AMID</v>
          </cell>
          <cell r="B2958" t="str">
            <v>55'' 500 nits FHD 0.44mm Even Bezel Video Wall</v>
          </cell>
          <cell r="C2958" t="str">
            <v>0</v>
          </cell>
          <cell r="E2958" t="str">
            <v>PCS</v>
          </cell>
          <cell r="G2958" t="str">
            <v>musa</v>
          </cell>
          <cell r="AA2958" t="str">
            <v>LG STOCK</v>
          </cell>
        </row>
        <row r="2959">
          <cell r="A2959" t="str">
            <v>65TR3DK-B.MUMQ</v>
          </cell>
          <cell r="B2959" t="str">
            <v>65” IPS Multi Touch CreateBoard® with An</v>
          </cell>
          <cell r="C2959" t="str">
            <v>0</v>
          </cell>
          <cell r="E2959" t="str">
            <v>PCS</v>
          </cell>
          <cell r="G2959" t="str">
            <v>musa</v>
          </cell>
          <cell r="AA2959" t="str">
            <v>LG STOCK</v>
          </cell>
        </row>
        <row r="2960">
          <cell r="A2960" t="str">
            <v>65UM5N-H.AMID</v>
          </cell>
          <cell r="B2960" t="str">
            <v>65UM5N-H 4K UHD Signage</v>
          </cell>
          <cell r="C2960" t="str">
            <v>16</v>
          </cell>
          <cell r="E2960" t="str">
            <v>PCS</v>
          </cell>
          <cell r="F2960" t="str">
            <v>Zone E</v>
          </cell>
          <cell r="G2960" t="str">
            <v>65UM5N-H.AMID</v>
          </cell>
          <cell r="AA2960" t="str">
            <v>LG STOCK</v>
          </cell>
        </row>
        <row r="2961">
          <cell r="A2961" t="str">
            <v>65UR762H</v>
          </cell>
          <cell r="B2961" t="str">
            <v>LG Hospitality TV 65"</v>
          </cell>
          <cell r="C2961" t="str">
            <v>60</v>
          </cell>
          <cell r="E2961" t="str">
            <v>PCS</v>
          </cell>
          <cell r="F2961" t="str">
            <v>98C, 99C, 100C, 101C, 102C</v>
          </cell>
          <cell r="G2961" t="str">
            <v>65UR762H</v>
          </cell>
          <cell r="AA2961" t="str">
            <v>LG STOCK</v>
          </cell>
        </row>
        <row r="2962">
          <cell r="A2962" t="str">
            <v>75TR3DK-B.MUMQ</v>
          </cell>
          <cell r="B2962" t="str">
            <v>75” IPS Multi Touch CreateBoard®</v>
          </cell>
          <cell r="C2962" t="str">
            <v>0</v>
          </cell>
          <cell r="E2962" t="str">
            <v>PCS</v>
          </cell>
          <cell r="G2962" t="str">
            <v>75TR3DK-B.MUMQ</v>
          </cell>
          <cell r="AA2962" t="str">
            <v>LG STOCK</v>
          </cell>
        </row>
        <row r="2963">
          <cell r="A2963" t="str">
            <v>75UL3J-B.AMID</v>
          </cell>
          <cell r="B2963" t="str">
            <v>LG 75UL3J-B 75” 4K UHD Digital Signage Display (16/7)</v>
          </cell>
          <cell r="C2963" t="str">
            <v>71</v>
          </cell>
          <cell r="E2963" t="str">
            <v>PCS</v>
          </cell>
          <cell r="F2963" t="str">
            <v>104B, 110A, 111A, 112A, 113A, Zone F</v>
          </cell>
          <cell r="G2963" t="str">
            <v>75UL3J-B.AMID</v>
          </cell>
          <cell r="AA2963" t="str">
            <v>LG STOCK</v>
          </cell>
        </row>
        <row r="2964">
          <cell r="A2964" t="str">
            <v>86TR3DK-B.YUMQ</v>
          </cell>
          <cell r="B2964" t="str">
            <v>86” IPS Multi Touch CreateBoard® with An</v>
          </cell>
          <cell r="C2964" t="str">
            <v>0</v>
          </cell>
          <cell r="E2964" t="str">
            <v>PCS</v>
          </cell>
          <cell r="G2964" t="str">
            <v>86TR3DK-B.YUMQ</v>
          </cell>
          <cell r="AA2964" t="str">
            <v>LG STOCK</v>
          </cell>
        </row>
        <row r="2965">
          <cell r="A2965" t="str">
            <v>86UL3J-B.AMID</v>
          </cell>
          <cell r="B2965" t="str">
            <v>LG Sigange 86"</v>
          </cell>
          <cell r="C2965" t="str">
            <v>7</v>
          </cell>
          <cell r="E2965" t="str">
            <v>PCS</v>
          </cell>
          <cell r="F2965" t="str">
            <v>Zone E</v>
          </cell>
          <cell r="G2965" t="str">
            <v>86UL3J-B.AMID</v>
          </cell>
          <cell r="AA2965" t="str">
            <v>LG STOCK</v>
          </cell>
        </row>
        <row r="2966">
          <cell r="A2966" t="str">
            <v>98TR3DK-B</v>
          </cell>
          <cell r="B2966" t="str">
            <v>98” IPS UHD IR Multi Touch Smart Board</v>
          </cell>
          <cell r="C2966" t="str">
            <v>0</v>
          </cell>
          <cell r="E2966" t="str">
            <v>PCS</v>
          </cell>
          <cell r="G2966" t="str">
            <v>98TR3DK-B</v>
          </cell>
          <cell r="AA2966" t="str">
            <v>LG STOCK</v>
          </cell>
        </row>
        <row r="2967">
          <cell r="A2967" t="str">
            <v>98UH5J</v>
          </cell>
          <cell r="B2967" t="str">
            <v>LG Signage 98" 24/7</v>
          </cell>
          <cell r="C2967" t="str">
            <v>0</v>
          </cell>
          <cell r="E2967" t="str">
            <v>PCS</v>
          </cell>
          <cell r="G2967" t="str">
            <v>98UH5J</v>
          </cell>
          <cell r="AA2967" t="str">
            <v>LG STOCK</v>
          </cell>
        </row>
        <row r="2968">
          <cell r="A2968" t="str">
            <v>98UM5K-B.AMIQ</v>
          </cell>
          <cell r="B2968" t="str">
            <v>98" 3840 x 2160 UHD LED Backlit LCD Large Format Monitor</v>
          </cell>
          <cell r="C2968" t="str">
            <v>8</v>
          </cell>
          <cell r="E2968" t="str">
            <v>PCS</v>
          </cell>
          <cell r="F2968" t="str">
            <v>107C, 108C, 109C</v>
          </cell>
          <cell r="G2968" t="str">
            <v>98UM5K-B.AMIQ</v>
          </cell>
          <cell r="AA2968" t="str">
            <v>LG STOCK</v>
          </cell>
        </row>
        <row r="2969">
          <cell r="A2969" t="str">
            <v>CBL-8K-HD-3</v>
          </cell>
          <cell r="B2969" t="str">
            <v>Certified HDMI® 2.1 Cable, 48 Gbps, 3 ft</v>
          </cell>
          <cell r="C2969" t="str">
            <v>5</v>
          </cell>
          <cell r="E2969" t="str">
            <v>PCS</v>
          </cell>
          <cell r="F2969" t="str">
            <v>127B</v>
          </cell>
          <cell r="G2969" t="str">
            <v>CBL-8K-HD-3</v>
          </cell>
          <cell r="AA2969" t="str">
            <v>LG STOCK</v>
          </cell>
        </row>
        <row r="2970">
          <cell r="A2970" t="str">
            <v>CBL-8K-HD-6</v>
          </cell>
          <cell r="B2970" t="str">
            <v>Certified HDMI® 2.1-48 Gbps, 6 ft (1.8 m</v>
          </cell>
          <cell r="C2970" t="str">
            <v>3</v>
          </cell>
          <cell r="E2970" t="str">
            <v>PCS</v>
          </cell>
          <cell r="F2970" t="str">
            <v>127B</v>
          </cell>
          <cell r="G2970" t="str">
            <v>CBL-8K-HD-6</v>
          </cell>
          <cell r="AA2970" t="str">
            <v>LG STOCK</v>
          </cell>
        </row>
        <row r="2971">
          <cell r="A2971" t="str">
            <v>CCBLG</v>
          </cell>
          <cell r="B2971" t="str">
            <v>Spare Cabinet B</v>
          </cell>
          <cell r="C2971" t="str">
            <v>0</v>
          </cell>
          <cell r="E2971" t="str">
            <v>PCS</v>
          </cell>
          <cell r="G2971" t="str">
            <v>musa</v>
          </cell>
          <cell r="AA2971" t="str">
            <v>LG STOCK</v>
          </cell>
        </row>
        <row r="2972">
          <cell r="A2972" t="str">
            <v>CCMLG</v>
          </cell>
          <cell r="B2972" t="str">
            <v>Spare Cabinet M</v>
          </cell>
          <cell r="C2972" t="str">
            <v>0</v>
          </cell>
          <cell r="E2972" t="str">
            <v>PCS</v>
          </cell>
          <cell r="G2972" t="str">
            <v>musa</v>
          </cell>
          <cell r="AA2972" t="str">
            <v>LG STOCK</v>
          </cell>
        </row>
        <row r="2973">
          <cell r="A2973" t="str">
            <v>CCTLG</v>
          </cell>
          <cell r="B2973" t="str">
            <v>Spare Cabinet T</v>
          </cell>
          <cell r="C2973" t="str">
            <v>0</v>
          </cell>
          <cell r="E2973" t="str">
            <v>PCS</v>
          </cell>
          <cell r="G2973" t="str">
            <v>musa</v>
          </cell>
          <cell r="AA2973" t="str">
            <v>LG STOCK</v>
          </cell>
        </row>
        <row r="2974">
          <cell r="A2974" t="str">
            <v>CP4</v>
          </cell>
          <cell r="B2974" t="str">
            <v>4-Series™ Control System</v>
          </cell>
          <cell r="C2974" t="str">
            <v>2</v>
          </cell>
          <cell r="E2974" t="str">
            <v>PCS</v>
          </cell>
          <cell r="F2974" t="str">
            <v>82A</v>
          </cell>
          <cell r="G2974" t="str">
            <v>CP4</v>
          </cell>
          <cell r="AA2974" t="str">
            <v>LG STOCK</v>
          </cell>
        </row>
        <row r="2975">
          <cell r="A2975" t="str">
            <v>CSAD.AMI</v>
          </cell>
          <cell r="B2975" t="str">
            <v>CSAD.AMI</v>
          </cell>
          <cell r="C2975" t="str">
            <v>0</v>
          </cell>
          <cell r="E2975" t="str">
            <v>PCS</v>
          </cell>
          <cell r="G2975" t="str">
            <v>musa</v>
          </cell>
          <cell r="AA2975" t="str">
            <v>LG STOCK</v>
          </cell>
        </row>
        <row r="2976">
          <cell r="A2976" t="str">
            <v>ESAB09G-N3.AMI</v>
          </cell>
          <cell r="B2976" t="str">
            <v>MAGNIT 0.9PP Spare Parts</v>
          </cell>
          <cell r="C2976" t="str">
            <v>0</v>
          </cell>
          <cell r="E2976" t="str">
            <v>PCS</v>
          </cell>
          <cell r="G2976" t="str">
            <v>musa</v>
          </cell>
          <cell r="AA2976" t="str">
            <v>LG STOCK</v>
          </cell>
        </row>
        <row r="2977">
          <cell r="A2977" t="str">
            <v>ESAB09G-N52.AMI</v>
          </cell>
          <cell r="B2977" t="str">
            <v>ESAB09G-N52.AMI</v>
          </cell>
          <cell r="C2977" t="str">
            <v>0</v>
          </cell>
          <cell r="E2977" t="str">
            <v>PCS</v>
          </cell>
          <cell r="G2977" t="str">
            <v>musa</v>
          </cell>
          <cell r="AA2977" t="str">
            <v>LG STOCK</v>
          </cell>
        </row>
        <row r="2978">
          <cell r="A2978" t="str">
            <v>ESAB09G-U3.AMI</v>
          </cell>
          <cell r="B2978" t="str">
            <v>MAGNIT 0.9PP Spare Parts</v>
          </cell>
          <cell r="C2978" t="str">
            <v>0</v>
          </cell>
          <cell r="E2978" t="str">
            <v>PCS</v>
          </cell>
          <cell r="G2978" t="str">
            <v>musa</v>
          </cell>
          <cell r="AA2978" t="str">
            <v>LG STOCK</v>
          </cell>
        </row>
        <row r="2979">
          <cell r="A2979" t="str">
            <v>ESAB09G-U52.AMI</v>
          </cell>
          <cell r="B2979" t="str">
            <v>ESAB09G-U52.AMI</v>
          </cell>
          <cell r="C2979" t="str">
            <v>0</v>
          </cell>
          <cell r="E2979" t="str">
            <v>PCS</v>
          </cell>
          <cell r="G2979" t="str">
            <v>musa</v>
          </cell>
          <cell r="AA2979" t="str">
            <v>LG STOCK</v>
          </cell>
        </row>
        <row r="2980">
          <cell r="A2980" t="str">
            <v>ESAB09L-M52.AMI</v>
          </cell>
          <cell r="B2980" t="str">
            <v>ESAB09L-M52.AMI</v>
          </cell>
          <cell r="C2980" t="str">
            <v>0</v>
          </cell>
          <cell r="E2980" t="str">
            <v>PCS</v>
          </cell>
          <cell r="G2980" t="str">
            <v>musa</v>
          </cell>
          <cell r="AA2980" t="str">
            <v>LG STOCK</v>
          </cell>
        </row>
        <row r="2981">
          <cell r="A2981" t="str">
            <v>ESP-880A</v>
          </cell>
          <cell r="B2981" t="str">
            <v>CONTROLSPACE ESP-880A 8IN/8OUT 230V UK</v>
          </cell>
          <cell r="C2981" t="str">
            <v>3</v>
          </cell>
          <cell r="E2981" t="str">
            <v>PCS</v>
          </cell>
          <cell r="F2981" t="str">
            <v>130B</v>
          </cell>
          <cell r="G2981" t="str">
            <v>ESP-880A</v>
          </cell>
          <cell r="AA2981" t="str">
            <v>LG STOCK</v>
          </cell>
        </row>
        <row r="2982">
          <cell r="A2982" t="str">
            <v>HD-MD4X2-4KZ-E</v>
          </cell>
          <cell r="B2982" t="str">
            <v>4x2 4K60 4:4:4 HDR AV Switcher</v>
          </cell>
          <cell r="C2982" t="str">
            <v>1</v>
          </cell>
          <cell r="E2982" t="str">
            <v>PCS</v>
          </cell>
          <cell r="F2982" t="str">
            <v>127B</v>
          </cell>
          <cell r="G2982" t="str">
            <v>HD-MD4X2-4KZ-E</v>
          </cell>
          <cell r="AA2982" t="str">
            <v>LG STOCK</v>
          </cell>
        </row>
        <row r="2983">
          <cell r="A2983" t="str">
            <v>IRP2</v>
          </cell>
          <cell r="B2983" t="str">
            <v>IR Emitter Probe w/Terminal Block Connec</v>
          </cell>
          <cell r="C2983" t="str">
            <v>9</v>
          </cell>
          <cell r="E2983" t="str">
            <v>PCS</v>
          </cell>
          <cell r="F2983" t="str">
            <v>82A</v>
          </cell>
          <cell r="G2983" t="str">
            <v>IRP2</v>
          </cell>
          <cell r="AA2983" t="str">
            <v>LG STOCK</v>
          </cell>
        </row>
        <row r="2984">
          <cell r="A2984" t="str">
            <v>IZA 2120-HZ</v>
          </cell>
          <cell r="B2984" t="str">
            <v>FREESPACE IZA 2120-HZ DM+FS EQ 230V UK</v>
          </cell>
          <cell r="C2984" t="str">
            <v>1</v>
          </cell>
          <cell r="E2984" t="str">
            <v>PCS</v>
          </cell>
          <cell r="F2984" t="str">
            <v>130B</v>
          </cell>
          <cell r="G2984" t="str">
            <v>IZA 2120-HZ</v>
          </cell>
          <cell r="AA2984" t="str">
            <v>LG STOCK</v>
          </cell>
        </row>
        <row r="2985">
          <cell r="A2985" t="str">
            <v>LAPA136-GF.AMIQ</v>
          </cell>
          <cell r="B2985" t="str">
            <v>LAPA136-GF.AMIQ</v>
          </cell>
          <cell r="C2985" t="str">
            <v>3</v>
          </cell>
          <cell r="E2985" t="str">
            <v>PCS</v>
          </cell>
          <cell r="F2985" t="str">
            <v>Zone E, Zone G</v>
          </cell>
          <cell r="G2985" t="str">
            <v>LAPA136-GF.AMIQ</v>
          </cell>
          <cell r="AA2985" t="str">
            <v>LG STOCK</v>
          </cell>
        </row>
        <row r="2986">
          <cell r="A2986" t="str">
            <v>LGF-98</v>
          </cell>
          <cell r="B2986" t="str">
            <v>Logic Fixed Wall Mount Bracket for 75" t</v>
          </cell>
          <cell r="C2986" t="str">
            <v>0</v>
          </cell>
          <cell r="E2986" t="str">
            <v>PCS</v>
          </cell>
          <cell r="G2986" t="str">
            <v>musa</v>
          </cell>
          <cell r="AA2986" t="str">
            <v>LG STOCK</v>
          </cell>
        </row>
        <row r="2987">
          <cell r="A2987" t="str">
            <v>LGWM-3790F-IN</v>
          </cell>
          <cell r="B2987" t="str">
            <v>Logic Fixed Wall Mount Bracket for 37" t</v>
          </cell>
          <cell r="C2987" t="str">
            <v>0</v>
          </cell>
          <cell r="E2987" t="str">
            <v>PCS</v>
          </cell>
          <cell r="G2987" t="str">
            <v>musa</v>
          </cell>
          <cell r="AA2987" t="str">
            <v>LG STOCK</v>
          </cell>
        </row>
        <row r="2988">
          <cell r="A2988" t="str">
            <v>LSAB009-N3.AMI</v>
          </cell>
          <cell r="B2988" t="str">
            <v>MAGNIT 0.9PP</v>
          </cell>
          <cell r="C2988" t="str">
            <v>0</v>
          </cell>
          <cell r="E2988" t="str">
            <v>PCS</v>
          </cell>
          <cell r="G2988" t="str">
            <v>musa</v>
          </cell>
          <cell r="AA2988" t="str">
            <v>LG STOCK</v>
          </cell>
        </row>
        <row r="2989">
          <cell r="A2989" t="str">
            <v>LSAB009-N52.AMI</v>
          </cell>
          <cell r="B2989" t="str">
            <v>LSAB009-N52.AMI</v>
          </cell>
          <cell r="C2989" t="str">
            <v>0</v>
          </cell>
          <cell r="E2989" t="str">
            <v>PCS</v>
          </cell>
          <cell r="G2989" t="str">
            <v>musa</v>
          </cell>
          <cell r="AA2989" t="str">
            <v>LG STOCK</v>
          </cell>
        </row>
        <row r="2990">
          <cell r="A2990" t="str">
            <v>LSAB009-T3.AMI</v>
          </cell>
          <cell r="B2990" t="str">
            <v>MAGNIT 0.9PP</v>
          </cell>
          <cell r="C2990" t="str">
            <v>0</v>
          </cell>
          <cell r="E2990" t="str">
            <v>PCS</v>
          </cell>
          <cell r="G2990" t="str">
            <v>musa</v>
          </cell>
          <cell r="AA2990" t="str">
            <v>LG STOCK</v>
          </cell>
        </row>
        <row r="2991">
          <cell r="A2991" t="str">
            <v>LSAB009-T52.AMI</v>
          </cell>
          <cell r="B2991" t="str">
            <v>LSAB009-T52.AMI</v>
          </cell>
          <cell r="C2991" t="str">
            <v>0</v>
          </cell>
          <cell r="E2991" t="str">
            <v>PCS</v>
          </cell>
          <cell r="G2991" t="str">
            <v>musa</v>
          </cell>
          <cell r="AA2991" t="str">
            <v>LG STOCK</v>
          </cell>
        </row>
        <row r="2992">
          <cell r="A2992" t="str">
            <v>LSAB009-U3.AMI</v>
          </cell>
          <cell r="B2992" t="str">
            <v>MAGNIT 0.9PP</v>
          </cell>
          <cell r="C2992" t="str">
            <v>0</v>
          </cell>
          <cell r="E2992" t="str">
            <v>PCS</v>
          </cell>
          <cell r="G2992" t="str">
            <v>musa</v>
          </cell>
          <cell r="AA2992" t="str">
            <v>LG STOCK</v>
          </cell>
        </row>
        <row r="2993">
          <cell r="A2993" t="str">
            <v>LSAB009-U52.AMI</v>
          </cell>
          <cell r="B2993" t="str">
            <v>LSAB009-U52.AMI</v>
          </cell>
          <cell r="C2993" t="str">
            <v>0</v>
          </cell>
          <cell r="E2993" t="str">
            <v>PCS</v>
          </cell>
          <cell r="G2993" t="str">
            <v>musa</v>
          </cell>
          <cell r="AA2993" t="str">
            <v>LG STOCK</v>
          </cell>
        </row>
        <row r="2994">
          <cell r="A2994" t="str">
            <v>OLED97G4CLA.AMV</v>
          </cell>
          <cell r="B2994" t="str">
            <v>CTV</v>
          </cell>
          <cell r="C2994" t="str">
            <v>5</v>
          </cell>
          <cell r="E2994" t="str">
            <v>PCS</v>
          </cell>
          <cell r="F2994" t="str">
            <v>Zone E</v>
          </cell>
          <cell r="G2994" t="str">
            <v>OLED97G4CLA.AMV</v>
          </cell>
          <cell r="AA2994" t="str">
            <v>LG STOCK</v>
          </cell>
        </row>
        <row r="2995">
          <cell r="A2995" t="str">
            <v>PCS500R.AEU</v>
          </cell>
          <cell r="B2995" t="str">
            <v>PCS500R.AEU</v>
          </cell>
          <cell r="C2995" t="str">
            <v>2</v>
          </cell>
          <cell r="E2995" t="str">
            <v>PCS</v>
          </cell>
          <cell r="F2995" t="str">
            <v>98B</v>
          </cell>
          <cell r="G2995" t="str">
            <v>PCS500R.AEU</v>
          </cell>
          <cell r="AA2995" t="str">
            <v>LG STOCK</v>
          </cell>
        </row>
        <row r="2996">
          <cell r="A2996" t="str">
            <v>WM-LC3.AL</v>
          </cell>
          <cell r="B2996" t="str">
            <v>WM-LC3.AL</v>
          </cell>
          <cell r="C2996" t="str">
            <v>0</v>
          </cell>
          <cell r="E2996" t="str">
            <v>PCS</v>
          </cell>
          <cell r="G2996" t="str">
            <v>musa</v>
          </cell>
          <cell r="AA2996" t="str">
            <v>LG STOCK</v>
          </cell>
        </row>
        <row r="2997">
          <cell r="A2997" t="str">
            <v>WM-LC3AL</v>
          </cell>
          <cell r="B2997" t="str">
            <v>WM-LC3AL</v>
          </cell>
          <cell r="C2997" t="str">
            <v>0</v>
          </cell>
          <cell r="E2997" t="str">
            <v>PCS</v>
          </cell>
          <cell r="G2997" t="str">
            <v>musa</v>
          </cell>
          <cell r="AA2997" t="str">
            <v>LG STOCK</v>
          </cell>
        </row>
        <row r="2998">
          <cell r="A2998" t="str">
            <v>WM-LC4-2.AL</v>
          </cell>
          <cell r="B2998" t="str">
            <v>WM-LC4-2.AL</v>
          </cell>
          <cell r="C2998" t="str">
            <v>0</v>
          </cell>
          <cell r="E2998" t="str">
            <v>PCS</v>
          </cell>
          <cell r="G2998" t="str">
            <v>musa</v>
          </cell>
          <cell r="AA2998" t="str">
            <v>LG STOCK</v>
          </cell>
        </row>
        <row r="2999">
          <cell r="A2999" t="str">
            <v>WM-LG.AL</v>
          </cell>
          <cell r="B2999" t="str">
            <v>MAGNIT 0.9PP Wall Mount</v>
          </cell>
          <cell r="C2999" t="str">
            <v>0</v>
          </cell>
          <cell r="E2999" t="str">
            <v>PCS</v>
          </cell>
          <cell r="G2999" t="str">
            <v>musa</v>
          </cell>
          <cell r="AA2999" t="str">
            <v>LG STOCK</v>
          </cell>
        </row>
        <row r="3000">
          <cell r="A3000" t="str">
            <v>WM-LH2-2</v>
          </cell>
          <cell r="B3000" t="str">
            <v>Commercial_LED Signage
System Frame</v>
          </cell>
          <cell r="C3000" t="str">
            <v>0</v>
          </cell>
          <cell r="E3000" t="str">
            <v>PCS</v>
          </cell>
          <cell r="G3000" t="str">
            <v>musa</v>
          </cell>
          <cell r="AA3000" t="str">
            <v>LG STOCK</v>
          </cell>
        </row>
        <row r="3001">
          <cell r="A3001" t="str">
            <v>WM-LH3-2.AL</v>
          </cell>
          <cell r="B3001" t="str">
            <v>WM-LH3-2.AL</v>
          </cell>
          <cell r="C3001" t="str">
            <v>0</v>
          </cell>
          <cell r="E3001" t="str">
            <v>PCS</v>
          </cell>
          <cell r="G3001" t="str">
            <v>musa</v>
          </cell>
          <cell r="AA3001" t="str">
            <v>LG STOCK</v>
          </cell>
        </row>
        <row r="3002">
          <cell r="A3002" t="str">
            <v>WM-LS3.AL</v>
          </cell>
          <cell r="B3002" t="str">
            <v>MAGNIT 0.9PP Wall Mount</v>
          </cell>
          <cell r="C3002" t="str">
            <v>0</v>
          </cell>
          <cell r="E3002" t="str">
            <v>PCS</v>
          </cell>
          <cell r="G3002" t="str">
            <v>musa</v>
          </cell>
          <cell r="AA3002" t="str">
            <v>LG STOCK</v>
          </cell>
        </row>
        <row r="3003">
          <cell r="A3003" t="str">
            <v>WM-LS3-2.AL</v>
          </cell>
          <cell r="B3003" t="str">
            <v>WM-LS3-2.AL</v>
          </cell>
          <cell r="C3003" t="str">
            <v>0</v>
          </cell>
          <cell r="E3003" t="str">
            <v>PCS</v>
          </cell>
          <cell r="G3003" t="str">
            <v>musa</v>
          </cell>
          <cell r="AA3003" t="str">
            <v>LG STOCK</v>
          </cell>
        </row>
        <row r="3004">
          <cell r="A3004" t="str">
            <v>WM-LS4-2.AL</v>
          </cell>
          <cell r="B3004" t="str">
            <v>WM-LS4-2.AL</v>
          </cell>
          <cell r="C3004" t="str">
            <v>0</v>
          </cell>
          <cell r="E3004" t="str">
            <v>PCS</v>
          </cell>
          <cell r="G3004" t="str">
            <v>musa</v>
          </cell>
          <cell r="AA3004" t="str">
            <v>LG STOCK</v>
          </cell>
        </row>
        <row r="3005">
          <cell r="A3005" t="str">
            <v>X.0.0.452.81</v>
          </cell>
          <cell r="B3005" t="str">
            <v>Profile 8 40x40 light, natural 1 pce., l</v>
          </cell>
          <cell r="C3005" t="str">
            <v>5</v>
          </cell>
          <cell r="E3005" t="str">
            <v>PCS</v>
          </cell>
          <cell r="F3005" t="str">
            <v>Zone G</v>
          </cell>
          <cell r="G3005" t="str">
            <v>X.0.0.452.81</v>
          </cell>
          <cell r="AA3005" t="str">
            <v>LG STOCK</v>
          </cell>
        </row>
        <row r="3006">
          <cell r="A3006" t="str">
            <v>X0.0.026.18</v>
          </cell>
          <cell r="B3006" t="str">
            <v>T-Slot Nut 8 St M8, bright zinc-plated 1</v>
          </cell>
          <cell r="C3006" t="str">
            <v>170</v>
          </cell>
          <cell r="E3006" t="str">
            <v>PCS</v>
          </cell>
          <cell r="F3006" t="str">
            <v>Zone G</v>
          </cell>
          <cell r="G3006" t="str">
            <v>X0.0.026.18</v>
          </cell>
          <cell r="AA3006" t="str">
            <v>LG STOCK</v>
          </cell>
        </row>
        <row r="3007">
          <cell r="A3007" t="str">
            <v>X0.0.420.05</v>
          </cell>
          <cell r="B3007" t="str">
            <v>T-Slot Nut 8 St M5, bright zinc-plated 1</v>
          </cell>
          <cell r="C3007" t="str">
            <v>120</v>
          </cell>
          <cell r="E3007" t="str">
            <v>PCS</v>
          </cell>
          <cell r="F3007" t="str">
            <v>Zone G</v>
          </cell>
          <cell r="G3007" t="str">
            <v>X0.0.420.05</v>
          </cell>
          <cell r="AA3007" t="str">
            <v>LG STOCK</v>
          </cell>
        </row>
        <row r="3008">
          <cell r="A3008" t="str">
            <v>X0.0.486.28</v>
          </cell>
          <cell r="B3008" t="str">
            <v>Angle Bracket V 8 40 Zn 1 set</v>
          </cell>
          <cell r="C3008" t="str">
            <v>120</v>
          </cell>
          <cell r="E3008" t="str">
            <v>PCS</v>
          </cell>
          <cell r="F3008" t="str">
            <v>Zone G</v>
          </cell>
          <cell r="G3008" t="str">
            <v>X0.0.486.28</v>
          </cell>
          <cell r="AA3008" t="str">
            <v>LG STOCK</v>
          </cell>
        </row>
        <row r="3009">
          <cell r="A3009" t="str">
            <v>X8.0.000.17</v>
          </cell>
          <cell r="B3009" t="str">
            <v>Button-Head Screw M8x10, bright zinc-pla</v>
          </cell>
          <cell r="C3009" t="str">
            <v>170</v>
          </cell>
          <cell r="E3009" t="str">
            <v>PCS</v>
          </cell>
          <cell r="F3009" t="str">
            <v>Zone G</v>
          </cell>
          <cell r="G3009" t="str">
            <v>X8.0.000.17</v>
          </cell>
          <cell r="AA3009" t="str">
            <v>LG STOCK</v>
          </cell>
        </row>
        <row r="3010">
          <cell r="A3010" t="str">
            <v>X8.0.004.59</v>
          </cell>
          <cell r="B3010" t="str">
            <v>Hexagon Socket Head Cap Screw DIN 912 M5</v>
          </cell>
          <cell r="C3010" t="str">
            <v>120</v>
          </cell>
          <cell r="E3010" t="str">
            <v>PCS</v>
          </cell>
          <cell r="F3010" t="str">
            <v>Zone G</v>
          </cell>
          <cell r="G3010" t="str">
            <v>X8.0.004.59</v>
          </cell>
          <cell r="AA3010" t="str">
            <v>LG STOCK</v>
          </cell>
        </row>
        <row r="3011">
          <cell r="A3011" t="str">
            <v>65UT801C0LB.AMVE</v>
          </cell>
          <cell r="B3011" t="str">
            <v>65UT801C 4K UHD Smart TV webOS23</v>
          </cell>
          <cell r="C3011" t="str">
            <v>0</v>
          </cell>
          <cell r="E3011" t="str">
            <v>PCS</v>
          </cell>
          <cell r="F3011" t="str">
            <v>Zone E</v>
          </cell>
          <cell r="G3011" t="str">
            <v>65UT801C</v>
          </cell>
          <cell r="AA3011" t="str">
            <v>LG STOCK</v>
          </cell>
        </row>
        <row r="3012">
          <cell r="A3012" t="str">
            <v>75UT801C0LB.AMVE</v>
          </cell>
          <cell r="B3012" t="str">
            <v>75UT801C 4K UHD Smart TV webOS23</v>
          </cell>
          <cell r="C3012" t="str">
            <v>0</v>
          </cell>
          <cell r="E3012" t="str">
            <v>PCS</v>
          </cell>
          <cell r="F3012" t="str">
            <v>Zone E</v>
          </cell>
          <cell r="G3012" t="str">
            <v>75UT801C</v>
          </cell>
          <cell r="AA3012" t="str">
            <v>LG STOCK</v>
          </cell>
        </row>
        <row r="3013">
          <cell r="A3013" t="str">
            <v>86UT801C0LB.AMVD</v>
          </cell>
          <cell r="B3013" t="str">
            <v>86UT801C 4K UHD Smart TV webOS23</v>
          </cell>
          <cell r="C3013" t="str">
            <v>0</v>
          </cell>
          <cell r="E3013" t="str">
            <v>PCS</v>
          </cell>
          <cell r="F3013" t="str">
            <v>Zone E</v>
          </cell>
          <cell r="G3013" t="str">
            <v>86UT801C</v>
          </cell>
          <cell r="AA3013" t="str">
            <v>LG STOCK</v>
          </cell>
        </row>
      </sheetData>
      <sheetData sheetId="4">
        <row r="1">
          <cell r="A1" t="str">
            <v>Company Name</v>
          </cell>
          <cell r="B1" t="str">
            <v>City Name</v>
          </cell>
          <cell r="C1" t="str">
            <v>Address</v>
          </cell>
          <cell r="D1" t="str">
            <v>GPS</v>
          </cell>
          <cell r="E1" t="str">
            <v>Contact Person Name 1</v>
          </cell>
          <cell r="F1" t="str">
            <v>ContactPersonNumber1</v>
          </cell>
          <cell r="G1" t="str">
            <v>Email 1</v>
          </cell>
          <cell r="H1" t="str">
            <v>Designation / Job title</v>
          </cell>
          <cell r="I1" t="str">
            <v xml:space="preserve">2nd Name </v>
          </cell>
          <cell r="J1" t="str">
            <v>2ndNumber</v>
          </cell>
        </row>
        <row r="2">
          <cell r="A2" t="str">
            <v> Durrah Aghizat Alhaseb Company</v>
          </cell>
          <cell r="C2">
            <v>0</v>
          </cell>
          <cell r="D2">
            <v>0</v>
          </cell>
        </row>
        <row r="3">
          <cell r="A3" t="str">
            <v>3ANET - Abdulrahman A.Al-Moussa Trading Co.</v>
          </cell>
        </row>
        <row r="4">
          <cell r="A4" t="str">
            <v>42 for Information Technology</v>
          </cell>
          <cell r="C4" t="str">
            <v>Al Khalidiyyah Al Janubiyyah, Dammam 32225</v>
          </cell>
          <cell r="D4" t="str">
            <v>https://maps.app.goo.gl/S4UY3sdefoPzZeMu8</v>
          </cell>
          <cell r="E4" t="str">
            <v>Noorah ALKheliwi</v>
          </cell>
          <cell r="F4" t="str">
            <v>+966539645442</v>
          </cell>
        </row>
        <row r="5">
          <cell r="A5" t="str">
            <v>46 Technology Co.</v>
          </cell>
          <cell r="B5" t="str">
            <v>Riyadh</v>
          </cell>
          <cell r="C5" t="str">
            <v>Al Imam Saud Ibn Abdul Aziz Branch Rd, Al Mursilat, Riyadh 12463</v>
          </cell>
          <cell r="D5" t="str">
            <v>https://goo.gl/maps/xLvDEeMYWxF7zH5a8</v>
          </cell>
          <cell r="E5" t="str">
            <v>Noori Saleh</v>
          </cell>
          <cell r="F5" t="str">
            <v>+966502553219</v>
          </cell>
        </row>
        <row r="6">
          <cell r="A6" t="str">
            <v>4FRONT Solutions Ltd</v>
          </cell>
          <cell r="C6" t="str">
            <v>Olaya St, As Sahafah, Menassat Building, 2nd Floor, Office 13 6231, Riyadh 13321</v>
          </cell>
          <cell r="D6" t="str">
            <v>https://maps.app.goo.gl/89hZ2sh5cTCDPWSq9</v>
          </cell>
          <cell r="E6" t="str">
            <v xml:space="preserve">Mr. Mahmoud </v>
          </cell>
          <cell r="F6" t="str">
            <v>+966551879305</v>
          </cell>
        </row>
        <row r="7">
          <cell r="A7" t="str">
            <v>5th Generation for IT - 5G</v>
          </cell>
          <cell r="B7" t="str">
            <v>Riyadh</v>
          </cell>
          <cell r="C7" t="str">
            <v>5G Store, Al Malaz, Riyadh</v>
          </cell>
          <cell r="D7" t="str">
            <v>https://maps.app.goo.gl/Yg8f5BYo7q6ekMb76</v>
          </cell>
          <cell r="E7" t="str">
            <v xml:space="preserve">Akram Al-Hakimy </v>
          </cell>
          <cell r="F7" t="str">
            <v>+966532096264</v>
          </cell>
          <cell r="G7" t="str">
            <v>akram@5gtch.com</v>
          </cell>
          <cell r="I7" t="str">
            <v xml:space="preserve">Saeed Al farei </v>
          </cell>
          <cell r="J7" t="str">
            <v>+966555093620</v>
          </cell>
        </row>
        <row r="8">
          <cell r="A8" t="str">
            <v>AAFAQ Advanced Solutions</v>
          </cell>
        </row>
        <row r="9">
          <cell r="A9" t="str">
            <v>AAMAL AL MOUNTAHA CONTRACTING - AMCO</v>
          </cell>
          <cell r="B9" t="str">
            <v>Riyadh - Office</v>
          </cell>
          <cell r="C9" t="str">
            <v>AMCO Office, Al Malaz, Riyadh, Saudi Arabia</v>
          </cell>
          <cell r="E9" t="str">
            <v>Tamer Eid</v>
          </cell>
          <cell r="F9" t="str">
            <v>+966 58 013 0600</v>
          </cell>
          <cell r="G9" t="str">
            <v>tamer@amco-est.com</v>
          </cell>
          <cell r="I9" t="str">
            <v>Haitham</v>
          </cell>
          <cell r="J9" t="str">
            <v>+966554249960</v>
          </cell>
        </row>
        <row r="10">
          <cell r="A10" t="str">
            <v xml:space="preserve">AB Tech For IT Co. </v>
          </cell>
          <cell r="B10" t="str">
            <v>Riyadh</v>
          </cell>
          <cell r="C10" t="str">
            <v>King Saud University Campus, Building 7873, Floor 1 Riyadh</v>
          </cell>
          <cell r="D10" t="str">
            <v>-</v>
          </cell>
          <cell r="E10" t="str">
            <v>Kashif Zahoor</v>
          </cell>
          <cell r="F10" t="str">
            <v>+966593336246</v>
          </cell>
          <cell r="G10" t="str">
            <v>kashifz@alasila.com</v>
          </cell>
          <cell r="I10" t="str">
            <v>Anoof Marzooque</v>
          </cell>
          <cell r="J10" t="str">
            <v>+966541375068</v>
          </cell>
        </row>
        <row r="11">
          <cell r="A11" t="str">
            <v>ABANA Enterprises Group co.</v>
          </cell>
          <cell r="B11" t="str">
            <v>Riyadh</v>
          </cell>
          <cell r="C11" t="str">
            <v>Abana Warehouse, Tuwaiq District, Riyadh, KSA</v>
          </cell>
          <cell r="D11" t="str">
            <v>https://goo.gl/maps/9KeFHaf91wxrn34Y7</v>
          </cell>
          <cell r="E11" t="str">
            <v>Abdul Hakkim K Naha</v>
          </cell>
          <cell r="F11" t="str">
            <v>+966501558510</v>
          </cell>
          <cell r="G11" t="str">
            <v>-</v>
          </cell>
          <cell r="I11" t="str">
            <v>Afatab F. Ahmeda</v>
          </cell>
          <cell r="J11" t="str">
            <v>+966571307718</v>
          </cell>
        </row>
        <row r="12">
          <cell r="A12" t="str">
            <v>Abdulrahman A.Al- Moussa Trading Co.</v>
          </cell>
          <cell r="C12" t="str">
            <v>As Sulay, Riyadh</v>
          </cell>
          <cell r="D12" t="str">
            <v>https://maps.app.goo.gl/HJSaBAj8TuxWoJ55A</v>
          </cell>
          <cell r="E12" t="str">
            <v>Abdulaziz</v>
          </cell>
          <cell r="F12" t="str">
            <v>+966505469857</v>
          </cell>
        </row>
        <row r="13">
          <cell r="A13" t="str">
            <v>Abdulrahman Ahmed Abdulrahman Al Harithy Est. - Nits Arabia</v>
          </cell>
          <cell r="B13" t="str">
            <v>Jeddah</v>
          </cell>
          <cell r="C13" t="str">
            <v>Al Safa Dist, Near Jarir Book Store, Jeddah</v>
          </cell>
          <cell r="D13" t="str">
            <v>https://maps.app.goo.gl/RTPPxuTMd8joHAwp8</v>
          </cell>
          <cell r="E13" t="str">
            <v>Mohamed Shabeer Ali</v>
          </cell>
          <cell r="F13" t="str">
            <v>+966506609481</v>
          </cell>
          <cell r="G13" t="str">
            <v>shabeerc@nitsarabia.com</v>
          </cell>
          <cell r="I13" t="str">
            <v>Zaid Alavi MK</v>
          </cell>
          <cell r="J13" t="str">
            <v>+966572097483</v>
          </cell>
        </row>
        <row r="14">
          <cell r="A14" t="str">
            <v>Abdulrahman Al shareef. EST</v>
          </cell>
        </row>
        <row r="15">
          <cell r="A15" t="str">
            <v>Ace solutions</v>
          </cell>
        </row>
        <row r="16">
          <cell r="A16" t="str">
            <v>Acesolutions</v>
          </cell>
          <cell r="C16">
            <v>0</v>
          </cell>
          <cell r="D16">
            <v>0</v>
          </cell>
          <cell r="E16">
            <v>0</v>
          </cell>
          <cell r="F16" t="str">
            <v>+966558883468</v>
          </cell>
        </row>
        <row r="17">
          <cell r="A17" t="str">
            <v>ADB SAFEGATE SAUDI LIMITED</v>
          </cell>
          <cell r="C17" t="str">
            <v>WPM9+CVF, King Khalid International Airport, Riyadh 13455</v>
          </cell>
          <cell r="D17" t="str">
            <v>https://maps.app.goo.gl/x1bTXSCNGgx5SM1U7</v>
          </cell>
          <cell r="E17" t="str">
            <v>Danish</v>
          </cell>
          <cell r="F17" t="str">
            <v>+966598027913</v>
          </cell>
        </row>
        <row r="18">
          <cell r="A18" t="str">
            <v>Adowa Alshamel Cumputer limited Co.</v>
          </cell>
          <cell r="B18" t="str">
            <v>Riyadh - WH</v>
          </cell>
          <cell r="C18" t="str">
            <v>As Sulay, Riyadh</v>
          </cell>
          <cell r="D18" t="str">
            <v>https://maps.app.goo.gl/1sM7RXhs2Yn6ngJU7</v>
          </cell>
          <cell r="E18" t="str">
            <v>Salah Fawzi</v>
          </cell>
          <cell r="F18" t="str">
            <v>+966580948947</v>
          </cell>
          <cell r="G18" t="str">
            <v>stoer@adowaalshamel.com.sa</v>
          </cell>
          <cell r="I18" t="str">
            <v>Abdalrazaq Al Sohly</v>
          </cell>
          <cell r="J18" t="str">
            <v>+966580950117</v>
          </cell>
        </row>
        <row r="19">
          <cell r="A19" t="str">
            <v>ADVANCED  CONTROL  SYSTEMS</v>
          </cell>
          <cell r="C19">
            <v>0</v>
          </cell>
          <cell r="D19">
            <v>0</v>
          </cell>
          <cell r="E19">
            <v>0</v>
          </cell>
          <cell r="F19" t="str">
            <v>+966558883468</v>
          </cell>
        </row>
        <row r="20">
          <cell r="A20" t="str">
            <v>Advanced Calibration Laboratory</v>
          </cell>
          <cell r="C20">
            <v>0</v>
          </cell>
          <cell r="D20">
            <v>0</v>
          </cell>
          <cell r="E20" t="str">
            <v>Abbas Khan</v>
          </cell>
          <cell r="F20" t="str">
            <v>+966577420383</v>
          </cell>
        </row>
        <row r="21">
          <cell r="A21" t="str">
            <v>Advanced Communications &amp; Electroni</v>
          </cell>
          <cell r="C21" t="str">
            <v> MRFX+855, As Sulay, Riyadh 14266</v>
          </cell>
          <cell r="D21" t="str">
            <v>https://maps.app.goo.gl/D9SEKrmzcn7jXqp46</v>
          </cell>
          <cell r="E21" t="str">
            <v>Mohammad Mutalib</v>
          </cell>
          <cell r="F21" t="str">
            <v>+966538017223</v>
          </cell>
        </row>
        <row r="22">
          <cell r="A22" t="str">
            <v>Advanced Communications &amp; Electronics System - ACES</v>
          </cell>
          <cell r="B22" t="str">
            <v>Riyadh</v>
          </cell>
          <cell r="C22" t="str">
            <v>ACES warehouse, As Sulay, Riyadh</v>
          </cell>
          <cell r="D22" t="str">
            <v>https://goo.gl/maps/5AeSwL41Lxin8MEd6</v>
          </cell>
          <cell r="E22" t="str">
            <v>Zubbed Mohiuddin</v>
          </cell>
          <cell r="F22" t="str">
            <v>+966501360708</v>
          </cell>
          <cell r="G22" t="str">
            <v>zmohiuddin@aces-co.com</v>
          </cell>
        </row>
        <row r="23">
          <cell r="A23" t="str">
            <v>ADVANCED CONTROL SYSTEMS</v>
          </cell>
        </row>
        <row r="24">
          <cell r="A24" t="str">
            <v>Advanced Data Systems Co.</v>
          </cell>
        </row>
        <row r="25">
          <cell r="A25" t="str">
            <v>Advanced IT Consultant - AIC</v>
          </cell>
          <cell r="B25" t="str">
            <v>Riyadh</v>
          </cell>
          <cell r="C25" t="str">
            <v>AIC warehouse, Yathrib street Sulay, Riyadh, KSA</v>
          </cell>
          <cell r="D25" t="str">
            <v>https://goo.gl/maps/RWMCJEMaiTf2WiSZA</v>
          </cell>
          <cell r="E25" t="str">
            <v>Taher Pervaiz</v>
          </cell>
          <cell r="F25" t="str">
            <v>+966 59 881 4478</v>
          </cell>
          <cell r="I25" t="str">
            <v>Assaf moh. Alkhuzam</v>
          </cell>
          <cell r="J25" t="str">
            <v>+966502558879</v>
          </cell>
        </row>
        <row r="26">
          <cell r="A26" t="str">
            <v>Advanced Memory Trading Est .</v>
          </cell>
          <cell r="E26" t="str">
            <v xml:space="preserve">Saleh Mohamed </v>
          </cell>
          <cell r="F26" t="str">
            <v>+966564642379</v>
          </cell>
        </row>
        <row r="27">
          <cell r="A27" t="str">
            <v>Advanced Micro Technologies Co. - AMT</v>
          </cell>
          <cell r="B27" t="str">
            <v>Khobar</v>
          </cell>
          <cell r="C27" t="str">
            <v>Al-Aziziya Area, Behind Nissan AlHamrani Service Center, Al-Khobar, Saudi Arabia</v>
          </cell>
          <cell r="D27" t="str">
            <v>https://goo.gl/maps/L8i5kUkqL6yfxxfX8</v>
          </cell>
          <cell r="E27" t="str">
            <v xml:space="preserve">Shahid khan </v>
          </cell>
          <cell r="F27" t="str">
            <v>+966591841841</v>
          </cell>
          <cell r="G27" t="str">
            <v xml:space="preserve">s.khan@amt-arabia.com </v>
          </cell>
        </row>
        <row r="28">
          <cell r="A28" t="str">
            <v>Advanced Performance Trading Company - APT</v>
          </cell>
          <cell r="B28" t="str">
            <v>Riyadh</v>
          </cell>
          <cell r="C28" t="str">
            <v>Riyadh, KSA</v>
          </cell>
          <cell r="E28" t="str">
            <v>Moawia Babiker</v>
          </cell>
          <cell r="F28" t="str">
            <v>0507869200/0567127381</v>
          </cell>
          <cell r="G28" t="str">
            <v>moawia@advanceperformance.net</v>
          </cell>
          <cell r="I28" t="str">
            <v>Musaab Babiker</v>
          </cell>
          <cell r="J28" t="str">
            <v>+966551734298</v>
          </cell>
        </row>
        <row r="29">
          <cell r="A29" t="str">
            <v>Advanced power Technology Contracti</v>
          </cell>
          <cell r="C29" t="str">
            <v>RDAA9368, 9368 King Khalid Br Rd, 5010، حي العاصمة، Diriyah 13714</v>
          </cell>
          <cell r="D29" t="str">
            <v>https://maps.app.goo.gl/C9ZVV4Ae8SULgs9q9</v>
          </cell>
          <cell r="E29" t="str">
            <v>Mohamed Mustafa   </v>
          </cell>
          <cell r="F29" t="str">
            <v>+966541723261</v>
          </cell>
        </row>
        <row r="30">
          <cell r="A30" t="str">
            <v>Advanced power Technology Contracting-APT</v>
          </cell>
          <cell r="B30" t="str">
            <v>Riyadh</v>
          </cell>
          <cell r="C30" t="str">
            <v>QH89+QQC Diriyah</v>
          </cell>
          <cell r="D30" t="str">
            <v>https://maps.app.goo.gl/vQXuomrLJJvrYVdF7</v>
          </cell>
          <cell r="E30" t="str">
            <v>Mohamed Mustafa   </v>
          </cell>
          <cell r="F30" t="str">
            <v>+966541723261</v>
          </cell>
          <cell r="I30" t="str">
            <v>Ahmed Abd Elslam</v>
          </cell>
          <cell r="J30" t="str">
            <v>+966511460391</v>
          </cell>
        </row>
        <row r="31">
          <cell r="A31" t="str">
            <v>Advanced semicondutor chips compan</v>
          </cell>
          <cell r="C31" t="str">
            <v>Al Faisaliyyah, Jeddah</v>
          </cell>
          <cell r="D31" t="str">
            <v>https://maps.app.goo.gl/pVHxm4vmydvu3qtn6</v>
          </cell>
          <cell r="E31" t="str">
            <v>Abdullah Alharbi</v>
          </cell>
          <cell r="F31" t="str">
            <v>+966530451500</v>
          </cell>
        </row>
        <row r="32">
          <cell r="A32" t="str">
            <v>Advanced systems joint company</v>
          </cell>
          <cell r="C32" t="str">
            <v>Jeddah 22429</v>
          </cell>
          <cell r="D32" t="str">
            <v>https://maps.app.goo.gl/J6cGDktcx4beT1ym7</v>
          </cell>
          <cell r="E32" t="str">
            <v>JOMEL</v>
          </cell>
          <cell r="F32" t="str">
            <v>+966580915805</v>
          </cell>
        </row>
        <row r="33">
          <cell r="A33" t="str">
            <v>ADVANCED TECHNOLOGY SOLUTIONS CO</v>
          </cell>
          <cell r="C33">
            <v>0</v>
          </cell>
          <cell r="D33">
            <v>0</v>
          </cell>
          <cell r="E33" t="str">
            <v>~ATSCO</v>
          </cell>
          <cell r="F33" t="str">
            <v>+966569545806</v>
          </cell>
          <cell r="I33" t="str">
            <v>Ishsan Yousef</v>
          </cell>
          <cell r="J33" t="str">
            <v>+966569545806</v>
          </cell>
        </row>
        <row r="34">
          <cell r="A34" t="str">
            <v>Advanced water systems co.</v>
          </cell>
          <cell r="C34" t="str">
            <v>Jeddah </v>
          </cell>
          <cell r="D34">
            <v>0</v>
          </cell>
          <cell r="E34" t="str">
            <v xml:space="preserve">Amin Abu Ahmed  </v>
          </cell>
          <cell r="F34" t="str">
            <v>+966569074742</v>
          </cell>
        </row>
        <row r="35">
          <cell r="A35" t="str">
            <v>Aesthetix  Technology FZCo.</v>
          </cell>
        </row>
        <row r="36">
          <cell r="A36" t="str">
            <v>Aflak Solutions for Communications &amp; IT</v>
          </cell>
          <cell r="B36" t="str">
            <v>Riyadh</v>
          </cell>
          <cell r="C36" t="str">
            <v>Said Ibn Zayd Road, District Qurtabah, Qurtabah Plaza, Riyadh</v>
          </cell>
          <cell r="D36" t="str">
            <v xml:space="preserve">https://goo.gl/maps/DngTbH1aFSzJC5pQ6 </v>
          </cell>
          <cell r="E36" t="str">
            <v>Ayaz Khan</v>
          </cell>
          <cell r="F36" t="str">
            <v>+966592242120</v>
          </cell>
          <cell r="G36" t="str">
            <v>makhan@aflaksolutions.com</v>
          </cell>
        </row>
        <row r="37">
          <cell r="A37" t="str">
            <v>AHMAD ABED ALNMARI EST</v>
          </cell>
        </row>
        <row r="38">
          <cell r="A38" t="str">
            <v>AHMED AL AMERI TRADING</v>
          </cell>
          <cell r="C38" t="str">
            <v>GAPP Swap Center</v>
          </cell>
          <cell r="D38">
            <v>0</v>
          </cell>
          <cell r="E38">
            <v>0</v>
          </cell>
          <cell r="F38" t="str">
            <v>+966558883468</v>
          </cell>
        </row>
        <row r="39">
          <cell r="A39" t="str">
            <v>AI Mayssan Technical Services Co</v>
          </cell>
          <cell r="B39" t="str">
            <v>Riyadh - office</v>
          </cell>
          <cell r="C39" t="str">
            <v>AlHayat Building A- First Floor, Al Muruj district, Riyadh</v>
          </cell>
          <cell r="E39" t="str">
            <v>Fahad Kazmi</v>
          </cell>
          <cell r="F39" t="str">
            <v>+966507786532</v>
          </cell>
          <cell r="G39" t="str">
            <v>f.kazmi@almayssan.com</v>
          </cell>
        </row>
        <row r="40">
          <cell r="A40" t="str">
            <v>Al ATKAAL COMPANY LTD.</v>
          </cell>
          <cell r="B40" t="str">
            <v>Dammam</v>
          </cell>
          <cell r="C40" t="str">
            <v>Al ATKAAL warehouse, 1st industrial City, Al Khalidiyah Ash Shamaliyah, Dammam</v>
          </cell>
          <cell r="D40" t="str">
            <v>https://maps.app.goo.gl/oB2ZdeZF3ifdyXwZA</v>
          </cell>
          <cell r="E40" t="str">
            <v>Sagheer Ahmed</v>
          </cell>
          <cell r="F40" t="str">
            <v>+966505566719</v>
          </cell>
          <cell r="I40" t="str">
            <v>Unni Sabu</v>
          </cell>
          <cell r="J40" t="str">
            <v>+966555601595</v>
          </cell>
        </row>
        <row r="41">
          <cell r="A41" t="str">
            <v>AL BAHLAQ TRADING COMPANY</v>
          </cell>
          <cell r="C41" t="str">
            <v>Prince Turkey Street, Corniche District,1st Floor, Fahad Center, Office 105 &amp; 106 Next to Rawabi Holding Tower</v>
          </cell>
          <cell r="D41">
            <v>0</v>
          </cell>
          <cell r="E41" t="str">
            <v>Salman Ahmed</v>
          </cell>
          <cell r="F41" t="str">
            <v>+966509353281</v>
          </cell>
        </row>
        <row r="42">
          <cell r="A42" t="str">
            <v>AL ESHRAQAT GOLD EST</v>
          </cell>
          <cell r="C42" t="str">
            <v>Jeddah – Hira street with Al Malik road</v>
          </cell>
          <cell r="D42" t="str">
            <v>https://maps.app.goo.gl/4ufaGofb6p6dArph7?g_st=aw</v>
          </cell>
          <cell r="E42" t="str">
            <v>Muhammad Qazi</v>
          </cell>
          <cell r="F42" t="str">
            <v>+966574800106</v>
          </cell>
        </row>
        <row r="43">
          <cell r="A43" t="str">
            <v>Al FANAR Electrical Systems</v>
          </cell>
          <cell r="B43" t="str">
            <v>Riyadh</v>
          </cell>
          <cell r="C43" t="str">
            <v>Alfanar Electrical System, SG Store, Alkharj Road, Riyadh K.S.A.</v>
          </cell>
          <cell r="D43" t="str">
            <v>https://maps.app.goo.gl/Qm4UHrs2vpX3TCBg8</v>
          </cell>
          <cell r="E43" t="str">
            <v xml:space="preserve">Faiz Husain Khan </v>
          </cell>
          <cell r="F43" t="str">
            <v>(+966)536037868//(+966)573041725</v>
          </cell>
        </row>
        <row r="44">
          <cell r="A44" t="str">
            <v>Al Jabr General Contracting</v>
          </cell>
        </row>
        <row r="45">
          <cell r="A45" t="str">
            <v>AL Matbouli sound &amp; communications</v>
          </cell>
          <cell r="B45" t="str">
            <v>Riyadh</v>
          </cell>
          <cell r="C45" t="str">
            <v>Ad Dar Al Baida, Riyadh, KSA</v>
          </cell>
          <cell r="D45" t="str">
            <v>https://goo.gl/maps/L3Lxfa4dyP7Tp3E6A</v>
          </cell>
          <cell r="E45" t="str">
            <v>Mohammad Metwalli</v>
          </cell>
          <cell r="F45" t="str">
            <v>+966591036086</v>
          </cell>
          <cell r="I45" t="str">
            <v>Jawad Al-Habashi</v>
          </cell>
          <cell r="J45" t="str">
            <v>+966545098203</v>
          </cell>
        </row>
        <row r="46">
          <cell r="A46" t="str">
            <v>AL Matbouli sound &amp; communications</v>
          </cell>
          <cell r="B46" t="str">
            <v>Jeddah</v>
          </cell>
          <cell r="C46" t="str">
            <v>Alkhumra, Jeddah, KSA</v>
          </cell>
          <cell r="D46" t="str">
            <v>-</v>
          </cell>
          <cell r="E46" t="str">
            <v>Ali Jamali</v>
          </cell>
          <cell r="F46" t="str">
            <v>+966564177534</v>
          </cell>
        </row>
        <row r="47">
          <cell r="A47" t="str">
            <v>AL Matbouli sound &amp;communications</v>
          </cell>
          <cell r="C47" t="str">
            <v xml:space="preserve">Khomrah dist- Jeddah </v>
          </cell>
          <cell r="D47">
            <v>0</v>
          </cell>
          <cell r="E47" t="str">
            <v>Ali Jamali</v>
          </cell>
          <cell r="F47" t="str">
            <v>+966564177534</v>
          </cell>
        </row>
        <row r="48">
          <cell r="A48" t="str">
            <v>AL MESPAR CONTRACTING GROUP</v>
          </cell>
        </row>
        <row r="49">
          <cell r="A49" t="str">
            <v>AL Moammar Information systems</v>
          </cell>
          <cell r="C49" t="str">
            <v>JV39+7G4 Al Mashael, Riyadh</v>
          </cell>
          <cell r="D49" t="str">
            <v>https://maps.app.goo.gl/pWT38ZUAZt7dH17t8</v>
          </cell>
          <cell r="E49" t="str">
            <v>~Lokesh.V</v>
          </cell>
          <cell r="F49" t="str">
            <v>+966563119916</v>
          </cell>
          <cell r="I49" t="str">
            <v>~Proconnect Logistics</v>
          </cell>
          <cell r="J49" t="str">
            <v>+966546180833</v>
          </cell>
        </row>
        <row r="50">
          <cell r="A50" t="str">
            <v>Al Moammar information systems - MIS</v>
          </cell>
          <cell r="B50" t="str">
            <v>Riyadh - WH</v>
          </cell>
          <cell r="C50" t="str">
            <v xml:space="preserve">PROCONNECT SAUDI LLC Warehouse, Istanbul Street, Riyadh, </v>
          </cell>
          <cell r="D50" t="str">
            <v>https://goo.gl/maps/uoq5L3Zh1KeT6VibA</v>
          </cell>
          <cell r="E50" t="str">
            <v>Prasanth Teddy</v>
          </cell>
          <cell r="F50" t="str">
            <v>+966 57 269 3580</v>
          </cell>
          <cell r="I50" t="str">
            <v>Lokesh</v>
          </cell>
          <cell r="J50" t="str">
            <v>+966563119916</v>
          </cell>
        </row>
        <row r="51">
          <cell r="A51" t="str">
            <v>Al Moammar information systems - MIS</v>
          </cell>
          <cell r="B51" t="str">
            <v>Riyadh - Office</v>
          </cell>
          <cell r="C51" t="str">
            <v>MIS Office, Al Thoumamah Rd, Al Sahafa district، Riyadh</v>
          </cell>
          <cell r="D51" t="str">
            <v>https://maps.app.goo.gl/P6pCr5S2em6oy1LW6</v>
          </cell>
          <cell r="E51" t="str">
            <v>Tarek Youness </v>
          </cell>
          <cell r="F51" t="str">
            <v>+966563748015</v>
          </cell>
          <cell r="G51" t="str">
            <v>tarek.youness@mis.com.sa</v>
          </cell>
        </row>
        <row r="52">
          <cell r="A52" t="str">
            <v>Al Netaq Al Awhad</v>
          </cell>
        </row>
        <row r="53">
          <cell r="A53" t="str">
            <v>Al Netaq Al Mowahd For IT Co - Tech Zone</v>
          </cell>
          <cell r="B53" t="str">
            <v>Riyadh</v>
          </cell>
        </row>
        <row r="54">
          <cell r="A54" t="str">
            <v>Al Rabwat Al Mutatawarah Trading Co</v>
          </cell>
          <cell r="C54" t="str">
            <v>JVGJ+R4C Al Mashael, Riyadh</v>
          </cell>
          <cell r="D54" t="str">
            <v>https://maps.app.goo.gl/m4R14qyj9ptxGkn36</v>
          </cell>
          <cell r="E54" t="str">
            <v xml:space="preserve">Yasser Abdulhadi </v>
          </cell>
          <cell r="F54" t="str">
            <v>+966542152530</v>
          </cell>
        </row>
        <row r="55">
          <cell r="A55" t="str">
            <v>Al Ramsat Contracting Company</v>
          </cell>
          <cell r="C55" t="str">
            <v>ABHA</v>
          </cell>
          <cell r="D55" t="str">
            <v>https://maps.app.goo.gl/fTTeFDsfLSn5DixU9</v>
          </cell>
          <cell r="E55" t="str">
            <v>Engr. Ali</v>
          </cell>
          <cell r="F55" t="str">
            <v>+966597891319</v>
          </cell>
        </row>
        <row r="56">
          <cell r="A56" t="str">
            <v>AL RANA TOWERS FOR TELECOM &amp; IT (YOTTA)</v>
          </cell>
          <cell r="B56" t="str">
            <v>Riyadh</v>
          </cell>
        </row>
        <row r="57">
          <cell r="A57" t="str">
            <v>Al Sada - Echo Serve</v>
          </cell>
        </row>
        <row r="58">
          <cell r="A58" t="str">
            <v>Al Wefaq Al Arabia For Trading and IT LLC</v>
          </cell>
          <cell r="B58" t="str">
            <v>Riyadh</v>
          </cell>
          <cell r="C58" t="str">
            <v>5th Floor, 6947, Al Wefaq Tower Al Yasmin, Olaya Street, Riyadh</v>
          </cell>
          <cell r="D58" t="str">
            <v xml:space="preserve">https://goo.gl/maps/tTXaL3rAs5g91GCD8 </v>
          </cell>
          <cell r="E58" t="str">
            <v>Ghazi Al Tamimi</v>
          </cell>
          <cell r="F58" t="str">
            <v>+966544984567</v>
          </cell>
        </row>
        <row r="59">
          <cell r="A59" t="str">
            <v>Alanesoon Trading Company</v>
          </cell>
          <cell r="B59" t="str">
            <v>Riyadh</v>
          </cell>
          <cell r="E59" t="str">
            <v>Zawar Ali</v>
          </cell>
          <cell r="F59" t="str">
            <v>+966583680583</v>
          </cell>
          <cell r="G59" t="str">
            <v>zawar.ali@alanesoon.com</v>
          </cell>
          <cell r="H59" t="str">
            <v>Procurement dept.</v>
          </cell>
          <cell r="I59" t="str">
            <v>Farrukh Humayun</v>
          </cell>
          <cell r="J59" t="str">
            <v>+966506493548</v>
          </cell>
        </row>
        <row r="60">
          <cell r="A60" t="str">
            <v>AlAyuni Investment And Contracting Company</v>
          </cell>
          <cell r="B60" t="str">
            <v>Jubail - Site Office</v>
          </cell>
          <cell r="C60" t="str">
            <v>Alayuni Jubail Site office, Mutrafiyah, Al Jubail 35822</v>
          </cell>
          <cell r="D60" t="str">
            <v>https://goo.gl/maps/eLgwHEvSAcjjtoF69</v>
          </cell>
          <cell r="E60" t="str">
            <v>Vipin</v>
          </cell>
          <cell r="F60" t="str">
            <v>+966 55 492 8784</v>
          </cell>
          <cell r="G60" t="str">
            <v>K.Vipin@alayuni.com</v>
          </cell>
          <cell r="I60" t="str">
            <v>Azizur Rehman</v>
          </cell>
          <cell r="J60" t="str">
            <v>+966504192095</v>
          </cell>
        </row>
        <row r="61">
          <cell r="A61" t="str">
            <v>Al-Eatesam Modern Marketing Co., Ltd - Secutronic</v>
          </cell>
          <cell r="B61" t="str">
            <v>Riyadh</v>
          </cell>
        </row>
        <row r="62">
          <cell r="A62" t="str">
            <v>Alec KSA &amp; El Seif JV (ESSA)</v>
          </cell>
          <cell r="C62" t="str">
            <v xml:space="preserve">Al Moqbel Palaces, Water theme park </v>
          </cell>
          <cell r="D62" t="str">
            <v>https://maps.app.goo.gl/6mCZUovNZKVgF2X1A</v>
          </cell>
          <cell r="E62" t="str">
            <v xml:space="preserve">Eng. Mahmoud </v>
          </cell>
          <cell r="F62" t="str">
            <v> 054-166-8971</v>
          </cell>
          <cell r="I62" t="str">
            <v>Shabeer Av</v>
          </cell>
          <cell r="J62" t="str">
            <v>+966599694422</v>
          </cell>
        </row>
        <row r="63">
          <cell r="A63" t="str">
            <v>Al-FAHD Contracting</v>
          </cell>
          <cell r="C63" t="str">
            <v>4XMP+RF8 Unaizah</v>
          </cell>
          <cell r="D63" t="str">
            <v>https://maps.app.goo.gl/Rba1Xb33ipUxteSy7</v>
          </cell>
          <cell r="E63" t="str">
            <v>Mohamed Adel</v>
          </cell>
          <cell r="F63" t="str">
            <v>+966534769992</v>
          </cell>
        </row>
        <row r="64">
          <cell r="A64" t="str">
            <v>AL-FAHDcontracting</v>
          </cell>
          <cell r="C64" t="str">
            <v xml:space="preserve"> Unaizah</v>
          </cell>
          <cell r="D64" t="str">
            <v>https://maps.app.goo.gl/N7oNimdj4XxLusLv5</v>
          </cell>
          <cell r="E64" t="str">
            <v>Mohammed Adel</v>
          </cell>
          <cell r="F64" t="str">
            <v>+966534769992</v>
          </cell>
        </row>
        <row r="65">
          <cell r="A65" t="str">
            <v>Al-Falak Electronic Equipment &amp; Supplies Co.</v>
          </cell>
        </row>
        <row r="66">
          <cell r="A66" t="str">
            <v>Alfaneyah Electromechanical Company Ltd.</v>
          </cell>
        </row>
        <row r="67">
          <cell r="A67" t="str">
            <v>AL-FARES ADVANCED CONTRACTING Co.</v>
          </cell>
        </row>
        <row r="68">
          <cell r="A68" t="str">
            <v>Ali Alherbish establishments</v>
          </cell>
        </row>
        <row r="69">
          <cell r="A69" t="str">
            <v>Ali Zaid Al-Quraishi &amp; Partners Electrical Services of S.A (AQESA)</v>
          </cell>
          <cell r="B69" t="str">
            <v>Dammam</v>
          </cell>
          <cell r="C69" t="str">
            <v>MEENA WAREHOUSE # 4, KING ABDULAZEES SEA PORT AREA, DAMMAM</v>
          </cell>
          <cell r="E69" t="str">
            <v>Moheuddin Akbar</v>
          </cell>
          <cell r="F69" t="str">
            <v>+966555737902</v>
          </cell>
          <cell r="G69" t="str">
            <v>m.akbar@aqesa.com</v>
          </cell>
        </row>
        <row r="70">
          <cell r="A70" t="str">
            <v>ALIBTIKAR WALHULUL ALMUMTAZAH</v>
          </cell>
          <cell r="C70">
            <v>0</v>
          </cell>
          <cell r="D70">
            <v>0</v>
          </cell>
          <cell r="E70" t="str">
            <v>Momen Ramzy</v>
          </cell>
          <cell r="F70" t="str">
            <v>+966563399970</v>
          </cell>
        </row>
        <row r="71">
          <cell r="A71" t="str">
            <v>Al-Khalijiah for Consulting &amp; IT Co.</v>
          </cell>
        </row>
        <row r="72">
          <cell r="A72" t="str">
            <v>Alkhiyoll Althalathah Security &amp; Safety Contracting Co.</v>
          </cell>
          <cell r="B72" t="str">
            <v>Riyadh</v>
          </cell>
          <cell r="C72" t="str">
            <v>Ali Abdulsalam Al Raiyes St, Al Qirawan, Riyadh</v>
          </cell>
          <cell r="D72" t="str">
            <v>https://goo.gl/maps/NtEhWAP2aHgwR1oq6</v>
          </cell>
          <cell r="E72" t="str">
            <v>Eric Lei Baraoidans</v>
          </cell>
          <cell r="F72" t="str">
            <v>+966558810342</v>
          </cell>
          <cell r="G72" t="str">
            <v>branch.support@khiyoll.com</v>
          </cell>
        </row>
        <row r="73">
          <cell r="A73" t="str">
            <v>Allied Solutions for IT &amp; Security</v>
          </cell>
          <cell r="B73" t="str">
            <v>Riyadh</v>
          </cell>
          <cell r="C73" t="str">
            <v>Istanbul street, Near Al-fozan mosque , Warehouse no 129, Al Mashael, Riyadh</v>
          </cell>
          <cell r="D73" t="str">
            <v>https://maps.app.goo.gl/YSAe3arRr3rGYz9dA</v>
          </cell>
          <cell r="E73" t="str">
            <v xml:space="preserve">Abdul Hadi Ahmad </v>
          </cell>
          <cell r="F73" t="str">
            <v>0501404856/O593682453</v>
          </cell>
          <cell r="G73" t="str">
            <v>a.ahmed@zkteco-sa.com</v>
          </cell>
          <cell r="H73" t="str">
            <v>Warehouse Manager</v>
          </cell>
          <cell r="I73" t="str">
            <v xml:space="preserve">Mohammad Jamaluddin </v>
          </cell>
          <cell r="J73" t="str">
            <v>+966580013643</v>
          </cell>
        </row>
        <row r="74">
          <cell r="A74" t="str">
            <v>Allied Solutions for IT &amp; Security</v>
          </cell>
          <cell r="B74" t="str">
            <v>Jeddah</v>
          </cell>
          <cell r="C74" t="str">
            <v>: Jeddah</v>
          </cell>
          <cell r="D74">
            <v>0</v>
          </cell>
          <cell r="E74" t="str">
            <v>Muhammad Surur</v>
          </cell>
          <cell r="F74" t="str">
            <v>+966583402800</v>
          </cell>
        </row>
        <row r="75">
          <cell r="A75" t="str">
            <v>ALMA Technologies Co. W.L.L.</v>
          </cell>
          <cell r="B75" t="str">
            <v>Khobar</v>
          </cell>
          <cell r="C75" t="str">
            <v>Al-Aziziya Area, Behind Nissan AlHamrani Service Center, Al-Khobar, Saudi Arabia</v>
          </cell>
          <cell r="D75" t="str">
            <v>https://goo.gl/maps/L8i5kUkqL6yfxxfX8</v>
          </cell>
          <cell r="E75" t="str">
            <v xml:space="preserve">Shahid khan </v>
          </cell>
          <cell r="F75" t="str">
            <v>+966591841841</v>
          </cell>
          <cell r="G75" t="str">
            <v xml:space="preserve">s.khan@amt-arabia.com </v>
          </cell>
          <cell r="I75" t="str">
            <v>Muhammad Usman</v>
          </cell>
          <cell r="J75" t="str">
            <v>97335416334</v>
          </cell>
        </row>
        <row r="76">
          <cell r="A76" t="str">
            <v xml:space="preserve">ALMada Smart for Communication </v>
          </cell>
          <cell r="B76" t="str">
            <v>Jeddah</v>
          </cell>
          <cell r="C76" t="str">
            <v>Dar Al Hijaz 2 building, 5th Floor, Office 30, Al Faisaliyyah, Jeddah</v>
          </cell>
          <cell r="E76" t="str">
            <v>Majed Masarani</v>
          </cell>
          <cell r="F76" t="str">
            <v>+966507638977</v>
          </cell>
          <cell r="G76" t="str">
            <v>majed@almada.net.sa</v>
          </cell>
          <cell r="H76" t="str">
            <v>Purchasing Officer</v>
          </cell>
          <cell r="I76" t="str">
            <v>Alaa Osama</v>
          </cell>
          <cell r="J76" t="str">
            <v>+966533967733</v>
          </cell>
        </row>
        <row r="77">
          <cell r="A77" t="str">
            <v>AL-MASS AL- DHAHABI For Information</v>
          </cell>
          <cell r="B77" t="str">
            <v>Jeddah</v>
          </cell>
        </row>
        <row r="78">
          <cell r="A78" t="str">
            <v>AL-MASS AL- DHAHABI ForInformation</v>
          </cell>
          <cell r="C78" t="str">
            <v>Khalid Bin Al Waleed street, Al sharafiyyah,</v>
          </cell>
          <cell r="D78" t="str">
            <v xml:space="preserve"> Jeddah</v>
          </cell>
          <cell r="E78" t="str">
            <v>Nazeer</v>
          </cell>
          <cell r="F78" t="str">
            <v>+9665566471620</v>
          </cell>
        </row>
        <row r="79">
          <cell r="A79" t="str">
            <v>AL-Moja AL-Wasia Trading Co.</v>
          </cell>
          <cell r="B79" t="str">
            <v>Riyadh - Office</v>
          </cell>
          <cell r="C79" t="str">
            <v>Al Moja Al Wasia Co. Ltd. 3rd Floor, Office No. 29, Sulimaniah, Riyadh</v>
          </cell>
          <cell r="D79" t="str">
            <v>https://goo.gl/maps/uxXvNstmka9qtPVh7</v>
          </cell>
          <cell r="E79" t="str">
            <v>Zeeshan Sarwar</v>
          </cell>
          <cell r="F79" t="str">
            <v>+966593536207</v>
          </cell>
        </row>
        <row r="80">
          <cell r="A80" t="str">
            <v>AL-Moja AL-Wasia Trading Co.</v>
          </cell>
          <cell r="B80" t="str">
            <v>Riyadh - Warehouse</v>
          </cell>
          <cell r="C80" t="str">
            <v>Ash Shifa, Al Marwah, Riyadh, Saudi Arabia</v>
          </cell>
          <cell r="D80" t="str">
            <v>https://goo.gl/maps/QJgzvSgY5TFmdq8u6</v>
          </cell>
          <cell r="E80" t="str">
            <v>Zeeshan Sarwar</v>
          </cell>
          <cell r="F80" t="str">
            <v>+966593536207</v>
          </cell>
        </row>
        <row r="81">
          <cell r="A81" t="str">
            <v>ALMousa for Technology and Security - MTS</v>
          </cell>
          <cell r="B81" t="str">
            <v>Riyadh - Warehouse</v>
          </cell>
          <cell r="C81" t="str">
            <v>MTS Warehouse, Ad Dirah, Riyadh</v>
          </cell>
          <cell r="D81" t="str">
            <v>https://maps.app.goo.gl/sSQEYomwnHtSrLWi9</v>
          </cell>
          <cell r="E81" t="str">
            <v xml:space="preserve">Mureed  </v>
          </cell>
          <cell r="F81" t="str">
            <v>+966557813104</v>
          </cell>
          <cell r="H81" t="str">
            <v>Warehouse Guy</v>
          </cell>
          <cell r="I81" t="str">
            <v xml:space="preserve">Obada Sinjab                                                             </v>
          </cell>
          <cell r="J81" t="str">
            <v>+966530443670</v>
          </cell>
        </row>
        <row r="82">
          <cell r="A82" t="str">
            <v>AL-MUTLAQ UNITED COMPANY</v>
          </cell>
        </row>
        <row r="83">
          <cell r="A83" t="str">
            <v>ALOFOQ ALMUTMAYZA TRD - Outstanding Horizon Trading Company Limited Liability Co.</v>
          </cell>
        </row>
        <row r="84">
          <cell r="A84" t="str">
            <v>Al-Othman Holding Company</v>
          </cell>
          <cell r="B84" t="str">
            <v>Khobar</v>
          </cell>
        </row>
        <row r="85">
          <cell r="A85" t="str">
            <v>Alpha Limit Trading &amp; Contracting Company</v>
          </cell>
          <cell r="B85" t="str">
            <v>Riyadh</v>
          </cell>
          <cell r="E85" t="str">
            <v>Yazan Samahan</v>
          </cell>
          <cell r="F85" t="str">
            <v>+966501973331</v>
          </cell>
          <cell r="H85" t="str">
            <v>Sales</v>
          </cell>
          <cell r="I85" t="str">
            <v>Mohamed Eissa</v>
          </cell>
          <cell r="J85" t="str">
            <v>+966560812494</v>
          </cell>
        </row>
        <row r="86">
          <cell r="A86" t="str">
            <v>ALPHA LIMITTrading &amp; Contracting L</v>
          </cell>
          <cell r="C86">
            <v>0</v>
          </cell>
          <cell r="D86">
            <v>0</v>
          </cell>
          <cell r="E86" t="str">
            <v>Yazan Samahan</v>
          </cell>
          <cell r="F86" t="str">
            <v>+966501973331</v>
          </cell>
        </row>
        <row r="87">
          <cell r="A87" t="str">
            <v>AlRagheedah international trading c</v>
          </cell>
          <cell r="C87" t="str">
            <v>Building# 8808 Industrial Area, 35714 Jubail</v>
          </cell>
          <cell r="D87">
            <v>0</v>
          </cell>
          <cell r="E87" t="str">
            <v xml:space="preserve">Mr. Chalesh  </v>
          </cell>
          <cell r="F87" t="str">
            <v>+966573037221</v>
          </cell>
        </row>
        <row r="88">
          <cell r="A88" t="str">
            <v>AlRajhi Telecom</v>
          </cell>
          <cell r="B88" t="str">
            <v>Riyadh</v>
          </cell>
          <cell r="C88" t="str">
            <v>2806 Shamayl, 7627, As Sulay, Riyadh 14263</v>
          </cell>
          <cell r="D88" t="str">
            <v>https://goo.gl/maps/C6kiTnPD4TDyqBfW7</v>
          </cell>
          <cell r="E88" t="str">
            <v>Syed Zaky</v>
          </cell>
          <cell r="F88" t="str">
            <v>+966502876573</v>
          </cell>
        </row>
        <row r="89">
          <cell r="A89" t="str">
            <v>AL-TALL AL-AWAL EST FOR TRADING</v>
          </cell>
        </row>
        <row r="90">
          <cell r="A90" t="str">
            <v>American Express Saudi Arabia</v>
          </cell>
          <cell r="C90" t="str">
            <v>King Abdullah Street</v>
          </cell>
          <cell r="D90" t="str">
            <v>https://maps.app.goo.gl/FtqrfHeZRKNNeDYJ8</v>
          </cell>
          <cell r="E90" t="str">
            <v>Mohammed Shakeeb</v>
          </cell>
          <cell r="F90" t="str">
            <v>+966550811804</v>
          </cell>
        </row>
        <row r="91">
          <cell r="A91" t="str">
            <v>ANAZEEM TECHNOLOGY CO.</v>
          </cell>
          <cell r="B91" t="str">
            <v>Riyadh</v>
          </cell>
          <cell r="E91" t="str">
            <v>Mohammed Bassam</v>
          </cell>
          <cell r="F91" t="str">
            <v>+966555390385</v>
          </cell>
          <cell r="G91" t="str">
            <v>mbassam@anazeem.com</v>
          </cell>
        </row>
        <row r="92">
          <cell r="A92" t="str">
            <v>Anmar Saudi Tech. And Trading</v>
          </cell>
          <cell r="B92" t="str">
            <v>Riyadh</v>
          </cell>
          <cell r="C92" t="str">
            <v>Al Haeer, Riyadh</v>
          </cell>
          <cell r="D92" t="str">
            <v>https://maps.app.goo.gl/h3x7f2WjPGfmCWoy7</v>
          </cell>
          <cell r="E92" t="str">
            <v xml:space="preserve">Hesham </v>
          </cell>
          <cell r="F92" t="str">
            <v>+966540858932</v>
          </cell>
          <cell r="G92" t="str">
            <v>hesham_abdulghani@anmarit.com</v>
          </cell>
        </row>
        <row r="93">
          <cell r="A93" t="str">
            <v>ANWAR ALWESSAM TRADING CO.</v>
          </cell>
          <cell r="C93" t="str">
            <v>7451 Asad Ibn Al Fourat, Al Amal، 2614, Riyadh 12643</v>
          </cell>
          <cell r="D93" t="str">
            <v>https://maps.app.goo.gl/QbdzbB4LT8jgoQXi9</v>
          </cell>
          <cell r="E93" t="str">
            <v xml:space="preserve">Basem </v>
          </cell>
          <cell r="F93" t="str">
            <v>+966505143149</v>
          </cell>
        </row>
        <row r="94">
          <cell r="A94" t="str">
            <v>Arab Gulf United Company limited</v>
          </cell>
          <cell r="B94" t="str">
            <v>Riyadh Warehouse</v>
          </cell>
          <cell r="C94" t="str">
            <v>HVX9+JG8 Al Mashael, Riyadh</v>
          </cell>
          <cell r="D94" t="str">
            <v>https://maps.app.goo.gl/h48wKrBtQP99sLPBA</v>
          </cell>
          <cell r="E94" t="str">
            <v>Mr. Abdullah</v>
          </cell>
          <cell r="F94" t="str">
            <v>+966581436892</v>
          </cell>
          <cell r="G94" t="str">
            <v>12 to 1 pm Break</v>
          </cell>
          <cell r="I94" t="str">
            <v xml:space="preserve">Mr. Saadullah </v>
          </cell>
          <cell r="J94" t="str">
            <v>+9660594939157</v>
          </cell>
        </row>
        <row r="95">
          <cell r="A95" t="str">
            <v>Arabian Development &amp; Marketing Co. LTD</v>
          </cell>
        </row>
        <row r="96">
          <cell r="A96" t="str">
            <v>Arabian Internet and Communication Service (STC)</v>
          </cell>
          <cell r="C96" t="str">
            <v>FWMX+Q7H Makkah</v>
          </cell>
          <cell r="D96" t="str">
            <v>https://maps.app.goo.gl/d1q6XN6pLXnxWxfR6</v>
          </cell>
          <cell r="E96" t="str">
            <v xml:space="preserve">Umar </v>
          </cell>
          <cell r="F96" t="str">
            <v>+966555072495</v>
          </cell>
        </row>
        <row r="97">
          <cell r="A97" t="str">
            <v>Arabian Internet and Communication Services Co.Ltd. - STC Solutions</v>
          </cell>
          <cell r="C97" t="str">
            <v>WR24+MWW Ar Rimal, Riyadh</v>
          </cell>
          <cell r="D97" t="str">
            <v>https://maps.app.goo.gl/k8iGrH9YcKcTgFVy7</v>
          </cell>
          <cell r="E97" t="str">
            <v>Omar</v>
          </cell>
          <cell r="F97" t="str">
            <v>+966555072495</v>
          </cell>
        </row>
        <row r="98">
          <cell r="A98" t="str">
            <v>Arabian Internet and Communication Services Co.Ltd. - STC Solutions</v>
          </cell>
          <cell r="C98" t="str">
            <v>PQ3V+VV3 Ar Rawabi, Riyadh</v>
          </cell>
          <cell r="D98" t="str">
            <v>https://maps.app.goo.gl/3LFS9n8hmPeVyMxT6</v>
          </cell>
          <cell r="E98" t="str">
            <v>Jaime</v>
          </cell>
          <cell r="F98" t="str">
            <v>+966559628037</v>
          </cell>
        </row>
        <row r="99">
          <cell r="A99" t="str">
            <v>Arabian Internet and Communication Services Co.Ltd. - STC Solutions</v>
          </cell>
          <cell r="C99" t="str">
            <v>Khurais DC in Riyadh</v>
          </cell>
          <cell r="D99" t="str">
            <v>https://maps.app.goo.gl/8wVMYEwbeqiuzR1ZA</v>
          </cell>
          <cell r="E99" t="str">
            <v xml:space="preserve">Mr. NISHAD </v>
          </cell>
          <cell r="F99" t="str">
            <v>0537993213/0508633213</v>
          </cell>
        </row>
        <row r="100">
          <cell r="A100" t="str">
            <v>Arabian Internet and Communication Services Co.Ltd. - STC Solutions</v>
          </cell>
          <cell r="C100" t="str">
            <v>PQ4V+F9V Ar Rawabi, Riyadh</v>
          </cell>
          <cell r="D100" t="str">
            <v>https://maps.app.goo.gl/nv39drfpkSNzmKHN7</v>
          </cell>
          <cell r="E100" t="str">
            <v>Omar @ BMT</v>
          </cell>
          <cell r="F100" t="str">
            <v>+966555072495</v>
          </cell>
        </row>
        <row r="101">
          <cell r="A101" t="str">
            <v>Arabian Internet andCommunication Services Co.Ltd.</v>
          </cell>
          <cell r="C101" t="str">
            <v>3407 اسحاق بن مخلد, Al Mursilat، 7946, Riyadh 12464</v>
          </cell>
          <cell r="D101" t="str">
            <v>https://maps.app.goo.gl/EPWZ3NnFWA4cYGE39</v>
          </cell>
          <cell r="E101" t="str">
            <v xml:space="preserve">Yasir </v>
          </cell>
          <cell r="F101" t="str">
            <v>+966536438827</v>
          </cell>
          <cell r="I101" t="str">
            <v>Moaz A Shehada</v>
          </cell>
          <cell r="J101" t="str">
            <v>+966532921802</v>
          </cell>
        </row>
        <row r="102">
          <cell r="A102" t="str">
            <v>Arabian projects Company</v>
          </cell>
          <cell r="B102" t="str">
            <v>Riyadh</v>
          </cell>
          <cell r="C102" t="str">
            <v>PP53+XR7, Abdulrahman Ibn Ali Al Ash Shaikh, As Sulimaniyah, Riyadh 12243</v>
          </cell>
          <cell r="D102" t="str">
            <v>https://goo.gl/maps/GZPkZ51RwHo1QbsL8</v>
          </cell>
          <cell r="E102" t="str">
            <v>Reda Saleh</v>
          </cell>
          <cell r="F102" t="str">
            <v>+966547771016</v>
          </cell>
          <cell r="G102" t="str">
            <v>reda@apcksa.com</v>
          </cell>
          <cell r="H102" t="str">
            <v>General Manager</v>
          </cell>
        </row>
        <row r="103">
          <cell r="A103" t="str">
            <v>Arabian Security Systems</v>
          </cell>
          <cell r="B103" t="str">
            <v>Riyadh</v>
          </cell>
          <cell r="C103" t="str">
            <v>An Narjis, Riyadh 13346</v>
          </cell>
          <cell r="D103" t="str">
            <v>https://goo.gl/maps/TbLGbXujEj4TXviF7</v>
          </cell>
          <cell r="E103" t="str">
            <v>Murad bahamood+966 50 414 2501</v>
          </cell>
          <cell r="F103" t="str">
            <v>+966545173287</v>
          </cell>
        </row>
        <row r="104">
          <cell r="A104" t="str">
            <v>Ard Alhassob Trading Co.</v>
          </cell>
          <cell r="B104" t="str">
            <v>Riyadh</v>
          </cell>
          <cell r="C104" t="str">
            <v>Computer market, Olaya, Riyadh</v>
          </cell>
          <cell r="D104" t="str">
            <v>https://maps.app.goo.gl/y2fMXJS7SnQf9NB6A</v>
          </cell>
          <cell r="E104" t="str">
            <v>Mohamed Sobhy</v>
          </cell>
          <cell r="F104" t="str">
            <v>+966539162811</v>
          </cell>
          <cell r="G104" t="str">
            <v>m.sobhy@pclandstore.com</v>
          </cell>
        </row>
        <row r="105">
          <cell r="A105" t="str">
            <v>ARMOR Integrated Co.</v>
          </cell>
        </row>
        <row r="106">
          <cell r="A106" t="str">
            <v>Art of information Technology - AOIT</v>
          </cell>
          <cell r="B106" t="str">
            <v>Dammam</v>
          </cell>
          <cell r="C106" t="str">
            <v xml:space="preserve">An Nahdah Dist., Dammam </v>
          </cell>
          <cell r="D106" t="str">
            <v>https://maps.app.goo.gl/TwGPh8FRfmth5B7B7</v>
          </cell>
          <cell r="E106" t="str">
            <v>Sadathullah Khan</v>
          </cell>
          <cell r="F106" t="str">
            <v>+966537462502</v>
          </cell>
          <cell r="G106" t="str">
            <v>khan@aoit.com.sa</v>
          </cell>
          <cell r="H106" t="str">
            <v xml:space="preserve">Business Development Manager </v>
          </cell>
        </row>
        <row r="107">
          <cell r="A107" t="str">
            <v>Artificial Intelligence Global Company - AIGC</v>
          </cell>
          <cell r="B107" t="str">
            <v>Riyadh</v>
          </cell>
          <cell r="C107" t="str">
            <v>18th Floor, Adeer Tower, Prince Turkey Street, Al Khobar, KSA</v>
          </cell>
          <cell r="D107" t="str">
            <v>https://maps.app.goo.gl/9LVP3SnKPcLuFcCWA</v>
          </cell>
          <cell r="E107" t="str">
            <v>Abdullah AlSaber</v>
          </cell>
          <cell r="F107" t="str">
            <v>+966567445690</v>
          </cell>
        </row>
        <row r="108">
          <cell r="A108" t="str">
            <v>Artkom Trading Company</v>
          </cell>
          <cell r="C108">
            <v>0</v>
          </cell>
          <cell r="D108">
            <v>0</v>
          </cell>
          <cell r="E108" t="str">
            <v>Mohammed Ishaq</v>
          </cell>
          <cell r="F108" t="str">
            <v>+966-557728849</v>
          </cell>
        </row>
        <row r="109">
          <cell r="A109" t="str">
            <v>Asari Trading Est.</v>
          </cell>
          <cell r="B109" t="str">
            <v>Riyadh - Office</v>
          </cell>
          <cell r="C109" t="str">
            <v>Electronics store, Computer Market, Al Olaya, Riyadh</v>
          </cell>
          <cell r="D109" t="str">
            <v>https://maps.app.goo.gl/5P9CRLbGLPQME6Z7A</v>
          </cell>
          <cell r="E109" t="str">
            <v>Ahmed Khawaja</v>
          </cell>
          <cell r="F109" t="str">
            <v>+966504268397</v>
          </cell>
          <cell r="G109" t="str">
            <v>ahmad@asariest.com</v>
          </cell>
          <cell r="I109" t="str">
            <v>Ghouse Mohiuddin</v>
          </cell>
          <cell r="J109" t="str">
            <v>+966 56 535 8240</v>
          </cell>
        </row>
        <row r="110">
          <cell r="A110" t="str">
            <v>Asari Trading Est.</v>
          </cell>
          <cell r="B110" t="str">
            <v>Riyadh - Warehouse</v>
          </cell>
          <cell r="C110" t="str">
            <v>Asari warehouse Exit 16, As Sulay, Riyadh, Saudi Arabia</v>
          </cell>
          <cell r="D110" t="str">
            <v>https://goo.gl/maps/AYJmLokob6MnFc9fA</v>
          </cell>
          <cell r="E110" t="str">
            <v>Ahmed Khawaja</v>
          </cell>
          <cell r="F110" t="str">
            <v>+966504268397</v>
          </cell>
          <cell r="G110" t="str">
            <v>ahmad@asariest.com</v>
          </cell>
          <cell r="I110" t="str">
            <v>Ghouse Mohiuddin</v>
          </cell>
          <cell r="J110" t="str">
            <v>+966 56 535 8240</v>
          </cell>
        </row>
        <row r="111">
          <cell r="A111" t="str">
            <v>Asari trading EST.</v>
          </cell>
          <cell r="B111" t="str">
            <v>Riyadh Show room</v>
          </cell>
          <cell r="C111" t="str">
            <v xml:space="preserve">Olaya Computer Market </v>
          </cell>
          <cell r="D111" t="str">
            <v>https://maps.app.goo.gl/uZnmPXNqTruT7NC36</v>
          </cell>
          <cell r="E111" t="str">
            <v>Moustafa</v>
          </cell>
          <cell r="F111" t="str">
            <v>+966568581610</v>
          </cell>
        </row>
        <row r="112">
          <cell r="A112" t="str">
            <v>Ascend Advanced Health Care</v>
          </cell>
        </row>
        <row r="113">
          <cell r="A113" t="str">
            <v>Asdiqa Altadawul Commercial company</v>
          </cell>
          <cell r="C113">
            <v>0</v>
          </cell>
          <cell r="D113">
            <v>0</v>
          </cell>
          <cell r="E113" t="str">
            <v>Mozum Bashir                                                      </v>
          </cell>
          <cell r="F113" t="str">
            <v>+966595835173   </v>
          </cell>
        </row>
        <row r="114">
          <cell r="A114" t="str">
            <v>Aseel Gulf for Information Technoloy</v>
          </cell>
          <cell r="B114" t="str">
            <v>Riyadh</v>
          </cell>
        </row>
        <row r="115">
          <cell r="A115" t="str">
            <v>Aspiring Technologies Co. Ltd.</v>
          </cell>
        </row>
        <row r="116">
          <cell r="A116" t="str">
            <v>Atlanta Network Computers Est.</v>
          </cell>
          <cell r="B116" t="str">
            <v>Riyadh</v>
          </cell>
          <cell r="C116" t="str">
            <v>Wadi Ad Dawasir,Riyadh, KSA</v>
          </cell>
          <cell r="D116" t="str">
            <v>https://goo.gl/maps/EoFzeYskQfMrnFHV9</v>
          </cell>
          <cell r="E116" t="str">
            <v xml:space="preserve">Noorudheen </v>
          </cell>
          <cell r="F116" t="str">
            <v>+966 56 405 0363</v>
          </cell>
          <cell r="G116" t="str">
            <v>Nooru@atlantasaudi.com</v>
          </cell>
        </row>
        <row r="117">
          <cell r="A117" t="str">
            <v>Aurora Information Technology</v>
          </cell>
        </row>
        <row r="118">
          <cell r="A118" t="str">
            <v>Australian Laboratory Services Arab</v>
          </cell>
        </row>
        <row r="119">
          <cell r="A119" t="str">
            <v>Automation Detection Technology - ADT</v>
          </cell>
          <cell r="B119" t="str">
            <v>Riyadh</v>
          </cell>
          <cell r="C119" t="str">
            <v>ADT Office, Northern Ring Rd, Al Muruj, Riyadh 12284</v>
          </cell>
          <cell r="D119" t="str">
            <v>https://goo.gl/maps/jF2bBtiMfXnWMnaP9</v>
          </cell>
          <cell r="E119" t="str">
            <v>Tamer</v>
          </cell>
          <cell r="F119" t="str">
            <v>+966 56 271 5487</v>
          </cell>
        </row>
        <row r="120">
          <cell r="A120" t="str">
            <v>AVANCEON ARABIA FOR INFORMTION</v>
          </cell>
          <cell r="C120" t="str">
            <v>94RV+746, Industrial Area No 1, Dammam 32234</v>
          </cell>
          <cell r="D120" t="str">
            <v>https://maps.app.goo.gl/HBvdEKkcyAMX5c938</v>
          </cell>
          <cell r="E120" t="str">
            <v>Usama Alam</v>
          </cell>
          <cell r="F120" t="str">
            <v>+966575839708</v>
          </cell>
        </row>
        <row r="121">
          <cell r="A121" t="str">
            <v>Avaya International Sales Ltd.</v>
          </cell>
          <cell r="B121" t="str">
            <v>Riyadh</v>
          </cell>
          <cell r="C121" t="str">
            <v>King Abdul Aziz Road-Mursalat, Riyadh, Saudi Arabia</v>
          </cell>
          <cell r="E121" t="str">
            <v>Mazhar Ullah Baig</v>
          </cell>
          <cell r="F121" t="str">
            <v>+966545627415</v>
          </cell>
        </row>
        <row r="122">
          <cell r="A122" t="str">
            <v>AXONTEC INTERNATIONAL SECURITY</v>
          </cell>
          <cell r="C122" t="str">
            <v>JM6Q+VGM, Sultanah, Riyadh 12772</v>
          </cell>
          <cell r="D122" t="str">
            <v>https://maps.app.goo.gl/bQmFTjVz3oWzKted9</v>
          </cell>
          <cell r="E122" t="str">
            <v>Ajmal</v>
          </cell>
          <cell r="F122" t="str">
            <v>+966575464163</v>
          </cell>
        </row>
        <row r="123">
          <cell r="A123" t="str">
            <v xml:space="preserve">Ayser Kayal Trading Est </v>
          </cell>
          <cell r="B123" t="str">
            <v>Jeddah</v>
          </cell>
          <cell r="C123" t="str">
            <v>Tahlia street near al jazerah bank, Al Andalus, Jeddah</v>
          </cell>
          <cell r="D123" t="str">
            <v>https://maps.app.goo.gl/XjGsCdY6Q8mQ2Dh2A</v>
          </cell>
          <cell r="E123" t="str">
            <v>Tariq Amairah</v>
          </cell>
          <cell r="F123" t="str">
            <v>+966565411133</v>
          </cell>
          <cell r="G123" t="str">
            <v>tareq@ayskayalest.com</v>
          </cell>
          <cell r="H123" t="str">
            <v>Sales &amp; Projects Manager</v>
          </cell>
        </row>
        <row r="124">
          <cell r="A124" t="str">
            <v>Bahar Al-Malomat for Trading Est.</v>
          </cell>
          <cell r="B124" t="str">
            <v>Riyadh</v>
          </cell>
          <cell r="C124" t="str">
            <v>Computer Market, Olaya, Riyadh</v>
          </cell>
          <cell r="D124" t="str">
            <v>https://goo.gl/maps/7bwL9CeDQs7FCRe28</v>
          </cell>
          <cell r="E124" t="str">
            <v>Abas</v>
          </cell>
          <cell r="F124" t="str">
            <v>+966597048451</v>
          </cell>
        </row>
        <row r="125">
          <cell r="A125" t="str">
            <v xml:space="preserve">Barq System for Technical Trading </v>
          </cell>
          <cell r="B125" t="str">
            <v>Riyadh</v>
          </cell>
          <cell r="C125" t="str">
            <v>Al Howaishel Tower A, 1st Floor, Al Olaya St., Riyadh</v>
          </cell>
          <cell r="E125" t="str">
            <v>Mohamed AbdelRasheed</v>
          </cell>
          <cell r="F125" t="str">
            <v>+966545686907</v>
          </cell>
          <cell r="G125" t="str">
            <v>Mohamed.AbdelRasheed@barqsystems.com</v>
          </cell>
        </row>
        <row r="126">
          <cell r="A126" t="str">
            <v>Baseline contracting company</v>
          </cell>
          <cell r="C126">
            <v>0</v>
          </cell>
          <cell r="D126">
            <v>0</v>
          </cell>
          <cell r="E126" t="str">
            <v>Aurang Zaib Khan</v>
          </cell>
          <cell r="F126" t="str">
            <v>+966561474538</v>
          </cell>
        </row>
        <row r="127">
          <cell r="A127" t="str">
            <v>BASIC ELECTRONICS COMPANY</v>
          </cell>
        </row>
        <row r="128">
          <cell r="A128" t="str">
            <v>Baud Telecom Company - BTC</v>
          </cell>
          <cell r="B128" t="str">
            <v>Riyadh</v>
          </cell>
          <cell r="C128" t="str">
            <v>BTC Riyadh warehouse, Istanbul St, As Sulay, Riyadh, KSA</v>
          </cell>
          <cell r="D128" t="str">
            <v>https://goo.gl/maps/yJuanY52ytAZn5vf6</v>
          </cell>
          <cell r="E128" t="str">
            <v>Ahmed Jalal</v>
          </cell>
          <cell r="F128" t="str">
            <v>+966500029089</v>
          </cell>
          <cell r="G128" t="str">
            <v>AJalal@btc.com.sa</v>
          </cell>
          <cell r="H128" t="str">
            <v>Store Supervisor</v>
          </cell>
          <cell r="I128" t="str">
            <v>Shahid Abbas</v>
          </cell>
          <cell r="J128" t="str">
            <v>+966558901115</v>
          </cell>
        </row>
        <row r="129">
          <cell r="A129" t="str">
            <v>Baud Telecom Company - BTC</v>
          </cell>
          <cell r="B129" t="str">
            <v>Jeddah</v>
          </cell>
          <cell r="C129" t="str">
            <v>BTC Jeddah WH, Khalid Bin Yazeed St Al Nakheel District, Opposite DJ Auto Parts, Jeddah</v>
          </cell>
          <cell r="D129" t="str">
            <v>https://goo.gl/maps/ocr4dnSwDfMXWnAT6</v>
          </cell>
          <cell r="E129" t="str">
            <v>Nayeem Osman Khan</v>
          </cell>
          <cell r="F129" t="str">
            <v>+966 53 484 7236/+966500193220</v>
          </cell>
          <cell r="G129" t="str">
            <v>nkhan@btc.com.sa</v>
          </cell>
        </row>
        <row r="130">
          <cell r="A130" t="str">
            <v>Baud Telecom Company - BTC</v>
          </cell>
          <cell r="B130" t="str">
            <v>Khobar</v>
          </cell>
          <cell r="C130" t="str">
            <v>BTC Khobar, Sinaiya Al Baghlaf,GCC Road,KHOBAR</v>
          </cell>
          <cell r="D130" t="str">
            <v>https://maps.app.goo.gl/D6RXP4JN2g3iTdSN9</v>
          </cell>
          <cell r="E130" t="str">
            <v>Jahirul Islam</v>
          </cell>
          <cell r="F130" t="str">
            <v>+966555216198</v>
          </cell>
          <cell r="G130" t="str">
            <v>KhobarStores@btc.com.sa</v>
          </cell>
        </row>
        <row r="131">
          <cell r="A131" t="str">
            <v>Bayt Al Egada for Trading &amp; Technology - Mastery House</v>
          </cell>
          <cell r="B131" t="str">
            <v>Riyadh</v>
          </cell>
          <cell r="C131" t="str">
            <v>Al Mashael, Riyadh</v>
          </cell>
          <cell r="D131" t="str">
            <v>https://goo.gl/maps/uvnmLY9QBDvi5Vnx9</v>
          </cell>
          <cell r="E131" t="str">
            <v>Ali Gonzaga</v>
          </cell>
          <cell r="F131" t="str">
            <v>+966594645070</v>
          </cell>
          <cell r="G131" t="str">
            <v>ali@mhtt.sa</v>
          </cell>
          <cell r="I131" t="str">
            <v>Masood Shah</v>
          </cell>
          <cell r="J131" t="str">
            <v>+966597580320</v>
          </cell>
        </row>
        <row r="132">
          <cell r="A132" t="str">
            <v>Bazy Trading And Contracting Co. Ltd</v>
          </cell>
          <cell r="B132" t="str">
            <v>Riyadh</v>
          </cell>
          <cell r="C132" t="str">
            <v>Bazy warehouse, As Sulay, Riyadh</v>
          </cell>
          <cell r="D132" t="str">
            <v>https://maps.app.goo.gl/1r5vWFicwck1p8659</v>
          </cell>
          <cell r="E132" t="str">
            <v>Shahbaz Nasir</v>
          </cell>
          <cell r="F132" t="str">
            <v>+966501316089/+966508302609</v>
          </cell>
          <cell r="G132" t="str">
            <v>s.rahmat@baz.com.sa</v>
          </cell>
        </row>
        <row r="133">
          <cell r="A133" t="str">
            <v>Benchmark Technology</v>
          </cell>
          <cell r="C133" t="str">
            <v>JV83+M8P Al Mashael, Riyadh</v>
          </cell>
          <cell r="D133" t="str">
            <v>https://maps.app.goo.gl/QMVFqvfPoH7bCKoz8</v>
          </cell>
          <cell r="E133" t="str">
            <v>Shanu Adil</v>
          </cell>
          <cell r="F133" t="str">
            <v>+966539062023</v>
          </cell>
        </row>
        <row r="134">
          <cell r="A134" t="str">
            <v>Best InfoTech Solutions</v>
          </cell>
        </row>
        <row r="135">
          <cell r="A135" t="str">
            <v>BEST SOLUTIONS FOR ICT</v>
          </cell>
        </row>
        <row r="136">
          <cell r="A136" t="str">
            <v>Bin Zoumah Tech Company - Binzomah</v>
          </cell>
          <cell r="E136" t="str">
            <v>Shuman Mumtaz</v>
          </cell>
          <cell r="F136" t="str">
            <v>+966508380308</v>
          </cell>
          <cell r="G136" t="str">
            <v>shuman@binzomah.com</v>
          </cell>
        </row>
        <row r="137">
          <cell r="A137" t="str">
            <v>Binary Information Technology Solution (BITS ARABIA)</v>
          </cell>
        </row>
        <row r="138">
          <cell r="A138" t="str">
            <v>BioNetworks</v>
          </cell>
          <cell r="B138" t="str">
            <v>Jeddah</v>
          </cell>
          <cell r="C138" t="str">
            <v xml:space="preserve">Jeddah – Al Sharafiyah District – Al Toubah street – Al Aseel tower – 3rd floor – office 303 </v>
          </cell>
          <cell r="D138" t="str">
            <v>https://maps.app.goo.gl/1CTKPKLY7egsGUeU9</v>
          </cell>
          <cell r="E138" t="str">
            <v>Anas Fehail</v>
          </cell>
          <cell r="F138" t="str">
            <v>+966554599202</v>
          </cell>
          <cell r="G138" t="str">
            <v>anasf@bionetworks-sa.com</v>
          </cell>
        </row>
        <row r="139">
          <cell r="A139" t="str">
            <v>Blue Tag Company for Information Technology</v>
          </cell>
          <cell r="B139" t="str">
            <v>Riyadh</v>
          </cell>
          <cell r="E139" t="str">
            <v xml:space="preserve">Ashraf Alshihab </v>
          </cell>
          <cell r="F139" t="str">
            <v>+966599945674</v>
          </cell>
          <cell r="G139" t="str">
            <v>a.shihab@btcict.com</v>
          </cell>
        </row>
        <row r="140">
          <cell r="A140" t="str">
            <v>BMB International Saudi Arabia</v>
          </cell>
          <cell r="B140" t="str">
            <v>Riyadh</v>
          </cell>
          <cell r="C140" t="str">
            <v>Al Hodaithi Center, King Abdul Aziz  Street, AlMuruj, Riyadh</v>
          </cell>
          <cell r="E140" t="str">
            <v>Nayeem Seyed</v>
          </cell>
          <cell r="F140" t="str">
            <v>+966509239054</v>
          </cell>
          <cell r="G140" t="str">
            <v>Nayeem.Seyed@bmbgroup.com</v>
          </cell>
          <cell r="I140" t="str">
            <v>Mujahid</v>
          </cell>
          <cell r="J140" t="str">
            <v>+966 57 039 2439</v>
          </cell>
        </row>
        <row r="141">
          <cell r="A141" t="str">
            <v>BNAN for Information Technology</v>
          </cell>
          <cell r="B141" t="str">
            <v>Riyadh</v>
          </cell>
          <cell r="E141" t="str">
            <v>Amr Samak</v>
          </cell>
          <cell r="F141" t="str">
            <v>+966545119929</v>
          </cell>
          <cell r="G141" t="str">
            <v>samak@bnansa.com</v>
          </cell>
        </row>
        <row r="142">
          <cell r="A142" t="str">
            <v>BSS Joint Venture- JV Al Bawani- Webu</v>
          </cell>
          <cell r="C142" t="str">
            <v>RIYADH</v>
          </cell>
        </row>
        <row r="143">
          <cell r="A143" t="str">
            <v>Business Management Network Company (BMNC)</v>
          </cell>
          <cell r="B143" t="str">
            <v>Riyadh</v>
          </cell>
          <cell r="C143" t="str">
            <v>BMNC Warehouse, As Sulay, Riyadh</v>
          </cell>
          <cell r="D143" t="str">
            <v>https://maps.app.goo.gl/PqTifdkM35TBtGma9</v>
          </cell>
          <cell r="E143" t="str">
            <v>Sayed Shujauddin Ahmed</v>
          </cell>
          <cell r="F143" t="str">
            <v>+966571290676</v>
          </cell>
          <cell r="G143" t="str">
            <v>sahmed@bmc.com.sa</v>
          </cell>
          <cell r="I143" t="str">
            <v>Misbah Uddin</v>
          </cell>
          <cell r="J143" t="str">
            <v>+966590836098</v>
          </cell>
        </row>
        <row r="144">
          <cell r="A144" t="str">
            <v>Business Space Company .</v>
          </cell>
          <cell r="C144" t="str">
            <v xml:space="preserve"> Al Olaya, Riyadh</v>
          </cell>
          <cell r="D144" t="str">
            <v>https://maps.app.goo.gl/D8vb1R1GounC4jqU7</v>
          </cell>
          <cell r="E144" t="str">
            <v>Abdulelah Bassam</v>
          </cell>
          <cell r="F144" t="str">
            <v>+966500081019</v>
          </cell>
        </row>
        <row r="145">
          <cell r="A145" t="str">
            <v>Business tracks</v>
          </cell>
          <cell r="B145" t="str">
            <v>Riyadh</v>
          </cell>
          <cell r="C145" t="str">
            <v>AlMousa Center, 3rd Tower, 4th Floor, Office # 346 Riyadh, KSA</v>
          </cell>
          <cell r="D145" t="str">
            <v>https://maps.app.goo.gl/tqnVkHaemPw8pceL6</v>
          </cell>
          <cell r="E145" t="str">
            <v>Effat Sabbour</v>
          </cell>
          <cell r="F145" t="str">
            <v>+966505216383</v>
          </cell>
          <cell r="I145" t="str">
            <v xml:space="preserve">Kareem </v>
          </cell>
          <cell r="J145" t="str">
            <v>+966 54 453 8591</v>
          </cell>
        </row>
        <row r="146">
          <cell r="A146" t="str">
            <v>Cegelec Network &amp; Security Systems</v>
          </cell>
          <cell r="B146" t="str">
            <v>Khobar</v>
          </cell>
          <cell r="C146" t="str">
            <v>Prince Nayef St, Al Khobar Al Shamalia, Al Khobar 34429</v>
          </cell>
          <cell r="D146" t="str">
            <v>https://goo.gl/maps/jF7xw5tU1DoerTSFA</v>
          </cell>
          <cell r="E146" t="str">
            <v>Faisal Alzahrani               0535011175</v>
          </cell>
          <cell r="F146" t="str">
            <v>Pasha0549155061</v>
          </cell>
        </row>
        <row r="147">
          <cell r="A147" t="str">
            <v>China Saudi Communications Services ( CCS )</v>
          </cell>
          <cell r="B147" t="str">
            <v>Riyadh</v>
          </cell>
          <cell r="C147" t="str">
            <v>CCS Warehouse number S 1-3-3, Al Mashael, Riyadh</v>
          </cell>
          <cell r="D147" t="str">
            <v>https://maps.app.goo.gl/6mMDzdxmiHmDkuXi7</v>
          </cell>
          <cell r="E147" t="str">
            <v>Waseem Akram</v>
          </cell>
          <cell r="F147" t="str">
            <v>+966500884323</v>
          </cell>
          <cell r="G147" t="str">
            <v>waseemakram@ccssaudi.com</v>
          </cell>
        </row>
        <row r="148">
          <cell r="A148" t="str">
            <v>Clarity of Vision Information Tech</v>
          </cell>
          <cell r="B148" t="str">
            <v>Riyadh</v>
          </cell>
          <cell r="E148" t="str">
            <v>Ahmad Ewaida</v>
          </cell>
          <cell r="F148" t="str">
            <v>+966556680051</v>
          </cell>
          <cell r="G148" t="str">
            <v xml:space="preserve">a.ewaida@cov.sa </v>
          </cell>
        </row>
        <row r="149">
          <cell r="A149" t="str">
            <v>Cloud Consultancy for Digitalization &amp; Security - CCDS</v>
          </cell>
          <cell r="B149" t="str">
            <v>Riyadh</v>
          </cell>
          <cell r="C149" t="str">
            <v>Alkhalifa Building, 2nd Floor, Al Olaya, Office 3B, Riyadh 12221</v>
          </cell>
          <cell r="D149" t="str">
            <v>https://maps.app.goo.gl/sfHrZ5JRyzXrkyw8A</v>
          </cell>
          <cell r="E149" t="str">
            <v>Samar Abughali</v>
          </cell>
          <cell r="F149" t="str">
            <v>+966542414771</v>
          </cell>
          <cell r="G149" t="str">
            <v>s.abughali@ccds.ws</v>
          </cell>
        </row>
        <row r="150">
          <cell r="A150" t="str">
            <v>CLOUD DISTRIBUTION</v>
          </cell>
          <cell r="B150" t="str">
            <v>Riyadh</v>
          </cell>
          <cell r="C150" t="str">
            <v>الحي، طويق،, Riyadh</v>
          </cell>
          <cell r="D150" t="str">
            <v>https://maps.app.goo.gl/Nkq3DfuaFbGEADS56</v>
          </cell>
          <cell r="E150" t="str">
            <v xml:space="preserve">Mohammed Al Ajou </v>
          </cell>
          <cell r="F150" t="str">
            <v>+966542651229</v>
          </cell>
        </row>
        <row r="151">
          <cell r="A151" t="str">
            <v>Cloud Networks</v>
          </cell>
          <cell r="C151" t="str">
            <v>Service Road, Gulf Commercial Center,King Fahad, Riyadh</v>
          </cell>
          <cell r="D151" t="str">
            <v>https://maps.app.goo.gl/KFshV4t1HWg1WWSe9</v>
          </cell>
          <cell r="E151" t="str">
            <v>Mohammed Emmam</v>
          </cell>
          <cell r="F151" t="str">
            <v>+966 59 320 9959</v>
          </cell>
          <cell r="G151" t="str">
            <v>+966 59 320 9319 Ahmed</v>
          </cell>
          <cell r="I151" t="str">
            <v>Mohamed Soliman</v>
          </cell>
          <cell r="J151" t="str">
            <v>+966593208700</v>
          </cell>
        </row>
        <row r="152">
          <cell r="A152" t="str">
            <v>Cloud Vision Trading Company</v>
          </cell>
          <cell r="C152" t="str">
            <v>RIYADH</v>
          </cell>
        </row>
        <row r="153">
          <cell r="A153" t="str">
            <v>Code Advanced Contracting Company</v>
          </cell>
          <cell r="B153" t="str">
            <v>Jeddah</v>
          </cell>
          <cell r="E153" t="str">
            <v>Herman Huang</v>
          </cell>
          <cell r="F153" t="str">
            <v>+966531234340</v>
          </cell>
          <cell r="G153" t="str">
            <v>pm@bright-code.net</v>
          </cell>
        </row>
        <row r="154">
          <cell r="A154" t="str">
            <v>Comatec SA Ltd Co.</v>
          </cell>
          <cell r="B154" t="str">
            <v>Riyadh</v>
          </cell>
          <cell r="C154" t="str">
            <v>Haroon Al Rashed St., As Sulay, Riyadh</v>
          </cell>
          <cell r="D154" t="str">
            <v>https://goo.gl/maps/RqMbqqj31pBHwvJo6</v>
          </cell>
          <cell r="E154" t="str">
            <v xml:space="preserve">Ibrahim Abualhaija </v>
          </cell>
          <cell r="F154" t="str">
            <v>+966593022212</v>
          </cell>
          <cell r="G154" t="str">
            <v>Ibrahim.abualhaija@comatec.com.sa</v>
          </cell>
        </row>
        <row r="155">
          <cell r="A155" t="str">
            <v>CommScope</v>
          </cell>
          <cell r="B155" t="str">
            <v>Riyadh</v>
          </cell>
          <cell r="C155" t="str">
            <v>Prince Mamduh Bin Abdulaziz St, As Sulimaniyah, Riyadh 12242</v>
          </cell>
          <cell r="D155" t="str">
            <v>https://goo.gl/maps/UC4iwhS38bGdVEbr9</v>
          </cell>
          <cell r="E155" t="str">
            <v>Wessam Hassan Ali</v>
          </cell>
          <cell r="F155" t="str">
            <v>(+966)555610250</v>
          </cell>
          <cell r="G155" t="str">
            <v>Wessam.Hassan@commscope.com</v>
          </cell>
        </row>
        <row r="156">
          <cell r="A156" t="str">
            <v>COMMTEL NETWORKS (FZC)</v>
          </cell>
        </row>
        <row r="157">
          <cell r="A157" t="str">
            <v>Computer Data For Trading</v>
          </cell>
          <cell r="C157">
            <v>0</v>
          </cell>
          <cell r="D157">
            <v>0</v>
          </cell>
          <cell r="E157" t="str">
            <v>Mahmoud Samy</v>
          </cell>
          <cell r="F157" t="str">
            <v>+966542383906</v>
          </cell>
        </row>
        <row r="158">
          <cell r="A158" t="str">
            <v>Connect Networks Trading Co.</v>
          </cell>
          <cell r="B158" t="str">
            <v>Riyadh</v>
          </cell>
          <cell r="C158" t="str">
            <v>Istanbul Street, Exit - 17, Sulai, Behind Dalla Driving School, Near Aramex Warehouse</v>
          </cell>
          <cell r="D158" t="str">
            <v>https://goo.gl/maps/NdVAj19niFFePp418</v>
          </cell>
          <cell r="E158" t="str">
            <v>Noushad .M.K</v>
          </cell>
          <cell r="F158" t="str">
            <v>+966535088812</v>
          </cell>
          <cell r="H158" t="str">
            <v>Store Incharge</v>
          </cell>
          <cell r="I158" t="str">
            <v>Muhammed Junaid</v>
          </cell>
          <cell r="J158" t="str">
            <v>+966558528489</v>
          </cell>
        </row>
        <row r="159">
          <cell r="A159" t="str">
            <v>Connect Networks Trading Co.</v>
          </cell>
          <cell r="B159" t="str">
            <v>Dammam</v>
          </cell>
          <cell r="C159" t="str">
            <v>Al Khalidiyah Ash Shamaliyah, Dammam</v>
          </cell>
          <cell r="D159" t="str">
            <v>https://maps.app.goo.gl/AczRKeE1bLbsuFxK9</v>
          </cell>
          <cell r="E159" t="str">
            <v>Abdul Kareem</v>
          </cell>
          <cell r="F159" t="str">
            <v>+966530548882</v>
          </cell>
        </row>
        <row r="160">
          <cell r="A160" t="str">
            <v>Connect Networks Trading Co.</v>
          </cell>
          <cell r="B160" t="str">
            <v>Jeddah</v>
          </cell>
          <cell r="C160" t="str">
            <v>Khaled Bin Waleed Street, Jeddah</v>
          </cell>
          <cell r="E160" t="str">
            <v>Sudheer</v>
          </cell>
          <cell r="F160" t="str">
            <v>+966508886645</v>
          </cell>
          <cell r="H160" t="str">
            <v>Sales Incharge</v>
          </cell>
        </row>
        <row r="161">
          <cell r="A161" t="str">
            <v>Connected Wave Communications &amp; Information Technology Co. Ltd.</v>
          </cell>
        </row>
        <row r="162">
          <cell r="A162" t="str">
            <v>CONSOLIDATED TECHNIQUES CO.</v>
          </cell>
          <cell r="C162" t="str">
            <v>حي السلي, 7290 Ash Shabaniyah, RQYD7290, 3215, Riyadh 14266</v>
          </cell>
          <cell r="D162" t="str">
            <v>https://maps.app.goo.gl/ZtKCdNZiJHH2KGvx5</v>
          </cell>
          <cell r="E162" t="str">
            <v>Rifai Ahamed</v>
          </cell>
          <cell r="F162" t="str">
            <v>+966544775820</v>
          </cell>
        </row>
        <row r="163">
          <cell r="A163" t="str">
            <v>Consolidated Techniques Co. Ltd. - CTC</v>
          </cell>
          <cell r="B163" t="str">
            <v>Riyadh</v>
          </cell>
          <cell r="C163" t="str">
            <v>Ash Shabaniyah, Sulay, Riyadh</v>
          </cell>
          <cell r="D163" t="str">
            <v>https://maps.app.goo.gl/nZtXrYmZj4WcMGgW7</v>
          </cell>
          <cell r="E163" t="str">
            <v>Mohamed Rifai</v>
          </cell>
          <cell r="F163" t="str">
            <v>+966544775820</v>
          </cell>
        </row>
        <row r="164">
          <cell r="A164" t="str">
            <v>Consolidated Telecoms Co. Ltd.</v>
          </cell>
          <cell r="C164" t="str">
            <v>Jeddah – Mohammed Bin Abdulaziz Street</v>
          </cell>
          <cell r="D164">
            <v>0</v>
          </cell>
          <cell r="E164" t="str">
            <v>Ahmed Al-Kaff</v>
          </cell>
          <cell r="F164" t="str">
            <v>+966580012672</v>
          </cell>
        </row>
        <row r="165">
          <cell r="A165" t="str">
            <v>Consolidated Telecoms Co. Ltd. - CTELECOM</v>
          </cell>
          <cell r="C165" t="str">
            <v>Jeddah – Mohammed Bin Abdulaziz Street</v>
          </cell>
          <cell r="D165">
            <v>0</v>
          </cell>
          <cell r="E165" t="str">
            <v>Ahmed Al-Kaff</v>
          </cell>
          <cell r="F165" t="str">
            <v>+966580012672</v>
          </cell>
        </row>
        <row r="166">
          <cell r="A166" t="str">
            <v>Contractors Services Co. - CSC</v>
          </cell>
        </row>
        <row r="167">
          <cell r="A167" t="str">
            <v>Converged Generation Communications Co. (CGC)</v>
          </cell>
          <cell r="B167" t="str">
            <v>Riyadh - Office</v>
          </cell>
          <cell r="C167" t="str">
            <v>CGC New Office, Ar Rabwah, Riyadh, KSA</v>
          </cell>
          <cell r="D167" t="str">
            <v>https://maps.app.goo.gl/8DMNoEFqpBKNQG1J6</v>
          </cell>
          <cell r="E167" t="str">
            <v>Ahmed Adam</v>
          </cell>
          <cell r="F167" t="str">
            <v>+966580262235</v>
          </cell>
          <cell r="G167" t="str">
            <v>ahmed.adam@cgc-sa.com</v>
          </cell>
          <cell r="H167" t="str">
            <v>Procurement</v>
          </cell>
          <cell r="I167" t="str">
            <v>Eltayeb Ahmed</v>
          </cell>
          <cell r="J167" t="str">
            <v>+966508195563</v>
          </cell>
        </row>
        <row r="168">
          <cell r="A168" t="str">
            <v>Converged Generation Communications Co. (CGC)</v>
          </cell>
          <cell r="B168" t="str">
            <v>Riyadh - Store</v>
          </cell>
          <cell r="C168" t="str">
            <v>CGC Store, Al Malaz, Riyadh</v>
          </cell>
          <cell r="D168" t="str">
            <v>https://maps.app.goo.gl/TmyA8wrjgEUGr151A</v>
          </cell>
          <cell r="E168" t="str">
            <v>Ahmed Adam</v>
          </cell>
          <cell r="F168" t="str">
            <v>+966580262235</v>
          </cell>
          <cell r="G168" t="str">
            <v>ahmed.adam@cgc-sa.com</v>
          </cell>
          <cell r="H168" t="str">
            <v>Procurement</v>
          </cell>
          <cell r="I168" t="str">
            <v>Eltayeb Ahmed</v>
          </cell>
          <cell r="J168" t="str">
            <v>+966508195563</v>
          </cell>
        </row>
        <row r="169">
          <cell r="A169" t="str">
            <v>Convergent Technology</v>
          </cell>
          <cell r="B169" t="str">
            <v>Riyadh</v>
          </cell>
          <cell r="C169" t="str">
            <v>PM5Q+7H3, As Sulimaniyah, Riyadh 12241</v>
          </cell>
          <cell r="D169" t="str">
            <v>https://goo.gl/maps/bjYj2fufSF4WKc7k8</v>
          </cell>
          <cell r="E169" t="str">
            <v>Mohammed Abdul Ali</v>
          </cell>
          <cell r="F169" t="str">
            <v>+966561778232</v>
          </cell>
          <cell r="G169" t="str">
            <v>mali@ctechsa.com</v>
          </cell>
        </row>
        <row r="170">
          <cell r="A170" t="str">
            <v>Crescent East Business Est. - CEBE</v>
          </cell>
          <cell r="B170" t="str">
            <v>Dammam</v>
          </cell>
          <cell r="C170" t="str">
            <v>Al Muhammadiyah, Dammam</v>
          </cell>
          <cell r="E170" t="str">
            <v>Fahad</v>
          </cell>
          <cell r="F170" t="str">
            <v>+966546112030/+966507079065</v>
          </cell>
          <cell r="G170" t="str">
            <v>sales@cebe-tech.com</v>
          </cell>
        </row>
        <row r="171">
          <cell r="A171" t="str">
            <v>Crystal Networks Saudi Arabia Ltd</v>
          </cell>
          <cell r="B171" t="str">
            <v>Riyadh</v>
          </cell>
          <cell r="C171" t="str">
            <v>Cerecon bldg 15 – 4th floor – Office 403, Olaya, Riyadh, Saudi Arabia</v>
          </cell>
          <cell r="D171" t="str">
            <v>https://goo.gl/maps/wznE4cBubvHC8sGy7</v>
          </cell>
          <cell r="E171" t="str">
            <v xml:space="preserve">Jennifer Saad </v>
          </cell>
          <cell r="F171" t="str">
            <v>+966535454552</v>
          </cell>
          <cell r="G171" t="str">
            <v>jennifersaad@crystalnetworks.me</v>
          </cell>
          <cell r="I171" t="str">
            <v>Rosaline debes</v>
          </cell>
          <cell r="J171" t="str">
            <v>+966554052553</v>
          </cell>
        </row>
        <row r="172">
          <cell r="A172" t="str">
            <v>Crystal Networks Saudi Arabia Ltd</v>
          </cell>
          <cell r="B172" t="str">
            <v>Jeddah</v>
          </cell>
          <cell r="C172" t="str">
            <v>Khayat Center, 1st Floor Office 101, Jeddah, Saudi Arabia</v>
          </cell>
          <cell r="E172" t="str">
            <v>Balsam Saad</v>
          </cell>
          <cell r="F172" t="str">
            <v>+966500910878</v>
          </cell>
          <cell r="G172" t="str">
            <v>balsamsaad@crystalnetworks.me</v>
          </cell>
        </row>
        <row r="173">
          <cell r="A173" t="str">
            <v>Danat Business for Information Technology</v>
          </cell>
          <cell r="B173" t="str">
            <v>Jeddah</v>
          </cell>
          <cell r="C173" t="str">
            <v>Office No.3, Floor No.2, AL-RABIE Building, Ash Sharafiyah District، 8050، Jeddah</v>
          </cell>
          <cell r="D173" t="str">
            <v>https://goo.gl/maps/ibJKgBNchyhZxpos5</v>
          </cell>
          <cell r="E173" t="str">
            <v>Alaa Safieh</v>
          </cell>
          <cell r="F173" t="str">
            <v>+966566449392</v>
          </cell>
          <cell r="G173" t="str">
            <v>alaa@danatksa.com</v>
          </cell>
        </row>
        <row r="174">
          <cell r="A174" t="str">
            <v>Dar Al Sulimaniah First IT</v>
          </cell>
          <cell r="C174" t="str">
            <v>DAS office, Prince Abdulaziz Ibn Musaid Ibn Jalawi St, Al Olaya, Riyadh</v>
          </cell>
          <cell r="D174" t="str">
            <v>https://maps.app.goo.gl/LYWNHXmeyKraPntj8</v>
          </cell>
          <cell r="E174" t="str">
            <v>Ashraf Alwaisy</v>
          </cell>
          <cell r="F174" t="str">
            <v>+966542900121</v>
          </cell>
          <cell r="I174" t="str">
            <v>Ahmed Alwaisy</v>
          </cell>
          <cell r="J174" t="str">
            <v>+966548993398</v>
          </cell>
        </row>
        <row r="175">
          <cell r="A175" t="str">
            <v>Dar Al-Mubtaker Est.</v>
          </cell>
          <cell r="B175" t="str">
            <v>Riyadh</v>
          </cell>
          <cell r="C175" t="str">
            <v>RAM International LTD.</v>
          </cell>
          <cell r="D175" t="str">
            <v>Imam Mohammed Bin Saud Road, An Nakheel, Riyadh 12382</v>
          </cell>
          <cell r="E175" t="str">
            <v>Bahaa Matar</v>
          </cell>
          <cell r="F175" t="str">
            <v>+966583564411</v>
          </cell>
          <cell r="G175" t="str">
            <v>Bahaa.Matar@ramintlco.com</v>
          </cell>
        </row>
        <row r="176">
          <cell r="A176" t="str">
            <v>Dar AlSulimaniah First IT Company - DAS</v>
          </cell>
          <cell r="B176" t="str">
            <v>Riyadh - Office</v>
          </cell>
          <cell r="C176" t="str">
            <v>DAS office, Prince Abdulaziz Ibn Musaid Ibn Jalawi St, Al Olaya, Riyadh</v>
          </cell>
          <cell r="D176" t="str">
            <v>https://maps.app.goo.gl/LYWNHXmeyKraPntj8</v>
          </cell>
          <cell r="E176" t="str">
            <v>Ashraf Alwaisy</v>
          </cell>
          <cell r="F176" t="str">
            <v>+966542900121</v>
          </cell>
          <cell r="G176" t="str">
            <v>aal@das1-sa.com</v>
          </cell>
          <cell r="I176" t="str">
            <v>Ahmed Alwaisy</v>
          </cell>
          <cell r="J176" t="str">
            <v>+966548993398</v>
          </cell>
        </row>
        <row r="177">
          <cell r="A177" t="str">
            <v>DAR ALSULIMANIAH FOR TRADING</v>
          </cell>
          <cell r="C177">
            <v>0</v>
          </cell>
          <cell r="D177">
            <v>0</v>
          </cell>
          <cell r="E177" t="str">
            <v>Ausman</v>
          </cell>
          <cell r="F177" t="str">
            <v>+966580252940</v>
          </cell>
        </row>
        <row r="178">
          <cell r="A178" t="str">
            <v xml:space="preserve">Dar AlSulimaniah FOR TRADING </v>
          </cell>
          <cell r="B178" t="str">
            <v>Riyadh</v>
          </cell>
        </row>
        <row r="179">
          <cell r="A179" t="str">
            <v>Dar Delta For Information Technolog</v>
          </cell>
          <cell r="C179" t="str">
            <v xml:space="preserve"> Valley, Al Malqa, Riyadh </v>
          </cell>
          <cell r="D179" t="str">
            <v>https://maps.app.goo.gl/BuGkcMgBCi5kkh3u6</v>
          </cell>
          <cell r="E179" t="str">
            <v>Salam Hilabi</v>
          </cell>
          <cell r="F179" t="str">
            <v>+966500370798</v>
          </cell>
        </row>
        <row r="180">
          <cell r="A180" t="str">
            <v>Dar Delta For Information Technology</v>
          </cell>
          <cell r="B180" t="str">
            <v>Riyadh - Office</v>
          </cell>
          <cell r="C180" t="str">
            <v>Al Munsiyah District, An Najah St, Riyadh</v>
          </cell>
          <cell r="D180" t="str">
            <v>https://goo.gl/maps/KJPke2J2WLaEEejH7</v>
          </cell>
          <cell r="E180" t="str">
            <v>Moyaser Elfaki</v>
          </cell>
          <cell r="F180" t="str">
            <v>+966544975429</v>
          </cell>
          <cell r="G180" t="str">
            <v xml:space="preserve">moyaser@dardelta.com.sa </v>
          </cell>
        </row>
        <row r="181">
          <cell r="A181" t="str">
            <v>Dar Delta For Information Technology</v>
          </cell>
          <cell r="B181" t="str">
            <v>Riyadh - Warehouse</v>
          </cell>
          <cell r="C181" t="str">
            <v>Ar Rimal, Riyadh</v>
          </cell>
          <cell r="D181" t="str">
            <v>https://maps.app.goo.gl/296NQPKz6GRkQ3vF7</v>
          </cell>
          <cell r="E181" t="str">
            <v>Kashif Ahmad</v>
          </cell>
          <cell r="F181" t="str">
            <v>+966503548903</v>
          </cell>
          <cell r="G181" t="str">
            <v>kashif@dardelta.com.sa</v>
          </cell>
          <cell r="H181" t="str">
            <v>Store keeper</v>
          </cell>
          <cell r="I181" t="str">
            <v>Moyaser Elfaki</v>
          </cell>
          <cell r="J181" t="str">
            <v>+966544975429</v>
          </cell>
        </row>
        <row r="182">
          <cell r="A182" t="str">
            <v>Datacore Solutions</v>
          </cell>
          <cell r="B182" t="str">
            <v>Riyadh</v>
          </cell>
        </row>
        <row r="183">
          <cell r="A183" t="str">
            <v>Datalink Trading Company</v>
          </cell>
          <cell r="B183" t="str">
            <v>Riyadh</v>
          </cell>
          <cell r="C183" t="str">
            <v>Exit-18 Sulay, Riyadh</v>
          </cell>
          <cell r="D183" t="str">
            <v>https://maps.app.goo.gl/Mr93BZDb5yezwj559</v>
          </cell>
          <cell r="E183" t="str">
            <v>Al Tayeb</v>
          </cell>
          <cell r="F183" t="str">
            <v>+966583494303</v>
          </cell>
          <cell r="H183" t="str">
            <v>Store keeper</v>
          </cell>
          <cell r="I183" t="str">
            <v>Sameh Khalid</v>
          </cell>
          <cell r="J183" t="str">
            <v>+966590226997</v>
          </cell>
        </row>
        <row r="184">
          <cell r="A184" t="str">
            <v>Date Sec For Cyber Security</v>
          </cell>
        </row>
        <row r="185">
          <cell r="A185" t="str">
            <v>Delta Gulf</v>
          </cell>
        </row>
        <row r="186">
          <cell r="A186" t="str">
            <v>DESERT FLOWERS TRADING</v>
          </cell>
          <cell r="C186">
            <v>0</v>
          </cell>
          <cell r="D186">
            <v>0</v>
          </cell>
          <cell r="E186" t="str">
            <v>Nizamodin</v>
          </cell>
          <cell r="F186" t="str">
            <v>+966592564104</v>
          </cell>
        </row>
        <row r="187">
          <cell r="A187" t="str">
            <v>Desert Technologies Industries Co. Ltd - DT</v>
          </cell>
          <cell r="B187" t="str">
            <v>Jeddah</v>
          </cell>
          <cell r="C187" t="str">
            <v>DT Warehouse, Ad Dahiah, Jeddah</v>
          </cell>
          <cell r="D187" t="str">
            <v>https://maps.app.goo.gl/6pyUberhM6WQNC1E8</v>
          </cell>
          <cell r="E187" t="str">
            <v xml:space="preserve">Eman </v>
          </cell>
          <cell r="F187" t="str">
            <v>+966544122040</v>
          </cell>
          <cell r="G187" t="str">
            <v>eman@desert-technologies.com</v>
          </cell>
        </row>
        <row r="188">
          <cell r="A188" t="str">
            <v>Design and Build Contracting Company</v>
          </cell>
        </row>
        <row r="189">
          <cell r="A189" t="str">
            <v>DETECON AL SAUDIA CO. LTD - DETASAD</v>
          </cell>
          <cell r="B189" t="str">
            <v>Riyadh</v>
          </cell>
          <cell r="C189" t="str">
            <v>Detasad Warehouse BU-MS, Riyadh, KSA</v>
          </cell>
          <cell r="D189" t="str">
            <v>https://goo.gl/maps/UGAmxVn46eTZPj9N9</v>
          </cell>
          <cell r="E189" t="str">
            <v>Hasnain</v>
          </cell>
          <cell r="F189" t="str">
            <v>+966 50 016 8401</v>
          </cell>
          <cell r="G189" t="str">
            <v>Muhammad.Hasnain@detasad.com</v>
          </cell>
        </row>
        <row r="190">
          <cell r="A190" t="str">
            <v>DGIT</v>
          </cell>
          <cell r="C190" t="str">
            <v>Imam Saud Bin Abdulaziz Bin Mohammed Rd, At Taawun, Riyadh 12473</v>
          </cell>
          <cell r="D190" t="str">
            <v>https://maps.app.goo.gl/kqKWxXECjZ1TwUgX9</v>
          </cell>
          <cell r="E190" t="str">
            <v>~Moneer</v>
          </cell>
          <cell r="F190" t="str">
            <v>‪+966555062177‬</v>
          </cell>
          <cell r="I190" t="str">
            <v>Anas AlQudsi</v>
          </cell>
          <cell r="J190" t="str">
            <v>‪+966 50 269 5895</v>
          </cell>
        </row>
        <row r="191">
          <cell r="A191" t="str">
            <v>DHL Supply Chain Ltd</v>
          </cell>
          <cell r="C191">
            <v>0</v>
          </cell>
          <cell r="D191">
            <v>0</v>
          </cell>
          <cell r="E191">
            <v>0</v>
          </cell>
          <cell r="F191" t="str">
            <v>+966558883468</v>
          </cell>
        </row>
        <row r="192">
          <cell r="A192" t="str">
            <v>Digital Myth Solutions</v>
          </cell>
        </row>
        <row r="193">
          <cell r="A193" t="str">
            <v>Digital Vally - Al-Voip</v>
          </cell>
          <cell r="B193" t="str">
            <v>Dammam</v>
          </cell>
          <cell r="C193" t="str">
            <v>Digital Vally Office, King Khaled St, Al Tubayshi, Dammam</v>
          </cell>
          <cell r="D193" t="str">
            <v>https://maps.app.goo.gl/1Gnqmg4w4yiKDr4d9</v>
          </cell>
          <cell r="E193" t="str">
            <v>Mujtaba Alsaif</v>
          </cell>
          <cell r="F193" t="str">
            <v>+966546881027</v>
          </cell>
          <cell r="G193" t="str">
            <v>m.alsaif@al-voip.com</v>
          </cell>
          <cell r="H193" t="str">
            <v>General Manager</v>
          </cell>
        </row>
        <row r="194">
          <cell r="A194" t="str">
            <v>DOLLOUNI Business Solutions Est.</v>
          </cell>
          <cell r="C194" t="str">
            <v>Tower-A Bin.Hadi Commercial Center Baladiah Street, Aziziah Dist. Jeddah</v>
          </cell>
          <cell r="D194">
            <v>0</v>
          </cell>
          <cell r="E194" t="str">
            <v>GIZA OTHMAN</v>
          </cell>
          <cell r="F194" t="str">
            <v>+966544911110</v>
          </cell>
        </row>
        <row r="195">
          <cell r="A195" t="str">
            <v>Dulaim Arabia Limited Company</v>
          </cell>
        </row>
        <row r="196">
          <cell r="A196" t="str">
            <v>Dulb Trading &amp; Contracting Co. Ltd.</v>
          </cell>
        </row>
        <row r="197">
          <cell r="A197" t="str">
            <v>Durrah Aghizat Alhaseeb</v>
          </cell>
          <cell r="C197" t="str">
            <v xml:space="preserve">Olaya computer market </v>
          </cell>
          <cell r="D197" t="str">
            <v>https://maps.app.goo.gl/PR4MtwSappWnLcYh8</v>
          </cell>
          <cell r="E197" t="str">
            <v xml:space="preserve"> Mohammed</v>
          </cell>
          <cell r="F197" t="str">
            <v>+966530157025</v>
          </cell>
        </row>
        <row r="198">
          <cell r="A198" t="str">
            <v>Durrah Technology</v>
          </cell>
        </row>
        <row r="199">
          <cell r="A199" t="str">
            <v>Easy Technology</v>
          </cell>
          <cell r="C199" t="str">
            <v>Omar Ibn Al Khattab Road Omar Ibn Al Khattab Rd, 8088, Al Malaz, Riyadh 12644</v>
          </cell>
          <cell r="D199" t="str">
            <v>https://maps.app.goo.gl/sqq82XbvETyk7b5v5</v>
          </cell>
          <cell r="E199" t="str">
            <v xml:space="preserve">Ahmad Gaber </v>
          </cell>
          <cell r="F199" t="str">
            <v>+966599338856</v>
          </cell>
        </row>
        <row r="200">
          <cell r="A200" t="str">
            <v>Easy Technology - ETECHS</v>
          </cell>
          <cell r="B200" t="str">
            <v>Riyadh</v>
          </cell>
          <cell r="C200" t="str">
            <v>Olaya avenue  2nd floor office number 4005, Riyadh, KSA</v>
          </cell>
          <cell r="D200" t="str">
            <v>24°42'45.1"N 46°40'21.1"E</v>
          </cell>
          <cell r="E200" t="str">
            <v xml:space="preserve">Ahmad Gaber </v>
          </cell>
          <cell r="F200" t="str">
            <v>+966599338856</v>
          </cell>
          <cell r="I200" t="str">
            <v>Mrs. Lama</v>
          </cell>
          <cell r="J200" t="str">
            <v>+966559393290</v>
          </cell>
        </row>
        <row r="201">
          <cell r="A201" t="str">
            <v>Easylink Telecom And Information</v>
          </cell>
        </row>
        <row r="202">
          <cell r="A202" t="str">
            <v>Ebttikar Technology Company Limited</v>
          </cell>
          <cell r="B202" t="str">
            <v>Riyadh</v>
          </cell>
          <cell r="C202" t="str">
            <v>Istanbul Street, Next to Nadec Signal, Sulay, Riyadh, KSA</v>
          </cell>
          <cell r="D202" t="str">
            <v>https://maps.app.goo.gl/KhyW4efUt8P9Dgbq7</v>
          </cell>
          <cell r="E202" t="str">
            <v>Mohammed Yasin</v>
          </cell>
          <cell r="F202" t="str">
            <v>+966507976290</v>
          </cell>
          <cell r="G202" t="str">
            <v>yasin@ntg.com.sa</v>
          </cell>
          <cell r="I202" t="str">
            <v>Ahmed Mustafa</v>
          </cell>
          <cell r="J202" t="str">
            <v>+966570519757</v>
          </cell>
        </row>
        <row r="203">
          <cell r="A203" t="str">
            <v>ECOTEL TELECOM CO</v>
          </cell>
        </row>
        <row r="204">
          <cell r="A204" t="str">
            <v>EION WAVES EST.</v>
          </cell>
          <cell r="C204" t="str">
            <v>3137، 8974 الامير عبدالعزيز بن مساعد بن جلوي، المربع، الرياض 12631</v>
          </cell>
          <cell r="D204" t="str">
            <v>https://maps.app.goo.gl/Nmid8T3FxsjAreEy8</v>
          </cell>
          <cell r="E204" t="str">
            <v>Bander Al Sarmi</v>
          </cell>
          <cell r="F204" t="str">
            <v> +966554577070</v>
          </cell>
        </row>
        <row r="205">
          <cell r="A205" t="str">
            <v>Ejada Systems LTD.</v>
          </cell>
        </row>
        <row r="206">
          <cell r="A206" t="str">
            <v>El Seif Engineering Contracting Co</v>
          </cell>
          <cell r="C206" t="str">
            <v xml:space="preserve">Al Moqbel Palaces, Water theme park </v>
          </cell>
          <cell r="D206" t="str">
            <v>https://maps.app.goo.gl/hoQARL6P9vkMiVW96</v>
          </cell>
          <cell r="E206" t="str">
            <v xml:space="preserve">Eng. Mahmoud </v>
          </cell>
          <cell r="F206" t="str">
            <v> 054-166-8971</v>
          </cell>
          <cell r="I206" t="str">
            <v>Shabeer Av</v>
          </cell>
          <cell r="J206" t="str">
            <v>+966599694422</v>
          </cell>
        </row>
        <row r="207">
          <cell r="A207" t="str">
            <v>EL-Ajou Group Trading Co.</v>
          </cell>
          <cell r="E207" t="str">
            <v xml:space="preserve">Diaa Ahmed </v>
          </cell>
          <cell r="F207" t="str">
            <v>+966535982326</v>
          </cell>
          <cell r="G207" t="str">
            <v>dalajou@elajougroup.com</v>
          </cell>
        </row>
        <row r="208">
          <cell r="A208" t="str">
            <v>Electric Current Corporation EST.</v>
          </cell>
          <cell r="C208" t="str">
            <v xml:space="preserve"> Al-Manakh, Riyadh</v>
          </cell>
          <cell r="D208" t="str">
            <v>https://maps.app.goo.gl/sTcq4TVjXKkwj13H8</v>
          </cell>
          <cell r="E208" t="str">
            <v xml:space="preserve">Mohammed </v>
          </cell>
          <cell r="F208" t="str">
            <v>+966550031299</v>
          </cell>
        </row>
        <row r="209">
          <cell r="A209" t="str">
            <v>Electric House Trading Company</v>
          </cell>
          <cell r="B209" t="str">
            <v>Riyadh</v>
          </cell>
          <cell r="C209" t="str">
            <v>HV42+MF2, Taybah, Riyadh 14523</v>
          </cell>
          <cell r="D209" t="str">
            <v>https://maps.app.goo.gl/ijsb4avXvycujxw3A</v>
          </cell>
          <cell r="E209" t="str">
            <v>Ali Mustafa Salem</v>
          </cell>
          <cell r="F209" t="str">
            <v>+966547226484</v>
          </cell>
          <cell r="G209" t="str">
            <v>mustafa.salem@electric-house.com</v>
          </cell>
        </row>
        <row r="210">
          <cell r="A210" t="str">
            <v>Electrical Automation Saudi Arabian</v>
          </cell>
          <cell r="B210" t="str">
            <v>Dammam</v>
          </cell>
          <cell r="C210" t="str">
            <v>16th Street, 2nd Industrial City, Dammam, Saudi Arabia</v>
          </cell>
          <cell r="D210" t="str">
            <v>https://goo.gl/maps/82JHiTp3C7hykXAPA</v>
          </cell>
          <cell r="E210" t="str">
            <v>Sunil Gupta</v>
          </cell>
          <cell r="F210" t="str">
            <v>+966562826948</v>
          </cell>
          <cell r="G210" t="str">
            <v>Sunil.Gupta@lntebg.com</v>
          </cell>
          <cell r="I210" t="str">
            <v>Alex</v>
          </cell>
          <cell r="J210" t="str">
            <v>+966546742359</v>
          </cell>
        </row>
        <row r="211">
          <cell r="A211" t="str">
            <v>Electrical Engineering Solutions Es</v>
          </cell>
          <cell r="C211" t="str">
            <v>Rd 272, Industrial Area, Al Jubail 35721</v>
          </cell>
          <cell r="D211" t="str">
            <v>https://maps.app.goo.gl/tUc8AQGdgJKvW8S86</v>
          </cell>
          <cell r="E211" t="str">
            <v>Mahmoud Abdultawab</v>
          </cell>
          <cell r="F211" t="str">
            <v>+966544229659</v>
          </cell>
        </row>
        <row r="212">
          <cell r="A212" t="str">
            <v>Electronic Company for High Technology - ALIA ICT</v>
          </cell>
        </row>
        <row r="213">
          <cell r="A213" t="str">
            <v>Electronic Special Equipment Co. - ESE</v>
          </cell>
          <cell r="B213" t="str">
            <v>Riyadh</v>
          </cell>
          <cell r="C213" t="str">
            <v>Al Bakriah Street, Said Ahmed Al Ajou (JVC) Warehouse - Exit 17, Al Faisaliyyah, Riyadh</v>
          </cell>
          <cell r="D213" t="str">
            <v>https://goo.gl/maps/HX2Y1d73bSnvoQtk8</v>
          </cell>
          <cell r="E213" t="str">
            <v>Mahmoud Alsaoudi</v>
          </cell>
          <cell r="F213" t="str">
            <v>+966542423245</v>
          </cell>
          <cell r="I213" t="str">
            <v>Mr. Waleed</v>
          </cell>
          <cell r="J213" t="str">
            <v>+966534682932</v>
          </cell>
        </row>
        <row r="214">
          <cell r="A214" t="str">
            <v>Elite Pro Touch of Excellence</v>
          </cell>
          <cell r="B214" t="str">
            <v>Dammam</v>
          </cell>
          <cell r="C214" t="str">
            <v>Al Badiyah, Dammam, KSA</v>
          </cell>
          <cell r="E214" t="str">
            <v>0567563032</v>
          </cell>
        </row>
        <row r="215">
          <cell r="A215" t="str">
            <v>Elm International Company Ltd</v>
          </cell>
          <cell r="C215" t="str">
            <v>Makkah Alawali</v>
          </cell>
          <cell r="D215" t="str">
            <v>https://maps.app.goo.gl/GBqU6PHCe2dEqyDx8</v>
          </cell>
          <cell r="E215" t="str">
            <v>Eng. Hussam Taimah</v>
          </cell>
          <cell r="F215" t="str">
            <v>0564541496-0550712330</v>
          </cell>
        </row>
        <row r="216">
          <cell r="A216" t="str">
            <v>EMAAR Executives Contracting - EEC</v>
          </cell>
          <cell r="B216" t="str">
            <v>Riyadh - warehouse</v>
          </cell>
          <cell r="C216" t="str">
            <v>EEC Warehouse, Kafur, Al Murabba, Riyadh, Saudi Arabia</v>
          </cell>
          <cell r="D216" t="str">
            <v>https://goo.gl/maps/QXEZCRjnKjXahwpz9</v>
          </cell>
          <cell r="E216" t="str">
            <v>Mohamed Parwez</v>
          </cell>
          <cell r="F216" t="str">
            <v>‪+966 59 644 9134‬,0561471589</v>
          </cell>
          <cell r="I216" t="str">
            <v>Ahmed Shaltaf</v>
          </cell>
          <cell r="J216" t="str">
            <v>+966 59 978 8432</v>
          </cell>
        </row>
        <row r="217">
          <cell r="A217" t="str">
            <v>EMAAR Executives Contracting - EEC</v>
          </cell>
          <cell r="B217" t="str">
            <v>Riyadh - HO</v>
          </cell>
          <cell r="C217" t="str">
            <v>EEC Office, King Abdul Aziz Branch Rd, Al Muruj, Riyadh</v>
          </cell>
          <cell r="D217" t="str">
            <v>https://goo.gl/maps/5oyqDoBEk9f9GN48A</v>
          </cell>
          <cell r="E217" t="str">
            <v>Aldrin De Leon</v>
          </cell>
          <cell r="F217" t="str">
            <v>+966509192095</v>
          </cell>
          <cell r="G217" t="str">
            <v>aldrin@eec-it.sa</v>
          </cell>
          <cell r="H217" t="str">
            <v>Supply Chain Coordinator</v>
          </cell>
        </row>
        <row r="218">
          <cell r="A218" t="str">
            <v>EMDAD DIGITAL</v>
          </cell>
          <cell r="C218" t="str">
            <v>XP43+323, King Khalid International Airport, Riyadh 13458</v>
          </cell>
          <cell r="D218" t="str">
            <v>https://maps.app.goo.gl/58R9rE8sMZecKgzm6</v>
          </cell>
          <cell r="E218" t="str">
            <v>Amr Saleh Sigma/Emdad DG</v>
          </cell>
          <cell r="F218" t="str">
            <v>+966562794631</v>
          </cell>
        </row>
        <row r="219">
          <cell r="A219" t="str">
            <v>Emdad Solutions for ICT Co.</v>
          </cell>
          <cell r="B219" t="str">
            <v>Riyadh</v>
          </cell>
          <cell r="C219" t="str">
            <v>Emdad New Office, Al wurud, Riyadh</v>
          </cell>
          <cell r="D219" t="str">
            <v>https://maps.app.goo.gl/BiFwnVGeW5E624LA6</v>
          </cell>
          <cell r="E219" t="str">
            <v>Muzammil Sharief</v>
          </cell>
          <cell r="F219" t="str">
            <v>+966 54 418 0252</v>
          </cell>
          <cell r="G219" t="str">
            <v>msa@emdadsol.com</v>
          </cell>
          <cell r="I219" t="str">
            <v>Mohammed Irfan</v>
          </cell>
          <cell r="J219" t="str">
            <v>+966548102109</v>
          </cell>
        </row>
        <row r="220">
          <cell r="A220" t="str">
            <v>Energy Assurance Trading Est.</v>
          </cell>
        </row>
        <row r="221">
          <cell r="A221" t="str">
            <v>Enjaz Communication</v>
          </cell>
          <cell r="B221" t="str">
            <v>Jeddah</v>
          </cell>
          <cell r="C221" t="str">
            <v>Enjaz office, Al Sulaymaniyah, Jeddah</v>
          </cell>
          <cell r="D221" t="str">
            <v>https://maps.app.goo.gl/vzhPpyTY9BPM6c699</v>
          </cell>
          <cell r="E221" t="str">
            <v>Ahmed Alghuzawi</v>
          </cell>
          <cell r="F221" t="str">
            <v>+966507257573</v>
          </cell>
          <cell r="G221" t="str">
            <v>a.alghuzawi@enjazcomm.com</v>
          </cell>
          <cell r="H221" t="str">
            <v xml:space="preserve">Projects Manager </v>
          </cell>
        </row>
        <row r="222">
          <cell r="A222" t="str">
            <v xml:space="preserve">Enjaz Tech Trading </v>
          </cell>
        </row>
        <row r="223">
          <cell r="A223" t="str">
            <v>Entashaar</v>
          </cell>
          <cell r="B223" t="str">
            <v>Riyadh</v>
          </cell>
          <cell r="C223" t="str">
            <v>Al Raed, Urubah Rd, Riyadh</v>
          </cell>
          <cell r="D223" t="str">
            <v>https://maps.app.goo.gl/wAv3ALFJE4MRG1hs6</v>
          </cell>
          <cell r="E223" t="str">
            <v>Walid Saleh</v>
          </cell>
          <cell r="F223" t="str">
            <v>+966504497705</v>
          </cell>
          <cell r="G223" t="str">
            <v>w.saleh@entshaar.com</v>
          </cell>
          <cell r="I223" t="str">
            <v>Sharif Abdulaziz</v>
          </cell>
          <cell r="J223" t="str">
            <v>+966533415752</v>
          </cell>
        </row>
        <row r="224">
          <cell r="A224" t="str">
            <v>ENTER TELECOM SERVICES</v>
          </cell>
        </row>
        <row r="225">
          <cell r="A225" t="str">
            <v>Enwan Technology Co.</v>
          </cell>
          <cell r="B225" t="str">
            <v>Madinah</v>
          </cell>
          <cell r="C225" t="str">
            <v>Madinah, Saudi Arabia</v>
          </cell>
          <cell r="E225" t="str">
            <v>Nashat</v>
          </cell>
          <cell r="F225" t="str">
            <v>+966568699713</v>
          </cell>
          <cell r="I225" t="str">
            <v>Mahmoud ZainElDeen</v>
          </cell>
          <cell r="J225" t="str">
            <v>+966546994282</v>
          </cell>
        </row>
        <row r="226">
          <cell r="A226" t="str">
            <v>ENZAR Operation &amp; Maintenance Co.L</v>
          </cell>
          <cell r="C226" t="str">
            <v>RHSA 8276, 8276 Taha Hussain, 3291، حي السليمانية، Riyadh 12223, Saudi Arabia</v>
          </cell>
          <cell r="D226" t="str">
            <v>https://maps.app.goo.gl/k9roizsFcrhL4z5x5</v>
          </cell>
          <cell r="E226" t="str">
            <v>abdulrhman</v>
          </cell>
          <cell r="F226" t="str">
            <v>+966593502914</v>
          </cell>
        </row>
        <row r="227">
          <cell r="A227" t="str">
            <v>EQUIPMENT FORCE TRD EST.</v>
          </cell>
        </row>
        <row r="228">
          <cell r="A228" t="str">
            <v>Ersal Contracting  Est.</v>
          </cell>
        </row>
        <row r="229">
          <cell r="A229" t="str">
            <v>Eshraq Aljazeera Technologies-EJ TECH</v>
          </cell>
          <cell r="B229" t="str">
            <v>Riyadh - WH</v>
          </cell>
          <cell r="C229" t="str">
            <v>As Sulay، 8065، 3219, Riyadh 14275</v>
          </cell>
          <cell r="D229" t="str">
            <v>https://maps.app.goo.gl/Nqw2trsEzbWXrLjy9</v>
          </cell>
          <cell r="E229" t="str">
            <v>Abdulkarem </v>
          </cell>
          <cell r="F229" t="str">
            <v>+966550334123</v>
          </cell>
        </row>
        <row r="230">
          <cell r="A230" t="str">
            <v>Est Abdalla Heba for security Surve</v>
          </cell>
          <cell r="C230" t="str">
            <v>QHCF+R64 Diriyah</v>
          </cell>
          <cell r="D230" t="str">
            <v>https://maps.app.goo.gl/cRo2ux6NCgmD7BmC7</v>
          </cell>
          <cell r="E230" t="str">
            <v>Mohammed Ibrahim</v>
          </cell>
          <cell r="F230" t="str">
            <v>+966549008929</v>
          </cell>
        </row>
        <row r="231">
          <cell r="A231" t="str">
            <v>Establishment &amp; Finishing Company</v>
          </cell>
        </row>
        <row r="232">
          <cell r="A232" t="str">
            <v>ESTABLISHMENT ALABAD ALMUKAABA ALF</v>
          </cell>
          <cell r="C232" t="str">
            <v>7632+VRQ Al Khobar</v>
          </cell>
          <cell r="D232" t="str">
            <v>https://maps.app.goo.gl/NHQeLvJLzrdUtzJb8</v>
          </cell>
          <cell r="E232" t="str">
            <v>Zohaib Aslam Malik</v>
          </cell>
          <cell r="F232" t="str">
            <v>+966501039324</v>
          </cell>
        </row>
        <row r="233">
          <cell r="A233" t="str">
            <v xml:space="preserve">ESTABLISHMENT ALABAD ALMUKAABA ALFESTABLISHMENT </v>
          </cell>
          <cell r="C233" t="str">
            <v>7632+VRQ Al Khobar</v>
          </cell>
          <cell r="D233" t="str">
            <v>https://maps.app.goo.gl/NHQeLvJLzrdUtzJb8</v>
          </cell>
          <cell r="E233" t="str">
            <v>Zohaib Aslam Malik</v>
          </cell>
          <cell r="F233" t="str">
            <v>+966501039324</v>
          </cell>
        </row>
        <row r="234">
          <cell r="A234" t="str">
            <v>Establishment ANZAMA AL- NAWAA MOUHD</v>
          </cell>
          <cell r="C234" t="str">
            <v xml:space="preserve"> Al Malqa, Riyadh</v>
          </cell>
          <cell r="D234" t="str">
            <v>https://maps.app.goo.gl/TApMxNqHJvCTkqMUA</v>
          </cell>
          <cell r="E234" t="str">
            <v>Abdulrahman</v>
          </cell>
          <cell r="F234" t="str">
            <v>+966538018617</v>
          </cell>
        </row>
        <row r="235">
          <cell r="A235" t="str">
            <v>Etad Solutions</v>
          </cell>
          <cell r="C235" t="str">
            <v>QQVF+WFJ Al Yarmuk, Riyadh</v>
          </cell>
          <cell r="D235" t="str">
            <v>https://maps.app.goo.gl/ZWJBVvCCByTpP8Sf9</v>
          </cell>
          <cell r="E235" t="str">
            <v>Noor</v>
          </cell>
          <cell r="F235" t="str">
            <v>+966538791927</v>
          </cell>
        </row>
        <row r="236">
          <cell r="A236" t="str">
            <v>Etesalat Innovation</v>
          </cell>
          <cell r="B236" t="str">
            <v>Jeddah</v>
          </cell>
          <cell r="C236" t="str">
            <v xml:space="preserve">AS shati, King Abdul Aziz Rd, Amalkis Center, Jeddah, KSA </v>
          </cell>
          <cell r="D236" t="str">
            <v xml:space="preserve">https://goo.gl/maps/ntQvmdc4mFyRSxnE9 </v>
          </cell>
          <cell r="E236" t="str">
            <v>Hossam A. Saleh</v>
          </cell>
          <cell r="F236" t="str">
            <v>+966543000240</v>
          </cell>
          <cell r="G236" t="str">
            <v>hsaleh@etesalat-innovations.com</v>
          </cell>
          <cell r="H236" t="str">
            <v>Managing Director</v>
          </cell>
          <cell r="I236" t="str">
            <v>Kaber</v>
          </cell>
          <cell r="J236" t="str">
            <v>+966536004166</v>
          </cell>
        </row>
        <row r="237">
          <cell r="A237" t="str">
            <v>Evolving Constellation Co. for Energy</v>
          </cell>
        </row>
        <row r="238">
          <cell r="A238" t="str">
            <v>Ewan Human Resources Company</v>
          </cell>
          <cell r="B238" t="str">
            <v>Riyadh</v>
          </cell>
          <cell r="C238" t="str">
            <v>Almuruj, Riyadh, KSA</v>
          </cell>
          <cell r="D238" t="str">
            <v>https://maps.app.goo.gl/tGP7QqF2m7dqymLk8</v>
          </cell>
          <cell r="E238" t="str">
            <v xml:space="preserve">Mohammed </v>
          </cell>
          <cell r="F238" t="str">
            <v>+966550031299</v>
          </cell>
        </row>
        <row r="239">
          <cell r="A239" t="str">
            <v>Excellent Solutions</v>
          </cell>
          <cell r="C239" t="str">
            <v>PM7C+8WW Al Wurud, Riyadh</v>
          </cell>
          <cell r="D239" t="str">
            <v>https://maps.app.goo.gl/jyLMu8UTB3yQtdWPA</v>
          </cell>
          <cell r="E239" t="str">
            <v xml:space="preserve">Mr. Azam </v>
          </cell>
          <cell r="F239" t="str">
            <v>+966502841480</v>
          </cell>
          <cell r="I239" t="str">
            <v xml:space="preserve">Fazle Ahmed Danish </v>
          </cell>
          <cell r="J239" t="str">
            <v>+966569364950</v>
          </cell>
        </row>
        <row r="240">
          <cell r="A240" t="str">
            <v>Executive Corner Trading Co. - Kangaroo Tools</v>
          </cell>
          <cell r="B240" t="str">
            <v>Riyadh</v>
          </cell>
          <cell r="C240" t="str">
            <v>Prince Mamduh Bin Abdulaziz St, As Sulimaniyah, Riyadh</v>
          </cell>
          <cell r="D240" t="str">
            <v>https://maps.app.goo.gl/SE781BtEuWQZJwXy9</v>
          </cell>
          <cell r="E240" t="str">
            <v>Anas Wishah</v>
          </cell>
          <cell r="F240" t="str">
            <v>+966559614143</v>
          </cell>
          <cell r="G240" t="str">
            <v>+966509550053</v>
          </cell>
          <cell r="I240" t="str">
            <v>Ziad Jalal</v>
          </cell>
          <cell r="J240" t="str">
            <v>+966559389891</v>
          </cell>
        </row>
        <row r="241">
          <cell r="A241" t="str">
            <v>Expert Systems</v>
          </cell>
        </row>
        <row r="242">
          <cell r="A242" t="str">
            <v>Experts Academy Trading Est</v>
          </cell>
          <cell r="C242">
            <v>0</v>
          </cell>
          <cell r="D242">
            <v>0</v>
          </cell>
          <cell r="E242" t="str">
            <v xml:space="preserve">Ahmed </v>
          </cell>
          <cell r="I242" t="str">
            <v>Mahmoud rizk</v>
          </cell>
          <cell r="J242" t="str">
            <v>+966568789292</v>
          </cell>
        </row>
        <row r="243">
          <cell r="A243" t="str">
            <v>Fadera Information Technology</v>
          </cell>
          <cell r="C243" t="str">
            <v>Jeddah</v>
          </cell>
          <cell r="D243">
            <v>0</v>
          </cell>
          <cell r="E243" t="str">
            <v>Yousaf</v>
          </cell>
          <cell r="F243" t="str">
            <v>+966509446920</v>
          </cell>
        </row>
        <row r="244">
          <cell r="A244" t="str">
            <v>Fast Computers Trading Co.</v>
          </cell>
          <cell r="B244" t="str">
            <v>Riyadh</v>
          </cell>
          <cell r="C244" t="str">
            <v>Computer Market, Olaya St, Al Olaya, Riyadh</v>
          </cell>
          <cell r="D244" t="str">
            <v>https://maps.app.goo.gl/EZ8LFkZcKGHCPptKA</v>
          </cell>
          <cell r="E244" t="str">
            <v>Ali Gomaa</v>
          </cell>
          <cell r="F244" t="str">
            <v>+966563968357</v>
          </cell>
          <cell r="I244" t="str">
            <v>Mohamed Radwan</v>
          </cell>
          <cell r="J244" t="str">
            <v>+966549068568 </v>
          </cell>
        </row>
        <row r="245">
          <cell r="A245" t="str">
            <v>First Gulf Company</v>
          </cell>
          <cell r="B245" t="str">
            <v>Riyadh - HO</v>
          </cell>
          <cell r="C245" t="str">
            <v>Makkah Road, Opp. to King Fahad Medical City, Bld. 362 (2169) Gr Floor / 8047, Al Sulaymaniyah, Riyadh</v>
          </cell>
          <cell r="E245" t="str">
            <v>Khalid Walid</v>
          </cell>
          <cell r="F245" t="str">
            <v>+966554120715</v>
          </cell>
          <cell r="G245" t="str">
            <v>khalid.hussin@fgc.sa</v>
          </cell>
          <cell r="H245" t="str">
            <v>Senior Procurement Officer</v>
          </cell>
        </row>
        <row r="246">
          <cell r="A246" t="str">
            <v>First Gulf Company</v>
          </cell>
          <cell r="C246">
            <v>0</v>
          </cell>
          <cell r="D246">
            <v>0</v>
          </cell>
          <cell r="E246" t="str">
            <v>Irfan Khan</v>
          </cell>
          <cell r="F246" t="str">
            <v>+966551691157</v>
          </cell>
        </row>
        <row r="247">
          <cell r="A247" t="str">
            <v>Forat electronic systems co.</v>
          </cell>
          <cell r="C247">
            <v>0</v>
          </cell>
          <cell r="D247">
            <v>0</v>
          </cell>
        </row>
        <row r="248">
          <cell r="A248" t="str">
            <v>Forevision Trading Company</v>
          </cell>
          <cell r="C248" t="str">
            <v xml:space="preserve"> Makkah</v>
          </cell>
          <cell r="D248" t="str">
            <v>https://maps.app.goo.gl/3WoidmicLy9eBZsh9</v>
          </cell>
          <cell r="E248" t="str">
            <v xml:space="preserve">Engr. Mohamed Reda    </v>
          </cell>
          <cell r="F248" t="str">
            <v>+966543730993</v>
          </cell>
        </row>
        <row r="249">
          <cell r="A249" t="str">
            <v>Fouj Tech</v>
          </cell>
          <cell r="C249" t="str">
            <v>G59P+383, Khaled Ibn Al Walid، شارع عقبة بن نافع, Jeddah</v>
          </cell>
          <cell r="D249" t="str">
            <v>https://maps.app.goo.gl/J34mVKTn9yTqA22Z9</v>
          </cell>
          <cell r="E249" t="str">
            <v> Shahab Khan</v>
          </cell>
          <cell r="F249" t="str">
            <v> +966500592523   /  +966555922896</v>
          </cell>
        </row>
        <row r="250">
          <cell r="A250" t="str">
            <v>Four Links Trading Est Co.</v>
          </cell>
          <cell r="B250" t="str">
            <v>Jeddah</v>
          </cell>
          <cell r="C250" t="str">
            <v>Khalid Bin Walid St. Al Sharfiyah District, Jeddah</v>
          </cell>
          <cell r="E250" t="str">
            <v>Mohsin Khan Ghori</v>
          </cell>
          <cell r="F250" t="str">
            <v>+966546741666</v>
          </cell>
          <cell r="G250" t="str">
            <v>mghori@frlinks.com</v>
          </cell>
        </row>
        <row r="251">
          <cell r="A251" t="str">
            <v>Front Line Business Solutions</v>
          </cell>
          <cell r="B251" t="str">
            <v>Riyadh</v>
          </cell>
          <cell r="C251" t="str">
            <v>Kuwaiti Askan Building No.12, Dabbab Street, AL Olayya, Riyadh, KSA</v>
          </cell>
          <cell r="D251" t="str">
            <v>https://maps.app.goo.gl/CGJwvXfQWQ62t7eB8</v>
          </cell>
          <cell r="E251" t="str">
            <v>Muhammed Abdullah</v>
          </cell>
          <cell r="F251" t="str">
            <v>+966566362291</v>
          </cell>
          <cell r="G251" t="str">
            <v>m.abdullah@frontline.sa</v>
          </cell>
          <cell r="H251" t="str">
            <v>Procurement Manager</v>
          </cell>
          <cell r="I251" t="str">
            <v>Shahid Parvez</v>
          </cell>
          <cell r="J251" t="str">
            <v>+966563817369</v>
          </cell>
        </row>
        <row r="252">
          <cell r="A252" t="str">
            <v xml:space="preserve">Full Control for Information technology </v>
          </cell>
          <cell r="B252" t="str">
            <v>Khobar</v>
          </cell>
          <cell r="C252" t="str">
            <v>AL-KHOBAR</v>
          </cell>
          <cell r="E252" t="str">
            <v>Nazir</v>
          </cell>
          <cell r="F252" t="str">
            <v>+966509732383</v>
          </cell>
        </row>
        <row r="253">
          <cell r="A253" t="str">
            <v>Future path - Future projects</v>
          </cell>
          <cell r="C253" t="str">
            <v xml:space="preserve"> Dhul Hulaifah, Madinah 42393</v>
          </cell>
          <cell r="D253" t="str">
            <v>https://maps.app.goo.gl/pYeLbY8ee7rfrH3X6</v>
          </cell>
          <cell r="E253" t="str">
            <v>Abdullah Murad</v>
          </cell>
          <cell r="F253" t="str">
            <v>+966544424748</v>
          </cell>
        </row>
        <row r="254">
          <cell r="A254" t="str">
            <v>FUTURE POWER TRADING CO.</v>
          </cell>
          <cell r="C254">
            <v>0</v>
          </cell>
          <cell r="D254">
            <v>0</v>
          </cell>
          <cell r="E254" t="str">
            <v>Ahmed Kasem</v>
          </cell>
          <cell r="F254" t="str">
            <v>+</v>
          </cell>
        </row>
        <row r="255">
          <cell r="A255" t="str">
            <v>Future Solutions for Telecom &amp; IT</v>
          </cell>
          <cell r="B255" t="str">
            <v>Khobar</v>
          </cell>
          <cell r="C255" t="str">
            <v>Abdulaziz Bin Heteb St, Madinat Al Umal, Al Khobar, Saudi Arabia</v>
          </cell>
          <cell r="D255" t="str">
            <v>https://goo.gl/maps/q7ihCJo5Tpr5pLLcA</v>
          </cell>
          <cell r="E255" t="str">
            <v>Ritchie G. Dimaano</v>
          </cell>
          <cell r="F255" t="str">
            <v>+96655-860-8898</v>
          </cell>
          <cell r="G255" t="str">
            <v>ritchiedimaano@futsol.com.sa</v>
          </cell>
        </row>
        <row r="256">
          <cell r="A256" t="str">
            <v>Future technology LTD company</v>
          </cell>
          <cell r="C256" t="str">
            <v>WP75+VVH King Khalid International Airport, Riyadh</v>
          </cell>
          <cell r="D256" t="str">
            <v>https://maps.app.goo.gl/GdtrtFv4r6jY4fFc8</v>
          </cell>
          <cell r="E256" t="str">
            <v>Eng.Anwar</v>
          </cell>
          <cell r="F256" t="str">
            <v>+966593735022</v>
          </cell>
        </row>
        <row r="257">
          <cell r="A257" t="str">
            <v>Futuretech Limited CO</v>
          </cell>
          <cell r="B257" t="str">
            <v>Riyadh</v>
          </cell>
          <cell r="C257" t="str">
            <v>Abi Bakr As Siddiq Rd, Alyasmin, Riyadh, KSA</v>
          </cell>
          <cell r="D257" t="str">
            <v>https://goo.gl/maps/2kgjSW6eaeXURXmq5</v>
          </cell>
          <cell r="E257" t="str">
            <v xml:space="preserve">Abubaker </v>
          </cell>
          <cell r="F257" t="str">
            <v>+966 50 297 6963</v>
          </cell>
          <cell r="G257" t="str">
            <v>a.bamajboor@futuretech-group.com</v>
          </cell>
        </row>
        <row r="258">
          <cell r="A258" t="str">
            <v>FUZAIL ALARABIA</v>
          </cell>
        </row>
        <row r="259">
          <cell r="A259" t="str">
            <v>Gulf Applications Company - GAPP</v>
          </cell>
          <cell r="C259" t="str">
            <v>GAPP NEW Office</v>
          </cell>
          <cell r="D259" t="str">
            <v>https://maps.app.goo.gl/7FKScD2b5tSYfu1y9</v>
          </cell>
          <cell r="E259" t="str">
            <v>~Asad Ullah</v>
          </cell>
          <cell r="F259" t="str">
            <v>+966597270315</v>
          </cell>
        </row>
        <row r="260">
          <cell r="A260" t="str">
            <v>Gapp Swap Center</v>
          </cell>
        </row>
        <row r="261">
          <cell r="A261" t="str">
            <v>GATE ALFAIN TRADING CO.</v>
          </cell>
        </row>
        <row r="262">
          <cell r="A262" t="str">
            <v>Gate Systems</v>
          </cell>
          <cell r="B262" t="str">
            <v>Riyadh</v>
          </cell>
          <cell r="C262" t="str">
            <v>Olaya, Computer Market, Riyadh, KSA</v>
          </cell>
        </row>
        <row r="263">
          <cell r="A263" t="str">
            <v>Geer ICT Company</v>
          </cell>
          <cell r="B263" t="str">
            <v>Riyadh</v>
          </cell>
        </row>
        <row r="264">
          <cell r="A264" t="str">
            <v>G-Enviro Investment Co.</v>
          </cell>
          <cell r="B264" t="str">
            <v>Riyadh</v>
          </cell>
          <cell r="E264" t="str">
            <v>Mohamed Maly</v>
          </cell>
          <cell r="F264" t="str">
            <v>+966555165210</v>
          </cell>
          <cell r="G264" t="str">
            <v>mohammed.maly@g-enviro.com</v>
          </cell>
        </row>
        <row r="265">
          <cell r="A265" t="str">
            <v>Ghaya Sharqiah Information - GHITCO</v>
          </cell>
          <cell r="B265" t="str">
            <v>Riyadh</v>
          </cell>
          <cell r="E265" t="str">
            <v>Hesham Gouda</v>
          </cell>
          <cell r="F265" t="str">
            <v>+966561743572</v>
          </cell>
          <cell r="G265" t="str">
            <v>H.gouda@ghitco.com</v>
          </cell>
          <cell r="H265" t="str">
            <v>Procurement Head</v>
          </cell>
        </row>
        <row r="266">
          <cell r="A266" t="str">
            <v>Global Business Solutions - GBS</v>
          </cell>
          <cell r="B266" t="str">
            <v>Riyadh</v>
          </cell>
          <cell r="C266" t="str">
            <v>GBS Office, 1st Floor Al Mousa Tower, Al Olaya, Riyadh</v>
          </cell>
          <cell r="D266" t="str">
            <v>https://goo.gl/maps/Uor6XC4cRnm7Dxrh7</v>
          </cell>
          <cell r="E266" t="str">
            <v>Muhammed Thouseef</v>
          </cell>
          <cell r="F266" t="str">
            <v>+966536823439</v>
          </cell>
          <cell r="G266" t="str">
            <v>Thouseef@gbs.com.sa</v>
          </cell>
        </row>
        <row r="267">
          <cell r="A267" t="str">
            <v>Global Business Solutions - GBS</v>
          </cell>
          <cell r="B267" t="str">
            <v>Khobar</v>
          </cell>
          <cell r="C267" t="str">
            <v>GBS Office, King Abdul Aziz Street, Opp. ANB Regional Head Office, Khobar</v>
          </cell>
          <cell r="D267" t="str">
            <v>https://maps.app.goo.gl/fTnFeLsKwDA2rKmu7</v>
          </cell>
          <cell r="E267" t="str">
            <v>Noufal Nasar</v>
          </cell>
          <cell r="F267" t="str">
            <v>+966556025200</v>
          </cell>
          <cell r="G267" t="str">
            <v>Noufal@gbs.com.sa</v>
          </cell>
        </row>
        <row r="268">
          <cell r="A268" t="str">
            <v>Global Business Solutions - GBS</v>
          </cell>
          <cell r="B268" t="str">
            <v>Jeddah</v>
          </cell>
        </row>
        <row r="269">
          <cell r="A269" t="str">
            <v xml:space="preserve">GLOBAL TECH NETWORKING AND SOLUTION </v>
          </cell>
        </row>
        <row r="270">
          <cell r="A270" t="str">
            <v>Global Technologies Co. - GT</v>
          </cell>
          <cell r="B270" t="str">
            <v>Riyadh</v>
          </cell>
          <cell r="C270" t="str">
            <v>GT WH, AlMashael, Riyadh, KSA</v>
          </cell>
          <cell r="D270" t="str">
            <v>https://maps.app.goo.gl/GKk86XqyiimaQGop8</v>
          </cell>
          <cell r="E270" t="str">
            <v>Abdulrahim</v>
          </cell>
          <cell r="F270" t="str">
            <v>+966 56 726 0894</v>
          </cell>
          <cell r="H270" t="str">
            <v>Store Keeper</v>
          </cell>
          <cell r="I270" t="str">
            <v>Mohamed Ali</v>
          </cell>
          <cell r="J270" t="str">
            <v>+966532524107</v>
          </cell>
        </row>
        <row r="271">
          <cell r="A271" t="str">
            <v xml:space="preserve">Gold Star Information Technology </v>
          </cell>
          <cell r="B271" t="str">
            <v>Riyadh</v>
          </cell>
          <cell r="C271" t="str">
            <v>Al Muruj, Riyadh</v>
          </cell>
          <cell r="D271" t="str">
            <v>https://goo.gl/maps/Sm6LbCP9BAJE2MTL8</v>
          </cell>
          <cell r="E271" t="str">
            <v>+966 50 779 0060</v>
          </cell>
          <cell r="F271" t="str">
            <v>aymanokal@gstarit.com</v>
          </cell>
        </row>
        <row r="272">
          <cell r="A272" t="str">
            <v>Golden First Co.</v>
          </cell>
        </row>
        <row r="273">
          <cell r="A273" t="str">
            <v>GREEN TRADING COMPANY</v>
          </cell>
        </row>
        <row r="274">
          <cell r="A274" t="str">
            <v>Green Way Company Ltd</v>
          </cell>
          <cell r="C274" t="str">
            <v>Prince saud bin Abdul Aziz alkabeer street, Al Quds, Riyadh</v>
          </cell>
          <cell r="D274" t="str">
            <v>https://maps.app.goo.gl/hKqoML5z1KigKbyeA</v>
          </cell>
          <cell r="E274" t="str">
            <v>Mustafa Hussain</v>
          </cell>
          <cell r="F274" t="str">
            <v>+966543210853</v>
          </cell>
          <cell r="I274" t="str">
            <v>Ahmad nassar</v>
          </cell>
          <cell r="J274" t="str">
            <v>+966 55 121 8823</v>
          </cell>
        </row>
        <row r="275">
          <cell r="A275" t="str">
            <v>Gulf Applications Company - GAPP</v>
          </cell>
          <cell r="B275" t="str">
            <v>Riyadh - Head Office</v>
          </cell>
          <cell r="C275" t="str">
            <v>GAPP Office, Apartment 5001, 50th Floor, Orubah Street, Riyadh, KSA</v>
          </cell>
          <cell r="D275" t="str">
            <v>https://goo.gl/maps/YYLzkKzmByTNbMYZ7</v>
          </cell>
          <cell r="E275" t="str">
            <v>Samer Wathaifi</v>
          </cell>
          <cell r="F275" t="str">
            <v>+966 55 297 5001</v>
          </cell>
          <cell r="G275" t="str">
            <v>samer@gapp.com.sa</v>
          </cell>
          <cell r="I275" t="str">
            <v>Aamir Farooq</v>
          </cell>
          <cell r="J275" t="str">
            <v>+966593356731</v>
          </cell>
        </row>
        <row r="276">
          <cell r="A276" t="str">
            <v>Gulf Applications Company - GAPP</v>
          </cell>
          <cell r="B276" t="str">
            <v>Riyadh - WH1</v>
          </cell>
          <cell r="C276" t="str">
            <v>Main warehouse, Muhammad Ibn Al Bashir Street, As Sulay district, Riyadh</v>
          </cell>
          <cell r="D276" t="str">
            <v>https://maps.app.goo.gl/Vshbf7Yr9EGazK7g6</v>
          </cell>
          <cell r="E276" t="str">
            <v>Prabin Subedi</v>
          </cell>
          <cell r="F276" t="str">
            <v>+966552807139</v>
          </cell>
          <cell r="G276" t="str">
            <v>prs@gapp.com.sa</v>
          </cell>
          <cell r="I276" t="str">
            <v>Deepak Sharma</v>
          </cell>
          <cell r="J276" t="str">
            <v>+966570847252</v>
          </cell>
        </row>
        <row r="277">
          <cell r="A277" t="str">
            <v>Gulf Applications Company - GAPP</v>
          </cell>
          <cell r="B277" t="str">
            <v>Riyadh - WH2</v>
          </cell>
          <cell r="C277" t="str">
            <v>GAPP 2nd Store, AlManakh, Riyadh</v>
          </cell>
          <cell r="D277" t="str">
            <v>https://maps.app.goo.gl/3uUUo1kfs4D6Xkxm8</v>
          </cell>
          <cell r="E277" t="str">
            <v>Deepak Sharma</v>
          </cell>
          <cell r="F277" t="str">
            <v>+966570847252</v>
          </cell>
          <cell r="G277" t="str">
            <v>prs@gapp.com.sa</v>
          </cell>
          <cell r="I277" t="str">
            <v>Ibrahim Othman</v>
          </cell>
          <cell r="J277" t="str">
            <v>+966537876546</v>
          </cell>
        </row>
        <row r="278">
          <cell r="A278" t="str">
            <v>Gulf Applications Company - GAPP</v>
          </cell>
          <cell r="B278" t="str">
            <v>Riyadh - WH3</v>
          </cell>
          <cell r="C278" t="str">
            <v>GAPP 3rd Store, As sulay, Riyadh</v>
          </cell>
          <cell r="D278" t="str">
            <v>https://maps.app.goo.gl/1dv7SPsVQWFRGQE7A</v>
          </cell>
          <cell r="E278" t="str">
            <v>Deepak Sharma</v>
          </cell>
          <cell r="F278" t="str">
            <v>+966570847252</v>
          </cell>
          <cell r="G278" t="str">
            <v>prs@gapp.com.sa</v>
          </cell>
          <cell r="I278" t="str">
            <v>Ibrahim Othman</v>
          </cell>
          <cell r="J278" t="str">
            <v>+966537876546</v>
          </cell>
        </row>
        <row r="279">
          <cell r="A279" t="str">
            <v>Gulf Applications Company - GAPP</v>
          </cell>
          <cell r="B279" t="str">
            <v>SE - RMA</v>
          </cell>
          <cell r="C279" t="str">
            <v>Near AJEX New hub, As Sulay, Riyadh</v>
          </cell>
          <cell r="D279" t="str">
            <v>https://maps.app.goo.gl/1R6A7egLWjuSWB2A6</v>
          </cell>
          <cell r="E279" t="str">
            <v>Ibrahim Othman</v>
          </cell>
          <cell r="F279" t="str">
            <v>+966537876546</v>
          </cell>
          <cell r="G279" t="str">
            <v>ibrahim@gapp.com.sa</v>
          </cell>
          <cell r="I279" t="str">
            <v>Deepak Sharma</v>
          </cell>
          <cell r="J279" t="str">
            <v>+966570847252</v>
          </cell>
        </row>
        <row r="280">
          <cell r="A280" t="str">
            <v>Gulf Applications Company - GAPP</v>
          </cell>
          <cell r="B280" t="str">
            <v>Schneider  Office 2</v>
          </cell>
          <cell r="C280" t="str">
            <v>Al Olaya, Riyadh Schneider office</v>
          </cell>
          <cell r="D280" t="str">
            <v>https://maps.app.goo.gl/7FKScD2b5tSYfu1y9</v>
          </cell>
          <cell r="E280" t="str">
            <v>Zakriya Office</v>
          </cell>
          <cell r="F280" t="str">
            <v>+966598404702</v>
          </cell>
          <cell r="I280" t="str">
            <v>~Asad Ullah</v>
          </cell>
          <cell r="J280" t="str">
            <v>+966597270315</v>
          </cell>
        </row>
        <row r="281">
          <cell r="A281" t="str">
            <v>Gulf Boost IT Solution</v>
          </cell>
        </row>
        <row r="282">
          <cell r="A282" t="str">
            <v>GULF COMPUTER SERVICES CO</v>
          </cell>
          <cell r="E282" t="str">
            <v xml:space="preserve">Ahmed Al-Wahidi </v>
          </cell>
          <cell r="F282" t="str">
            <v>+966509974560</v>
          </cell>
          <cell r="G282" t="str">
            <v>ahmed.alwahidi@gulf.sa</v>
          </cell>
        </row>
        <row r="283">
          <cell r="A283" t="str">
            <v>Gulf Mountain Contracting Est</v>
          </cell>
        </row>
        <row r="284">
          <cell r="A284" t="str">
            <v>Gulf Solution Telecommunication Technology - GSTT</v>
          </cell>
        </row>
        <row r="285">
          <cell r="A285" t="str">
            <v>Gulf Solutions Company</v>
          </cell>
        </row>
        <row r="286">
          <cell r="A286" t="str">
            <v>Gulf Systems Company</v>
          </cell>
          <cell r="B286" t="str">
            <v>Riyadh</v>
          </cell>
          <cell r="C286" t="str">
            <v>Al Manakh Exit 18 Near Yamama Cement Factory Riyadh KSA</v>
          </cell>
          <cell r="D286" t="str">
            <v>https://goo.gl/maps/Fnwy5xJzRpfZeDqK6</v>
          </cell>
          <cell r="E286" t="str">
            <v>Abdullah Mohsin</v>
          </cell>
          <cell r="F286" t="str">
            <v>+966537651873/+966509172838</v>
          </cell>
          <cell r="G286" t="str">
            <v>amohsin@gulfsystems.com.sa</v>
          </cell>
        </row>
        <row r="287">
          <cell r="A287" t="str">
            <v>Haji Abdullah Alireza &amp; Co. Ltd - GENTEC</v>
          </cell>
          <cell r="B287" t="str">
            <v>Jeddah</v>
          </cell>
          <cell r="C287" t="str">
            <v>Jeddah Islamic Port, Gate No. 6, Jeddah, Saudi Arabia</v>
          </cell>
          <cell r="D287" t="str">
            <v>https://goo.gl/maps/1ZvToFYvLXwQqf8H8</v>
          </cell>
          <cell r="E287" t="str">
            <v>Wael Salem</v>
          </cell>
          <cell r="F287" t="str">
            <v>+966593036640</v>
          </cell>
        </row>
        <row r="288">
          <cell r="A288" t="str">
            <v>HAMAAT</v>
          </cell>
        </row>
        <row r="289">
          <cell r="A289" t="str">
            <v>HANWHA TECHWIN MIDDLE EAST FZE</v>
          </cell>
          <cell r="B289" t="str">
            <v>Riyadh</v>
          </cell>
          <cell r="C289" t="str">
            <v>Hanwha Office, Centria Mall, Olaya Street, Riyadh, Saudi Arabia</v>
          </cell>
          <cell r="D289" t="str">
            <v>https://goo.gl/maps/76JwfgHPBmACAGm5A</v>
          </cell>
          <cell r="E289" t="str">
            <v xml:space="preserve">Karim Majzoub </v>
          </cell>
          <cell r="F289" t="str">
            <v>+966 56 690 8294</v>
          </cell>
          <cell r="G289" t="str">
            <v>karim.m@hanwha.com</v>
          </cell>
        </row>
        <row r="290">
          <cell r="A290" t="str">
            <v>HARD DISK COMPANY FOR INFORMATION T</v>
          </cell>
          <cell r="C290" t="str">
            <v>Computer market, Olaya, Riyadh</v>
          </cell>
          <cell r="D290" t="str">
            <v>https://maps.app.goo.gl/DrzEZ8YmMrwjzJdw7</v>
          </cell>
          <cell r="E290" t="str">
            <v>Ehab</v>
          </cell>
          <cell r="F290" t="str">
            <v>+966560612126</v>
          </cell>
        </row>
        <row r="291">
          <cell r="A291" t="str">
            <v>Hard Disk Company For Information Technology</v>
          </cell>
          <cell r="B291" t="str">
            <v>Riyadh</v>
          </cell>
          <cell r="C291" t="str">
            <v>Computer market, Olaya, Riyadh</v>
          </cell>
          <cell r="E291" t="str">
            <v>Ehab</v>
          </cell>
          <cell r="F291" t="str">
            <v>+966560612126</v>
          </cell>
          <cell r="G291" t="str">
            <v>https://maps.app.goo.gl/DrzEZ8YmMrwjzJdw7</v>
          </cell>
        </row>
        <row r="292">
          <cell r="A292" t="str">
            <v>Hasoub Solutions Builders Co(HASOUB</v>
          </cell>
          <cell r="C292">
            <v>0</v>
          </cell>
          <cell r="D292">
            <v>0</v>
          </cell>
          <cell r="E292" t="str">
            <v>Qaid</v>
          </cell>
          <cell r="F292" t="str">
            <v>+966551002162</v>
          </cell>
        </row>
        <row r="293">
          <cell r="A293" t="str">
            <v>Hasoub Solutions Builders Co(HASOUB)</v>
          </cell>
          <cell r="C293" t="str">
            <v>F58C+269 King Abdullah Economic City</v>
          </cell>
          <cell r="D293" t="str">
            <v>https://maps.app.goo.gl/VzG3TSRBshVQrpPS6</v>
          </cell>
          <cell r="E293" t="str">
            <v>Ahmed Mak</v>
          </cell>
          <cell r="F293" t="str">
            <v>+966565768180</v>
          </cell>
        </row>
        <row r="294">
          <cell r="A294" t="str">
            <v>Hasoub Solutions Builders Co. - HASOUB</v>
          </cell>
          <cell r="B294" t="str">
            <v>Madinah</v>
          </cell>
          <cell r="C294" t="str">
            <v xml:space="preserve">Bani Khidrah, Madinah </v>
          </cell>
          <cell r="D294" t="str">
            <v>https://maps.google.com/?q=24.464615,39.612850 </v>
          </cell>
          <cell r="E294" t="str">
            <v>Eng. Alaa Sharabi  </v>
          </cell>
          <cell r="F294" t="str">
            <v>+966598358600</v>
          </cell>
          <cell r="G294" t="str">
            <v>alaa.sharabi@hsb.com.sa</v>
          </cell>
        </row>
        <row r="295">
          <cell r="A295" t="str">
            <v>Hasoub Solutions Builders Co. - HASOUB</v>
          </cell>
          <cell r="B295" t="str">
            <v>Riyadh - warehouse</v>
          </cell>
          <cell r="C295" t="str">
            <v>Shebh Al Jazira rd, Exit 16, Near Kudu Resturant, As Sulay, Riyadh</v>
          </cell>
          <cell r="D295" t="str">
            <v>https://maps.app.goo.gl/MjZWRef7dKmTp8DY8</v>
          </cell>
          <cell r="E295" t="str">
            <v xml:space="preserve">Fayyaz Uddin </v>
          </cell>
          <cell r="F295" t="str">
            <v>+966567125612</v>
          </cell>
        </row>
        <row r="296">
          <cell r="A296" t="str">
            <v>Hassan Allam Construction Saudi</v>
          </cell>
          <cell r="C296" t="str">
            <v>Neom – Gayal Beach</v>
          </cell>
          <cell r="D296" t="str">
            <v> 3VF4+Q2G, Gayal 49726</v>
          </cell>
          <cell r="E296" t="str">
            <v xml:space="preserve">Mohamed EL-Sawy </v>
          </cell>
          <cell r="F296" t="str">
            <v>+966557864904</v>
          </cell>
        </row>
        <row r="297">
          <cell r="A297" t="str">
            <v>Hawsabah IT Company</v>
          </cell>
          <cell r="B297" t="str">
            <v>Riyadh</v>
          </cell>
          <cell r="C297" t="str">
            <v>Al Muruj, Riyadh, Saudi Arabia</v>
          </cell>
          <cell r="D297" t="str">
            <v>https://goo.gl/maps/Q9xRJeB8xLjT4oUdA</v>
          </cell>
          <cell r="E297" t="str">
            <v>Mahmoud AL Safadi</v>
          </cell>
          <cell r="F297" t="str">
            <v>+966555302523</v>
          </cell>
          <cell r="G297" t="str">
            <v>m.safadi@hawsabah.sa</v>
          </cell>
          <cell r="H297" t="str">
            <v>Procurement Specialist</v>
          </cell>
          <cell r="I297" t="str">
            <v xml:space="preserve">Gilbert castigo </v>
          </cell>
          <cell r="J297" t="str">
            <v>+966551647269</v>
          </cell>
        </row>
        <row r="298">
          <cell r="A298" t="str">
            <v>HIDDEN SYSTEM SECURITY</v>
          </cell>
        </row>
        <row r="299">
          <cell r="A299" t="str">
            <v>High Point Driven by Service Quality</v>
          </cell>
          <cell r="B299" t="str">
            <v>Riyadh</v>
          </cell>
          <cell r="C299" t="str">
            <v>5th Floor, El Saif Building, Computer Market, Olaya, Riyadh, KSA</v>
          </cell>
          <cell r="D299" t="str">
            <v>https://goo.gl/maps/MGMeFMcxjoewYqsF7</v>
          </cell>
          <cell r="E299" t="str">
            <v>Medhat Elaraby</v>
          </cell>
          <cell r="F299" t="str">
            <v>+966 54 444 2537</v>
          </cell>
        </row>
        <row r="300">
          <cell r="A300" t="str">
            <v>High Target Trading Company</v>
          </cell>
          <cell r="C300" t="str">
            <v>FJP9+F78 Madinah</v>
          </cell>
          <cell r="D300" t="str">
            <v>https://maps.app.goo.gl/3L5QFswyK8ebE4ie9</v>
          </cell>
          <cell r="E300" t="str">
            <v xml:space="preserve">Yossef Hussain </v>
          </cell>
          <cell r="F300" t="str">
            <v>+966502170346</v>
          </cell>
        </row>
        <row r="301">
          <cell r="A301" t="str">
            <v>Hitachi Energy Ltd</v>
          </cell>
          <cell r="B301" t="str">
            <v>Riyadh</v>
          </cell>
          <cell r="C301" t="str">
            <v>New Industrial Area, Riyadh, Saudi Arabia</v>
          </cell>
          <cell r="D301" t="str">
            <v>https://maps.app.goo.gl/kjqnPmMG11Manjyi6</v>
          </cell>
          <cell r="E301" t="str">
            <v xml:space="preserve">Rabee Teringano </v>
          </cell>
          <cell r="F301" t="str">
            <v>+966569033545</v>
          </cell>
          <cell r="G301" t="str">
            <v>rabee.teringano@hitachienergy.com</v>
          </cell>
          <cell r="I301" t="str">
            <v xml:space="preserve">Ammar ElTahir      </v>
          </cell>
          <cell r="J301" t="str">
            <v>+966501702561</v>
          </cell>
        </row>
        <row r="302">
          <cell r="A302" t="str">
            <v>Honeywell Turki Arabia Limited</v>
          </cell>
          <cell r="C302" t="str">
            <v>WPX4+MMW King Khalid International Airport, Riyadh</v>
          </cell>
          <cell r="D302" t="str">
            <v>https://maps.app.goo.gl/Lp7PTje4s2oYQ6rx5</v>
          </cell>
          <cell r="E302" t="str">
            <v>Mahmoud Fathy</v>
          </cell>
          <cell r="F302" t="str">
            <v>+966508836259</v>
          </cell>
        </row>
        <row r="303">
          <cell r="A303" t="str">
            <v>HORIZONS CONTRACTING CO</v>
          </cell>
        </row>
        <row r="304">
          <cell r="A304" t="str">
            <v>Hoshan Group</v>
          </cell>
          <cell r="B304" t="str">
            <v>Riyadh</v>
          </cell>
        </row>
        <row r="305">
          <cell r="A305" t="str">
            <v>Huawei Tech. Investment Saudi Arabia Co. Ltd</v>
          </cell>
          <cell r="B305" t="str">
            <v>Riyadh - Huawei C-Center</v>
          </cell>
          <cell r="C305" t="str">
            <v>C-Center, Tahlia Road, Riyadh, KSA</v>
          </cell>
          <cell r="D305" t="str">
            <v>https://goo.gl/maps/VjuaHDUXmPKhfKCG7</v>
          </cell>
        </row>
        <row r="306">
          <cell r="A306" t="str">
            <v>Huawei Tech. Investment Saudi Arabia Co. Ltd</v>
          </cell>
          <cell r="B306" t="str">
            <v>Riyadh - Huawei Warehouse</v>
          </cell>
          <cell r="C306" t="str">
            <v>Huawei warehouse, Mohiddib Compound, Al Mashael, Riyadh, KSA</v>
          </cell>
          <cell r="D306" t="str">
            <v>https://goo.gl/maps/1FwhABX3wCsxoG6E8</v>
          </cell>
          <cell r="E306" t="str">
            <v>Mohammed Shafi</v>
          </cell>
          <cell r="F306" t="str">
            <v>+966 56 403 6580</v>
          </cell>
          <cell r="G306" t="str">
            <v>shafi@nammacargo.com</v>
          </cell>
        </row>
        <row r="307">
          <cell r="A307" t="str">
            <v>Hulool Al Sahabah for IT &amp; Communication</v>
          </cell>
        </row>
        <row r="308">
          <cell r="A308" t="str">
            <v>Ideal Network Solutions - INS</v>
          </cell>
          <cell r="B308" t="str">
            <v>Riyadh - Office</v>
          </cell>
          <cell r="C308" t="str">
            <v>Prince Sultan Bin Abdulaziz Rd, Al Olaya, Riyadh 11564</v>
          </cell>
          <cell r="D308" t="str">
            <v>https://goo.gl/maps/MK93aocnUkj1FM2K8</v>
          </cell>
          <cell r="E308" t="str">
            <v>Nouman Akbar</v>
          </cell>
          <cell r="F308" t="str">
            <v>+966581378011</v>
          </cell>
          <cell r="G308" t="str">
            <v>logistic-riyadh@ins-sa.com</v>
          </cell>
          <cell r="H308" t="str">
            <v xml:space="preserve">Office Manager - Riyadh </v>
          </cell>
        </row>
        <row r="309">
          <cell r="A309" t="str">
            <v>Import House Office for Trading Services</v>
          </cell>
        </row>
        <row r="310">
          <cell r="A310" t="str">
            <v>Infinity Work Trading Company - INF</v>
          </cell>
          <cell r="B310" t="str">
            <v>Jubail - Warehouse</v>
          </cell>
          <cell r="C310" t="str">
            <v>INF WH, Jubail, KSA</v>
          </cell>
          <cell r="E310" t="str">
            <v>Nabeel Jawwy</v>
          </cell>
          <cell r="F310" t="str">
            <v>+966531330438</v>
          </cell>
          <cell r="H310" t="str">
            <v>Warehouse Guy</v>
          </cell>
          <cell r="I310" t="str">
            <v>Praveen K.C.</v>
          </cell>
          <cell r="J310" t="str">
            <v>+966539138940</v>
          </cell>
        </row>
        <row r="311">
          <cell r="A311" t="str">
            <v>INFORMATION TOWER - IT</v>
          </cell>
          <cell r="B311" t="str">
            <v>Jeddah</v>
          </cell>
          <cell r="C311" t="str">
            <v>7464 Al Kurnaysh Br Rd، حي الشاطئ، 3542, Jeddah 23412</v>
          </cell>
          <cell r="D311" t="str">
            <v>https://goo.gl/maps/iaErAtapSgFM4Mqv6</v>
          </cell>
          <cell r="E311" t="str">
            <v>Asim Awad</v>
          </cell>
          <cell r="F311" t="str">
            <v>+966531035351</v>
          </cell>
        </row>
        <row r="312">
          <cell r="A312" t="str">
            <v>InfoTech International co</v>
          </cell>
          <cell r="C312">
            <v>0</v>
          </cell>
          <cell r="D312">
            <v>0</v>
          </cell>
          <cell r="E312" t="str">
            <v>Amanullah Akbar</v>
          </cell>
          <cell r="F312" t="str">
            <v>+966590613206</v>
          </cell>
        </row>
        <row r="313">
          <cell r="A313" t="str">
            <v>Innovative Contractors For Advanced Dimensions - ICAD</v>
          </cell>
          <cell r="B313" t="str">
            <v>Riyadh</v>
          </cell>
          <cell r="C313" t="str">
            <v>ICAD L01 Warehouse, Tuwaiq, Riyadh, Saudi Arabia</v>
          </cell>
          <cell r="D313" t="str">
            <v>https://goo.gl/maps/KCyJaaiayyXnMATFA</v>
          </cell>
          <cell r="E313" t="str">
            <v>Walid Suleiman</v>
          </cell>
          <cell r="F313" t="str">
            <v>+966 54 041 5797</v>
          </cell>
          <cell r="I313" t="str">
            <v>Shemnad Basheer</v>
          </cell>
          <cell r="J313" t="str">
            <v>+966556001037</v>
          </cell>
        </row>
        <row r="314">
          <cell r="A314" t="str">
            <v>Innovative Contractors For Advanced Dimensions - ICAD</v>
          </cell>
          <cell r="B314" t="str">
            <v>Jeddah</v>
          </cell>
          <cell r="C314" t="str">
            <v>Al Nuzhah, Jeddah 2111,KSA.</v>
          </cell>
          <cell r="D314" t="str">
            <v>https://maps.app.goo.gl/USjSdbJR7YkZ9EENA</v>
          </cell>
          <cell r="E314" t="str">
            <v xml:space="preserve">Sethu Kumar </v>
          </cell>
          <cell r="F314" t="str">
            <v>+966553001974</v>
          </cell>
        </row>
        <row r="315">
          <cell r="A315" t="str">
            <v>Innovative Vision Technology</v>
          </cell>
        </row>
        <row r="316">
          <cell r="A316" t="str">
            <v>Integrated Entity</v>
          </cell>
          <cell r="E316" t="str">
            <v>Amr Hassan</v>
          </cell>
          <cell r="F316" t="str">
            <v>+966540524520,+966561700181</v>
          </cell>
          <cell r="G316" t="str">
            <v>ahasan@integratedentity.com.sa</v>
          </cell>
        </row>
        <row r="317">
          <cell r="A317" t="str">
            <v>Integrated Network Solutions Co.LLC</v>
          </cell>
          <cell r="C317" t="str">
            <v>Al Olaya, Riyadh</v>
          </cell>
          <cell r="D317" t="str">
            <v>https://maps.app.goo.gl/W9kVUQQYE9ufQ1wu7</v>
          </cell>
          <cell r="E317" t="str">
            <v>Moustafa</v>
          </cell>
          <cell r="F317" t="str">
            <v>+966568581610</v>
          </cell>
        </row>
        <row r="318">
          <cell r="A318" t="str">
            <v>Integrated Network Solutions Co.LLC</v>
          </cell>
          <cell r="C318" t="str">
            <v xml:space="preserve"> As Sulay, Riyadh</v>
          </cell>
          <cell r="D318" t="str">
            <v>https://maps.app.goo.gl/PLkMz6rhHrWHm8ky7</v>
          </cell>
          <cell r="E318" t="str">
            <v>Moustafa</v>
          </cell>
          <cell r="F318" t="str">
            <v>+966568581610</v>
          </cell>
        </row>
        <row r="319">
          <cell r="A319" t="str">
            <v>Integrated Networks Co. - INET</v>
          </cell>
          <cell r="B319" t="str">
            <v>Riyadh</v>
          </cell>
          <cell r="C319" t="str">
            <v>Al-Tawuniya Towers, 16th floor, South Tower, Olaya Distt, King Fahad Road, Riyadh</v>
          </cell>
          <cell r="D319" t="str">
            <v>https://maps.app.goo.gl/GJfBzbn9TMT1MooG7</v>
          </cell>
          <cell r="E319" t="str">
            <v>Fahad Taher</v>
          </cell>
          <cell r="F319" t="str">
            <v>+966596985004</v>
          </cell>
          <cell r="I319" t="str">
            <v>Ghaida Ghayeb</v>
          </cell>
          <cell r="J319" t="str">
            <v>+966551128093</v>
          </cell>
        </row>
        <row r="320">
          <cell r="A320" t="str">
            <v>Integrated Power For Technology</v>
          </cell>
          <cell r="C320" t="str">
            <v xml:space="preserve">Jeddah Khumra Warehouse. </v>
          </cell>
          <cell r="D320">
            <v>0</v>
          </cell>
          <cell r="E320" t="str">
            <v xml:space="preserve">Mr. Mohammad Nahed </v>
          </cell>
          <cell r="F320" t="str">
            <v>+966570784211</v>
          </cell>
        </row>
        <row r="321">
          <cell r="A321" t="str">
            <v>Integrated Support Services - ISS</v>
          </cell>
          <cell r="B321" t="str">
            <v>Riyadh</v>
          </cell>
          <cell r="C321" t="str">
            <v>Umar Ibn Abdul Aziz Br Rd, Az Zahra, Riyadh 12815, Saudi Arabia</v>
          </cell>
          <cell r="D321" t="str">
            <v>https://goo.gl/maps/q9U4F2PJE4kQ1TPYA</v>
          </cell>
          <cell r="E321" t="str">
            <v>Nouf Talal</v>
          </cell>
          <cell r="F321" t="str">
            <v>+966 54 303 7823</v>
          </cell>
        </row>
        <row r="322">
          <cell r="A322" t="str">
            <v>Intelligent Business for Communications &amp; IT ( IB TECH )</v>
          </cell>
        </row>
        <row r="323">
          <cell r="A323" t="str">
            <v>Intelligent Contracting and Information technology (ICIT)</v>
          </cell>
          <cell r="B323" t="str">
            <v>Riyadh</v>
          </cell>
          <cell r="C323" t="str">
            <v xml:space="preserve"> Al Washm St, Al Murabba, Riyadh</v>
          </cell>
          <cell r="D323" t="str">
            <v>https://goo.gl/maps/ikhgjYTWfpRUqa5q8</v>
          </cell>
          <cell r="E323" t="str">
            <v xml:space="preserve">Syed Abdul Qayyum </v>
          </cell>
          <cell r="F323" t="str">
            <v>+966503281560</v>
          </cell>
          <cell r="G323" t="str">
            <v>s.abdulqayyum@icit-grp.com</v>
          </cell>
        </row>
        <row r="324">
          <cell r="A324" t="str">
            <v>Intelligent Control Technology (ICT)</v>
          </cell>
          <cell r="B324" t="str">
            <v>Riyadh</v>
          </cell>
          <cell r="C324" t="str">
            <v>ICT Office, King Abdullah Branch Rd, Al Mursilat, Riyadh</v>
          </cell>
          <cell r="D324" t="str">
            <v>https://maps.app.goo.gl/WUZEx2GbmiTbSQh37</v>
          </cell>
          <cell r="E324" t="str">
            <v>Mohamad  Salloum</v>
          </cell>
          <cell r="F324" t="str">
            <v>+966509625125</v>
          </cell>
          <cell r="G324" t="str">
            <v>m.salloum@ict-smart.com</v>
          </cell>
          <cell r="H324" t="str">
            <v>Sales manager</v>
          </cell>
        </row>
        <row r="325">
          <cell r="A325" t="str">
            <v>IntelliVital</v>
          </cell>
          <cell r="E325" t="str">
            <v>Saleh Mohammed</v>
          </cell>
          <cell r="F325" t="str">
            <v>+966559260525</v>
          </cell>
        </row>
        <row r="326">
          <cell r="A326" t="str">
            <v>Interactive Management</v>
          </cell>
        </row>
        <row r="327">
          <cell r="A327" t="str">
            <v>Intergrated Solutions For Business</v>
          </cell>
          <cell r="B327" t="str">
            <v>Riyadh</v>
          </cell>
          <cell r="C327" t="str">
            <v>Olaya, Computer Market, Riyadh, KSA</v>
          </cell>
          <cell r="E327" t="str">
            <v>Mohmmad waqas khan</v>
          </cell>
          <cell r="F327" t="str">
            <v>+966548182980</v>
          </cell>
        </row>
        <row r="328">
          <cell r="A328" t="str">
            <v>INTERNAL</v>
          </cell>
          <cell r="C328" t="str">
            <v>MAIN TO WH3</v>
          </cell>
        </row>
        <row r="329">
          <cell r="A329" t="str">
            <v>International For Modern Industries Co. Ltd. (Al-Alameya Group)</v>
          </cell>
          <cell r="B329" t="str">
            <v>Jeddah</v>
          </cell>
          <cell r="C329" t="str">
            <v>Alameya warehouse, Al Mahjar, Jeddah, Saudi Arabia</v>
          </cell>
          <cell r="D329" t="str">
            <v>https://goo.gl/maps/CiZbzQQwHZZQkbK39</v>
          </cell>
          <cell r="E329" t="str">
            <v>Said Alavi Abdurahman</v>
          </cell>
          <cell r="F329" t="str">
            <v>+966554088161</v>
          </cell>
          <cell r="G329" t="str">
            <v>Store@ifmi.com.sa</v>
          </cell>
          <cell r="H329" t="str">
            <v>Warehouse Guy</v>
          </cell>
          <cell r="I329" t="str">
            <v>Mohamed Salah</v>
          </cell>
          <cell r="J329" t="str">
            <v>+966559003261</v>
          </cell>
        </row>
        <row r="330">
          <cell r="A330" t="str">
            <v>International Security &amp; Communications Co. (ISCKSA)</v>
          </cell>
          <cell r="B330" t="str">
            <v>Dammam</v>
          </cell>
          <cell r="C330" t="str">
            <v>ISCKSA warehouse, Al Khalidiyah Ash Shamaliyah, Dammam, KSA</v>
          </cell>
          <cell r="D330" t="str">
            <v>https://maps.app.goo.gl/KEX8s1NRLpsr8SH27</v>
          </cell>
          <cell r="E330" t="str">
            <v>Ashraf</v>
          </cell>
          <cell r="F330" t="str">
            <v>+966502947677</v>
          </cell>
          <cell r="I330" t="str">
            <v>Riyas</v>
          </cell>
          <cell r="J330" t="str">
            <v>+966503448720</v>
          </cell>
        </row>
        <row r="331">
          <cell r="A331" t="str">
            <v>Isam Kabbani Telecommunication co l</v>
          </cell>
          <cell r="C331">
            <v>0</v>
          </cell>
          <cell r="D331">
            <v>0</v>
          </cell>
          <cell r="E331">
            <v>0</v>
          </cell>
          <cell r="F331" t="str">
            <v>+966558883468</v>
          </cell>
        </row>
        <row r="332">
          <cell r="A332" t="str">
            <v>iSecure Solutions Co.</v>
          </cell>
          <cell r="B332" t="str">
            <v>Khobar</v>
          </cell>
          <cell r="C332" t="str">
            <v>Dammam-khobar highway, Al Khobar mall AlKhobar, KSA</v>
          </cell>
          <cell r="E332" t="str">
            <v>Mahmoud Mohamed</v>
          </cell>
          <cell r="F332" t="str">
            <v>+966540053096</v>
          </cell>
          <cell r="G332" t="str">
            <v>mahmoud.m@isecure-solutions.com</v>
          </cell>
        </row>
        <row r="333">
          <cell r="A333" t="str">
            <v>IT Associates - ITA</v>
          </cell>
          <cell r="B333" t="str">
            <v>Jeddah</v>
          </cell>
          <cell r="C333" t="str">
            <v>Aba Alkhail Building 7th Floor, Office 706, King Fahad Rd., Al Sharafiyah - Jeddah, KSA</v>
          </cell>
          <cell r="D333" t="str">
            <v>https://g.page/ITA-ksa?share</v>
          </cell>
          <cell r="E333" t="str">
            <v xml:space="preserve">Fawaz Alsalaih </v>
          </cell>
          <cell r="F333" t="str">
            <v>+966566584631</v>
          </cell>
          <cell r="G333" t="str">
            <v>alsolaih@ita-ksa.com</v>
          </cell>
        </row>
        <row r="334">
          <cell r="A334" t="str">
            <v xml:space="preserve">IT Associates - Khaled Faris v. </v>
          </cell>
          <cell r="C334" t="str">
            <v>Jeddah</v>
          </cell>
        </row>
        <row r="335">
          <cell r="A335" t="str">
            <v>IT BELT COMPANY</v>
          </cell>
        </row>
        <row r="336">
          <cell r="A336" t="str">
            <v>ITEA international LTD.</v>
          </cell>
          <cell r="B336" t="str">
            <v>Riyadh</v>
          </cell>
          <cell r="E336" t="str">
            <v>Sathar Ambalath</v>
          </cell>
          <cell r="F336" t="str">
            <v>+966504255289</v>
          </cell>
          <cell r="G336" t="str">
            <v>sathar@iteaint.com</v>
          </cell>
          <cell r="H336" t="str">
            <v xml:space="preserve">Head of Procurement &amp; Logistics </v>
          </cell>
        </row>
        <row r="337">
          <cell r="A337" t="str">
            <v>ITQAN Arabia Technologies</v>
          </cell>
          <cell r="B337" t="str">
            <v>Riyadh</v>
          </cell>
        </row>
        <row r="338">
          <cell r="A338" t="str">
            <v>Itqan Raseel Co.Ltd</v>
          </cell>
          <cell r="C338" t="str">
            <v>حي, Al Janadriyyah, RTJA7883، 7883 الضياء، 3823, Riyadh 13621</v>
          </cell>
          <cell r="D338" t="str">
            <v>https://maps.app.goo.gl/4hECkVPccgoCEJHi9</v>
          </cell>
          <cell r="E338" t="str">
            <v>Wang Weilong</v>
          </cell>
          <cell r="F338" t="str">
            <v>+966500842337</v>
          </cell>
        </row>
        <row r="339">
          <cell r="A339" t="str">
            <v>Jadwa Al-Hayat for Communications &amp; Information</v>
          </cell>
          <cell r="B339" t="str">
            <v>Riyadh</v>
          </cell>
          <cell r="C339" t="str">
            <v xml:space="preserve">Al Sina'iyah, Riyadh </v>
          </cell>
          <cell r="D339" t="str">
            <v>https://maps.app.goo.gl/ZbBzRkEDbvgvQg1u9</v>
          </cell>
          <cell r="E339" t="str">
            <v>Usama Junaid</v>
          </cell>
          <cell r="F339" t="str">
            <v>+966596877800</v>
          </cell>
          <cell r="G339" t="str">
            <v>usama.junaid@jadwaa.com</v>
          </cell>
        </row>
        <row r="340">
          <cell r="A340" t="str">
            <v>Jadwa Investment Co.</v>
          </cell>
        </row>
        <row r="341">
          <cell r="A341" t="str">
            <v>Jazal Arabia Engineering Contracting Company</v>
          </cell>
        </row>
        <row r="342">
          <cell r="A342" t="str">
            <v>JEDDAH CABLES LTD</v>
          </cell>
          <cell r="C342" t="str">
            <v>C6HF+639 Al Mahjar, Jeddah</v>
          </cell>
          <cell r="D342" t="str">
            <v>https://maps.app.goo.gl/EciDbpFyDpeRoWe79</v>
          </cell>
          <cell r="E342" t="str">
            <v xml:space="preserve">Eng. Addul Kader </v>
          </cell>
          <cell r="F342" t="str">
            <v>0501097837-0594336019</v>
          </cell>
        </row>
        <row r="343">
          <cell r="A343" t="str">
            <v>JEDDAH INTERFACE TRD.EST</v>
          </cell>
          <cell r="C343" t="str">
            <v>Abdulsamad At Tanukhi, Al Amal, Riyadh 12643</v>
          </cell>
          <cell r="D343" t="str">
            <v>https://maps.app.goo.gl/t5huog7iLDD4dfd18</v>
          </cell>
          <cell r="E343" t="str">
            <v xml:space="preserve">Ayman Al-Darwish </v>
          </cell>
          <cell r="F343" t="str">
            <v>+966595555490</v>
          </cell>
        </row>
        <row r="344">
          <cell r="A344" t="str">
            <v>Jeraisy Computer &amp; Comm. Services</v>
          </cell>
          <cell r="B344" t="str">
            <v>Riyadh</v>
          </cell>
          <cell r="C344" t="str">
            <v>Jeraisy warehouse, Al Awwal Street, Sulai, Near Exit 17, Riyadh, KSA</v>
          </cell>
          <cell r="D344" t="str">
            <v>https://goo.gl/maps/m72H74fXNqNuJABq7</v>
          </cell>
          <cell r="E344" t="str">
            <v>Jonathan</v>
          </cell>
          <cell r="F344" t="str">
            <v>+966502471056</v>
          </cell>
          <cell r="I344" t="str">
            <v xml:space="preserve">Vher </v>
          </cell>
          <cell r="J344" t="str">
            <v>+966507931671</v>
          </cell>
        </row>
        <row r="345">
          <cell r="A345" t="str">
            <v>Jeraisy Electronic Services</v>
          </cell>
          <cell r="B345" t="str">
            <v>Riyadh Office</v>
          </cell>
          <cell r="C345" t="str">
            <v>Jeraisy HQ., Alwurud, Riyadh, KSA</v>
          </cell>
          <cell r="D345" t="str">
            <v>https://maps.app.goo.gl/vzZHFzCU6oFfzqhG7</v>
          </cell>
          <cell r="E345" t="str">
            <v>Bander Shehadeh</v>
          </cell>
          <cell r="F345" t="str">
            <v>+966504174552</v>
          </cell>
          <cell r="G345" t="str">
            <v>bander@jes.com.sa</v>
          </cell>
          <cell r="I345" t="str">
            <v>Omar Afifi</v>
          </cell>
          <cell r="J345" t="str">
            <v>+966542128130</v>
          </cell>
        </row>
        <row r="346">
          <cell r="A346" t="str">
            <v>Jeraisy Electronic Services</v>
          </cell>
          <cell r="B346" t="str">
            <v>Riyadh Warehouse</v>
          </cell>
          <cell r="C346" t="str">
            <v>Jeraisy warehouse, Al Awwal Street, Sulai, Near Exit 17, Riyadh, KSA</v>
          </cell>
          <cell r="D346" t="str">
            <v>https://goo.gl/maps/m72H74fXNqNuJABq7</v>
          </cell>
          <cell r="E346" t="str">
            <v>Jonathan</v>
          </cell>
          <cell r="F346" t="str">
            <v>+966502471056</v>
          </cell>
          <cell r="I346" t="str">
            <v xml:space="preserve">Vher </v>
          </cell>
          <cell r="J346" t="str">
            <v>+966507931671</v>
          </cell>
        </row>
        <row r="347">
          <cell r="A347" t="str">
            <v>JTC Logisctics</v>
          </cell>
          <cell r="B347" t="str">
            <v>Riyadh</v>
          </cell>
        </row>
        <row r="348">
          <cell r="A348" t="str">
            <v>Jupiter Network Trading Est.</v>
          </cell>
          <cell r="B348" t="str">
            <v>Riyadh</v>
          </cell>
        </row>
        <row r="349">
          <cell r="A349" t="str">
            <v>KAF MIM YA'Y WAW TA KAF FOR INFORMATION</v>
          </cell>
        </row>
        <row r="350">
          <cell r="A350" t="str">
            <v>Kanoo Terminal Services LTD</v>
          </cell>
        </row>
        <row r="351">
          <cell r="A351" t="str">
            <v>KAWADER AL SHAM CONT. COMPANY</v>
          </cell>
          <cell r="C351" t="str">
            <v>Hafr Al-Batin City – Qaisumah Power Plant</v>
          </cell>
          <cell r="D351">
            <v>0</v>
          </cell>
          <cell r="E351" t="str">
            <v>Eng. Majd Shalaby</v>
          </cell>
          <cell r="F351" t="str">
            <v>+966537936285</v>
          </cell>
        </row>
        <row r="352">
          <cell r="A352" t="str">
            <v>Keir International</v>
          </cell>
          <cell r="B352" t="str">
            <v>Riyadh</v>
          </cell>
          <cell r="C352" t="str">
            <v>6678 Wag Valley, Al Malga District, Riyadh, KSA</v>
          </cell>
          <cell r="D352" t="str">
            <v>https://goo.gl/maps/7BVXxRCameEFUqGq8</v>
          </cell>
          <cell r="E352" t="str">
            <v>Mahaboob Subhani Shaik</v>
          </cell>
          <cell r="F352" t="str">
            <v>+966550537469</v>
          </cell>
          <cell r="G352" t="str">
            <v>s.mahaboob@keir.com.sa</v>
          </cell>
        </row>
        <row r="353">
          <cell r="A353" t="str">
            <v>Kenaaz United Information Technology Company - KUTECH</v>
          </cell>
        </row>
        <row r="354">
          <cell r="A354" t="str">
            <v>Kexa Tech Information Technology Co</v>
          </cell>
          <cell r="C354">
            <v>0</v>
          </cell>
          <cell r="D354" t="str">
            <v>https://maps.app.goo.gl/3qQ5pjRTMutjEQKPA</v>
          </cell>
          <cell r="E354" t="str">
            <v>Rupesh Sreekumar</v>
          </cell>
          <cell r="F354" t="str">
            <v>+966597075278</v>
          </cell>
        </row>
        <row r="355">
          <cell r="A355" t="str">
            <v>Khaled Tech for Information Technology</v>
          </cell>
          <cell r="B355" t="str">
            <v>Riyadh</v>
          </cell>
          <cell r="E355" t="str">
            <v>Yassir Eid</v>
          </cell>
          <cell r="F355" t="str">
            <v>+966504895463</v>
          </cell>
          <cell r="G355" t="str">
            <v>yassir.m@khaledtech.sa</v>
          </cell>
        </row>
        <row r="356">
          <cell r="A356" t="str">
            <v>Lamar United</v>
          </cell>
        </row>
        <row r="357">
          <cell r="A357" t="str">
            <v>Last Mile Trading Est</v>
          </cell>
          <cell r="B357" t="str">
            <v>Khobar</v>
          </cell>
          <cell r="C357" t="str">
            <v>Gulf Centre, Office 6, M Floor, Prince Turkey Street, AlKhobar, KSA</v>
          </cell>
          <cell r="E357" t="str">
            <v>Hatem Nayef</v>
          </cell>
          <cell r="F357" t="str">
            <v>+966505842611</v>
          </cell>
          <cell r="I357" t="str">
            <v xml:space="preserve">Imran Rasheed </v>
          </cell>
          <cell r="J357" t="str">
            <v>+966538120251</v>
          </cell>
        </row>
        <row r="358">
          <cell r="A358" t="str">
            <v>Last Mile Trading Est</v>
          </cell>
          <cell r="B358" t="str">
            <v>Jubail</v>
          </cell>
          <cell r="C358" t="str">
            <v>Jubail, Saudi Arabia</v>
          </cell>
          <cell r="E358" t="str">
            <v>Hatem Nayef</v>
          </cell>
          <cell r="F358" t="str">
            <v>+966505842611</v>
          </cell>
        </row>
        <row r="359">
          <cell r="A359" t="str">
            <v>Last Source Trading Est</v>
          </cell>
          <cell r="C359">
            <v>0</v>
          </cell>
          <cell r="D359">
            <v>0</v>
          </cell>
          <cell r="E359">
            <v>0</v>
          </cell>
          <cell r="F359" t="str">
            <v>+966558883468</v>
          </cell>
        </row>
        <row r="360">
          <cell r="A360" t="str">
            <v>Last Vision For Information Tech.</v>
          </cell>
          <cell r="B360" t="str">
            <v>Riyadh</v>
          </cell>
          <cell r="C360" t="str">
            <v>Last vision office, Ash Shaikh Mubarak As Subah, Al Olaya, Riyadh 12331, Saudi Arabia</v>
          </cell>
          <cell r="D360" t="str">
            <v>https://goo.gl/maps/KVXs2bhADCy241DN8</v>
          </cell>
          <cell r="E360" t="str">
            <v xml:space="preserve">Osama AlSibaee </v>
          </cell>
          <cell r="F360" t="str">
            <v>+966555522106</v>
          </cell>
          <cell r="G360" t="str">
            <v>Osama@lastvision-sa.com</v>
          </cell>
        </row>
        <row r="361">
          <cell r="A361" t="str">
            <v>LEOGEN MIDDLEEAST EQUIPMENT</v>
          </cell>
        </row>
        <row r="362">
          <cell r="A362" t="str">
            <v>LEOGEN MIDDLEEAST EQUIPMENT &amp;</v>
          </cell>
          <cell r="C362">
            <v>0</v>
          </cell>
          <cell r="D362">
            <v>0</v>
          </cell>
          <cell r="E362" t="str">
            <v>Khawar Shahzad</v>
          </cell>
          <cell r="F362" t="str">
            <v>+966599524064</v>
          </cell>
        </row>
        <row r="363">
          <cell r="A363" t="str">
            <v>LEOGEN MIDDLEEAST EQUIPMENT &amp; MACHINERY EST.</v>
          </cell>
          <cell r="C363" t="str">
            <v>King Abdullah Rd, Al Sulimaniyah 4th, Al Hofuf 31982</v>
          </cell>
          <cell r="D363" t="str">
            <v>https://maps.app.goo.gl/NV5LQBdBoZ7YZqhc9</v>
          </cell>
          <cell r="E363" t="str">
            <v>sameer bashyal</v>
          </cell>
          <cell r="F363" t="str">
            <v>+966562334249</v>
          </cell>
        </row>
        <row r="364">
          <cell r="A364" t="str">
            <v>Lighting stars trading EST.</v>
          </cell>
          <cell r="C364" t="str">
            <v>Dammam</v>
          </cell>
          <cell r="D364" t="str">
            <v>https://maps.app.goo.gl/4uo1BgfEpYg6GTjk8</v>
          </cell>
          <cell r="E364" t="str">
            <v>Ahmed Ali</v>
          </cell>
          <cell r="F364" t="str">
            <v>+966543638857</v>
          </cell>
        </row>
        <row r="365">
          <cell r="A365" t="str">
            <v>Loftiest Power Contracting Co. (ITC</v>
          </cell>
          <cell r="C365" t="str">
            <v>QV57+244 Ar Rimayah, Riyadh</v>
          </cell>
          <cell r="D365" t="str">
            <v>https://maps.app.goo.gl/KsRXjQQcPAExtDCi9</v>
          </cell>
          <cell r="E365" t="str">
            <v>Suleiman M Omer</v>
          </cell>
          <cell r="F365" t="str">
            <v>+966509403085</v>
          </cell>
          <cell r="I365" t="str">
            <v>Afzal</v>
          </cell>
          <cell r="J365" t="str">
            <v>+966594374164</v>
          </cell>
        </row>
        <row r="366">
          <cell r="A366" t="str">
            <v>Loftiest Power Contracting Co. (ITC)</v>
          </cell>
        </row>
        <row r="367">
          <cell r="A367" t="str">
            <v>Logic System</v>
          </cell>
        </row>
        <row r="368">
          <cell r="A368" t="str">
            <v>Luster System Security Solutions Est. ( Rawnaq Foundation for Security Systems )</v>
          </cell>
          <cell r="B368" t="str">
            <v>Riyadh</v>
          </cell>
          <cell r="C368" t="str">
            <v>Computer Market, Olaya, Riyadh, KSA</v>
          </cell>
          <cell r="D368" t="str">
            <v>24°40'56.3"N 46°41'16.0"E</v>
          </cell>
          <cell r="E368" t="str">
            <v>Eng. Saeed Al Sairafi</v>
          </cell>
          <cell r="F368" t="str">
            <v>+966539386865</v>
          </cell>
          <cell r="G368" t="str">
            <v>s.alsairafi@luster-system.com</v>
          </cell>
        </row>
        <row r="369">
          <cell r="A369" t="str">
            <v>M.M. Al-Rumaih Trading Co. Ltd.</v>
          </cell>
          <cell r="B369" t="str">
            <v>Riyadh</v>
          </cell>
          <cell r="C369" t="str">
            <v>Sulay- Behind Aramex Wh, Exit 18, Riyadh, KSA</v>
          </cell>
          <cell r="D369" t="str">
            <v>https://goo.gl/maps/mkXXhdL6j844R79s7</v>
          </cell>
          <cell r="E369" t="str">
            <v>Ahmad H. Shikhan</v>
          </cell>
          <cell r="F369" t="str">
            <v>+966599911140</v>
          </cell>
          <cell r="G369" t="str">
            <v>ashikhan@mds-sa.com</v>
          </cell>
          <cell r="I369" t="str">
            <v>Ali Tahir</v>
          </cell>
          <cell r="J369" t="str">
            <v>+966597377311</v>
          </cell>
        </row>
        <row r="370">
          <cell r="A370" t="str">
            <v>MAB UNITED FOR TRADING</v>
          </cell>
          <cell r="C370" t="str">
            <v>J6CG+6MJ Dhurma</v>
          </cell>
          <cell r="D370" t="str">
            <v>https://maps.app.goo.gl/ovRwxkAm41CS6rD36</v>
          </cell>
          <cell r="E370" t="str">
            <v>Abu Rahma</v>
          </cell>
          <cell r="F370" t="str">
            <v>+966534073209</v>
          </cell>
        </row>
        <row r="371">
          <cell r="A371" t="str">
            <v>MADA AL- TAKAMIL ForInformation Te</v>
          </cell>
          <cell r="C371" t="str">
            <v>GWG5+F4J New Industrial Area, Riyadh</v>
          </cell>
          <cell r="D371" t="str">
            <v>https://maps.app.goo.gl/BJxVgu8LA6kMEXZPA</v>
          </cell>
        </row>
        <row r="372">
          <cell r="A372" t="str">
            <v>MADAR ELECTRICAL</v>
          </cell>
          <cell r="C372" t="str">
            <v>Unnamed Road, Riyadh</v>
          </cell>
          <cell r="D372" t="str">
            <v>https://maps.app.goo.gl/CHcRHsdiHMjK7CSr9</v>
          </cell>
          <cell r="E372" t="str">
            <v xml:space="preserve">Mr. Qamar Eldin </v>
          </cell>
          <cell r="F372" t="str">
            <v>+966570092656</v>
          </cell>
        </row>
        <row r="373">
          <cell r="A373" t="str">
            <v>Madar Informatics Computer Networks</v>
          </cell>
          <cell r="B373" t="str">
            <v>Jeddah</v>
          </cell>
          <cell r="C373" t="str">
            <v>Annaim building.. Third floor... Office 24, Alfaisaliah, Jeddah, Saudi Arabia</v>
          </cell>
          <cell r="D373" t="str">
            <v>https://maps.app.goo.gl/U6CgCWhP3PWwTsQQ6</v>
          </cell>
          <cell r="E373" t="str">
            <v xml:space="preserve">Eng. Obaida Mando </v>
          </cell>
          <cell r="F373" t="str">
            <v>+966539285843</v>
          </cell>
          <cell r="G373" t="str">
            <v>Obaida.m@almadar-ksa.com</v>
          </cell>
        </row>
        <row r="374">
          <cell r="A374" t="str">
            <v>Madeeda Medical Care Co.</v>
          </cell>
        </row>
        <row r="375">
          <cell r="A375" t="str">
            <v>Mahawir alnuzam for IT EST.</v>
          </cell>
          <cell r="C375" t="str">
            <v>Olaya Computer Market Parking, Al Olaya, Riyadh 12211</v>
          </cell>
          <cell r="D375" t="str">
            <v>https://maps.app.goo.gl/XPRqEyZ7kMTEL8sbA</v>
          </cell>
          <cell r="E375" t="str">
            <v>Mohammed Alodaib</v>
          </cell>
          <cell r="F375" t="str">
            <v>+966554421428</v>
          </cell>
        </row>
        <row r="376">
          <cell r="A376" t="str">
            <v>Makeen Systems Security Establishment</v>
          </cell>
          <cell r="B376" t="str">
            <v>Riyadh</v>
          </cell>
          <cell r="E376" t="str">
            <v>Ashkar Ali</v>
          </cell>
          <cell r="F376" t="str">
            <v>+966599439441</v>
          </cell>
          <cell r="G376" t="str">
            <v>ashkar@syslabme.com</v>
          </cell>
        </row>
        <row r="377">
          <cell r="A377" t="str">
            <v>MAKEENSY STEMS  SECURITY</v>
          </cell>
          <cell r="C377" t="str">
            <v xml:space="preserve">Riyadh , Olya market </v>
          </cell>
          <cell r="D377">
            <v>0</v>
          </cell>
          <cell r="E377" t="str">
            <v>Ashkar</v>
          </cell>
          <cell r="F377" t="str">
            <v>+966599439441</v>
          </cell>
        </row>
        <row r="378">
          <cell r="A378" t="str">
            <v>Manakh Sheba Al-Jazeera Trading Co. - MSJ Security Systems</v>
          </cell>
          <cell r="B378" t="str">
            <v>Riyadh</v>
          </cell>
          <cell r="C378" t="str">
            <v>As Sulay, Riyadh</v>
          </cell>
          <cell r="D378" t="str">
            <v>https://maps.app.goo.gl/SQE9JQ6qZWQXDnCY9</v>
          </cell>
          <cell r="E378" t="str">
            <v>Usman Abbas</v>
          </cell>
          <cell r="F378" t="str">
            <v>+966507714788</v>
          </cell>
          <cell r="G378" t="str">
            <v>u.abbas@msj.com.sa</v>
          </cell>
          <cell r="H378" t="str">
            <v>Store Keeper</v>
          </cell>
        </row>
        <row r="379">
          <cell r="A379" t="str">
            <v>MASSCO for Trading</v>
          </cell>
          <cell r="B379" t="str">
            <v>Riyadh</v>
          </cell>
          <cell r="C379" t="str">
            <v>QQ25+JVW Al Quds, Riyadh</v>
          </cell>
          <cell r="D379" t="str">
            <v>https://goo.gl/maps/qzw5suS9vQrM1pbr8</v>
          </cell>
          <cell r="E379" t="str">
            <v>Nizar</v>
          </cell>
          <cell r="F379" t="str">
            <v>+966500422433</v>
          </cell>
        </row>
        <row r="380">
          <cell r="A380" t="str">
            <v>Matrix Experts</v>
          </cell>
          <cell r="B380" t="str">
            <v>Khobar</v>
          </cell>
          <cell r="C380" t="str">
            <v>Prince Turki Bik Abdulaziz St., Adeeb Tower, 2nd floor, Khobar, KSA</v>
          </cell>
          <cell r="D380" t="str">
            <v>https://goo.gl/maps/vwFqQCqaZ1ZvoqwL9</v>
          </cell>
          <cell r="E380" t="str">
            <v>Nawwaf Awwad</v>
          </cell>
          <cell r="F380" t="str">
            <v>+966563052222</v>
          </cell>
          <cell r="G380" t="str">
            <v>md@matrixexperts.com</v>
          </cell>
        </row>
        <row r="381">
          <cell r="A381" t="str">
            <v>Matrix System</v>
          </cell>
          <cell r="B381" t="str">
            <v>Riyadh</v>
          </cell>
          <cell r="E381" t="str">
            <v>Ahmed Younis</v>
          </cell>
          <cell r="F381" t="str">
            <v>+966568521223</v>
          </cell>
          <cell r="G381" t="str">
            <v>a.younis@matrixest.com</v>
          </cell>
          <cell r="I381" t="str">
            <v>Moataz Gaafer</v>
          </cell>
          <cell r="J381" t="str">
            <v>+966538966453</v>
          </cell>
        </row>
        <row r="382">
          <cell r="A382" t="str">
            <v>Mawared Asliah Tradings co</v>
          </cell>
          <cell r="C382" t="str">
            <v>6701 King Fahd Road, Al Hussam, Dammam 34223</v>
          </cell>
          <cell r="D382" t="str">
            <v>https://maps.app.goo.gl/RKgugCxwLF9Rkdrd9</v>
          </cell>
          <cell r="E382" t="str">
            <v xml:space="preserve">Eng. Ashraf Refaat    </v>
          </cell>
          <cell r="F382" t="str">
            <v>+966569375708</v>
          </cell>
          <cell r="I382" t="str">
            <v>Talaat Elshiwi</v>
          </cell>
          <cell r="J382" t="str">
            <v>+966581567554</v>
          </cell>
        </row>
        <row r="383">
          <cell r="A383" t="str">
            <v>Max Media Communication Solution - MMCS</v>
          </cell>
          <cell r="B383" t="str">
            <v>Riyadh</v>
          </cell>
          <cell r="C383" t="str">
            <v>3367 Umar Ibn Abdul Aziz Br Rd, Ar Rabwah, Riyadh 12835</v>
          </cell>
          <cell r="D383" t="str">
            <v>https://goo.gl/maps/YNTfTkrgJhvuFovY7</v>
          </cell>
          <cell r="E383" t="str">
            <v>Mohamed Mokhtar Elgendy</v>
          </cell>
          <cell r="F383" t="str">
            <v>+966555068032</v>
          </cell>
          <cell r="G383" t="str">
            <v>m.algendy@maxmda.com</v>
          </cell>
        </row>
        <row r="384">
          <cell r="A384" t="str">
            <v>Max Solutions</v>
          </cell>
          <cell r="B384" t="str">
            <v>Jeddah</v>
          </cell>
          <cell r="C384" t="str">
            <v>King Fahad Br. Road, Jawad Center, Jeddah</v>
          </cell>
          <cell r="E384" t="str">
            <v xml:space="preserve">Kareem Shaban </v>
          </cell>
          <cell r="F384" t="str">
            <v>+966555965311</v>
          </cell>
        </row>
        <row r="385">
          <cell r="A385" t="str">
            <v>Mazzaya Information Technology Company</v>
          </cell>
          <cell r="B385" t="str">
            <v>Riyadh</v>
          </cell>
          <cell r="C385" t="str">
            <v>Computer market, Olaya, Riyadh</v>
          </cell>
          <cell r="E385" t="str">
            <v>Elsayed Anber</v>
          </cell>
          <cell r="F385" t="str">
            <v>+966546281709</v>
          </cell>
        </row>
        <row r="386">
          <cell r="A386" t="str">
            <v>MDS for Computer Systems Co.</v>
          </cell>
          <cell r="B386" t="str">
            <v>Jeddah</v>
          </cell>
          <cell r="C386" t="str">
            <v>Al Komra area, Majdo’i roundabout, 5th right., Jeddah, KSA</v>
          </cell>
          <cell r="D386" t="str">
            <v>https://maps.app.goo.gl/gjNjHM4tfokVWrx58</v>
          </cell>
          <cell r="E386" t="str">
            <v>Salem Bawazeer</v>
          </cell>
          <cell r="F386" t="str">
            <v>+966567640825</v>
          </cell>
          <cell r="G386" t="str">
            <v>Sbawazeer@mdsa.com</v>
          </cell>
        </row>
        <row r="387">
          <cell r="A387" t="str">
            <v>MDS for Computer Systems Co.</v>
          </cell>
          <cell r="B387" t="str">
            <v>Riyadh</v>
          </cell>
          <cell r="C387" t="str">
            <v>Sulay- Behind Aramex Wh, Exit 18, Riyadh, KSA</v>
          </cell>
          <cell r="D387" t="str">
            <v>https://goo.gl/maps/mkXXhdL6j844R79s7</v>
          </cell>
          <cell r="E387" t="str">
            <v>Ahmad H. Shikhan</v>
          </cell>
          <cell r="F387" t="str">
            <v>+966599911140</v>
          </cell>
          <cell r="G387" t="str">
            <v>ashikhan@mds-sa.com</v>
          </cell>
          <cell r="I387" t="str">
            <v>Ali Tahir</v>
          </cell>
          <cell r="J387" t="str">
            <v>+966597377311</v>
          </cell>
        </row>
        <row r="388">
          <cell r="A388" t="str">
            <v>MDS for Computer Systems Co.</v>
          </cell>
          <cell r="B388" t="str">
            <v>Khobar</v>
          </cell>
        </row>
        <row r="389">
          <cell r="A389" t="str">
            <v>MDS for Computer Systems Co. - Saleem bb Bawazeer</v>
          </cell>
          <cell r="C389" t="str">
            <v>Jeddah</v>
          </cell>
        </row>
        <row r="390">
          <cell r="A390" t="str">
            <v>Mejdaf Trading Company</v>
          </cell>
          <cell r="B390" t="str">
            <v>Riyadh</v>
          </cell>
          <cell r="C390" t="str">
            <v>Mejdaf WH, Al Mahbubah, Al Marwah, Riyadh, KSA</v>
          </cell>
          <cell r="D390" t="str">
            <v>https://maps.app.goo.gl/H6vR7aEMMYH5SPGA7</v>
          </cell>
          <cell r="E390" t="str">
            <v xml:space="preserve">Ahmed Shaban </v>
          </cell>
          <cell r="F390" t="str">
            <v>+966(0)504276578</v>
          </cell>
          <cell r="G390" t="str">
            <v xml:space="preserve">centralstore@mejdaf.com </v>
          </cell>
        </row>
        <row r="391">
          <cell r="A391" t="str">
            <v>MEMAR</v>
          </cell>
        </row>
        <row r="392">
          <cell r="A392" t="str">
            <v>Meras International Investment Co.</v>
          </cell>
        </row>
        <row r="393">
          <cell r="A393" t="str">
            <v>Meshaal Contracting &amp; Trading Co. - MCTC</v>
          </cell>
          <cell r="B393" t="str">
            <v>Riyadh</v>
          </cell>
          <cell r="C393" t="str">
            <v>AIC warehouse, Yathrib street Sulay, Riyadh, KSA</v>
          </cell>
          <cell r="D393" t="str">
            <v>https://goo.gl/maps/RWMCJEMaiTf2WiSZA</v>
          </cell>
          <cell r="E393" t="str">
            <v>Taher Pervaiz</v>
          </cell>
          <cell r="F393" t="str">
            <v>+966 59 881 4478</v>
          </cell>
          <cell r="I393" t="str">
            <v>Assaf moh. Alkhuzam</v>
          </cell>
          <cell r="J393" t="str">
            <v>+966502558879</v>
          </cell>
        </row>
        <row r="394">
          <cell r="A394" t="str">
            <v>Metal World EST</v>
          </cell>
          <cell r="B394" t="str">
            <v>Riyadh - warehouse</v>
          </cell>
          <cell r="C394" t="str">
            <v>Tuwaiq, Riyadh</v>
          </cell>
          <cell r="D394" t="str">
            <v>https://maps.app.goo.gl/wkXhmPsW3EyFvAja6</v>
          </cell>
          <cell r="E394" t="str">
            <v>Rajesh Chandu</v>
          </cell>
          <cell r="F394" t="str">
            <v>+966550724969</v>
          </cell>
        </row>
        <row r="395">
          <cell r="A395" t="str">
            <v>Metal World EST</v>
          </cell>
          <cell r="B395" t="str">
            <v>Riyadh - Office</v>
          </cell>
          <cell r="C395" t="str">
            <v>Computer market, Olaya, Riyadh, Al-Ameera Building, 5th Floor, Office No.503</v>
          </cell>
          <cell r="D395" t="str">
            <v>https://maps.app.goo.gl/pXqGJ4Bq8wipiiBh8</v>
          </cell>
          <cell r="E395" t="str">
            <v>Ajith</v>
          </cell>
          <cell r="F395" t="str">
            <v>+966536631445</v>
          </cell>
          <cell r="G395" t="str">
            <v>procurement@mwsa-it.com</v>
          </cell>
          <cell r="H395" t="str">
            <v>Procurement</v>
          </cell>
          <cell r="I395" t="str">
            <v>Mohammed Khalaf</v>
          </cell>
          <cell r="J395" t="str">
            <v>+966598850962</v>
          </cell>
        </row>
        <row r="396">
          <cell r="A396" t="str">
            <v>Midan Alsheraa Co. For Trading</v>
          </cell>
          <cell r="B396" t="str">
            <v>Riyadh</v>
          </cell>
          <cell r="C396" t="str">
            <v>Computer Market, Olaya, Riyadh, KSA</v>
          </cell>
          <cell r="D396" t="str">
            <v>https://maps.app.goo.gl/5s98WQXNgThU4oE39</v>
          </cell>
          <cell r="E396">
            <v>0</v>
          </cell>
          <cell r="F396" t="str">
            <v>AbdulAziz</v>
          </cell>
          <cell r="G396" t="str">
            <v>+966 50 621 9517</v>
          </cell>
          <cell r="I396" t="str">
            <v>Abdullah</v>
          </cell>
          <cell r="J396" t="str">
            <v>+966576531514</v>
          </cell>
        </row>
        <row r="397">
          <cell r="A397" t="str">
            <v>Middle East Telecommunications Company W.L.L. - METCO</v>
          </cell>
          <cell r="B397" t="str">
            <v>Riyadh</v>
          </cell>
          <cell r="C397" t="str">
            <v>King Fahd Branch Rd, Al Olaya, Riyadh 12211</v>
          </cell>
          <cell r="D397" t="str">
            <v>https://goo.gl/maps/yHV9ak4WFkLcjmKW9</v>
          </cell>
        </row>
        <row r="398">
          <cell r="A398" t="str">
            <v>Middle East Vim Contracting Est.</v>
          </cell>
          <cell r="B398" t="str">
            <v>Riyadh</v>
          </cell>
          <cell r="E398" t="str">
            <v>AbdulKhadeer</v>
          </cell>
          <cell r="F398" t="str">
            <v>+966538843787</v>
          </cell>
          <cell r="G398" t="str">
            <v>abdulkhadeer@mevksa.com</v>
          </cell>
        </row>
        <row r="399">
          <cell r="A399" t="str">
            <v>MID-Meras JV (Mid Contracting)</v>
          </cell>
        </row>
        <row r="400">
          <cell r="A400" t="str">
            <v>Mobile Business Company JSC - MBUZZ</v>
          </cell>
        </row>
        <row r="401">
          <cell r="A401" t="str">
            <v>Modern Advanced Fix Co.</v>
          </cell>
        </row>
        <row r="402">
          <cell r="A402" t="str">
            <v>Modern Buildings for Trading Est.</v>
          </cell>
        </row>
        <row r="403">
          <cell r="A403" t="str">
            <v>Modern Communication Solutions Est.</v>
          </cell>
        </row>
        <row r="404">
          <cell r="A404" t="str">
            <v>Modern technology company .(Moteco)</v>
          </cell>
          <cell r="C404" t="str">
            <v>Prince Saad Ibn Abdulrahman Al Awal Rd, Khashm Al Aan, Riyadh 14281</v>
          </cell>
          <cell r="D404" t="str">
            <v>https://maps.app.goo.gl/E5HeyZV1aFsKntG18</v>
          </cell>
          <cell r="E404" t="str">
            <v>Prasanna Kumar Puzhakkal</v>
          </cell>
          <cell r="F404" t="str">
            <v>+966551907941</v>
          </cell>
          <cell r="I404" t="str">
            <v>Abdulla Aqil</v>
          </cell>
          <cell r="J404" t="str">
            <v>+966592756267‬</v>
          </cell>
        </row>
        <row r="405">
          <cell r="A405" t="str">
            <v>Mohammad Al-Khozaim Information Technology - K-Tech</v>
          </cell>
          <cell r="B405" t="str">
            <v>Riyadh</v>
          </cell>
          <cell r="C405" t="str">
            <v>Computer market, Olaya, Riyadh</v>
          </cell>
          <cell r="D405" t="str">
            <v>https://maps.app.goo.gl/oBTraN2RByH4WnhS6</v>
          </cell>
          <cell r="E405" t="str">
            <v>Ahmed Elfar</v>
          </cell>
          <cell r="F405" t="str">
            <v>+966592352522</v>
          </cell>
          <cell r="G405" t="str">
            <v>ahmed.elfar@k-tech.com.sa</v>
          </cell>
          <cell r="H405" t="str">
            <v xml:space="preserve">Finance Dept </v>
          </cell>
          <cell r="I405" t="str">
            <v>Mohamed Ali</v>
          </cell>
          <cell r="J405" t="str">
            <v>+966532524107</v>
          </cell>
        </row>
        <row r="406">
          <cell r="A406" t="str">
            <v>Moons Nature Trading Est.</v>
          </cell>
        </row>
        <row r="407">
          <cell r="A407" t="str">
            <v>MOSHARAK AL-MODAN</v>
          </cell>
        </row>
        <row r="408">
          <cell r="A408" t="str">
            <v>Mounes Mohamed Al Shayeb Civil Construction(MOBCO)</v>
          </cell>
        </row>
        <row r="409">
          <cell r="A409" t="str">
            <v xml:space="preserve">Mr. Mutwakkil Salah </v>
          </cell>
          <cell r="C409" t="str">
            <v>Jeddah</v>
          </cell>
        </row>
        <row r="410">
          <cell r="A410" t="str">
            <v>Multi Telecommunication Solutions</v>
          </cell>
          <cell r="C410" t="str">
            <v>Villa No. 1, 8336 Wadi Dubli Street, Al Aziziyah District, Riyadh</v>
          </cell>
          <cell r="D410" t="str">
            <v>https://maps.app.goo.gl/PmsdwmDSubGst3Hm9</v>
          </cell>
          <cell r="E410" t="str">
            <v>Mehmood Iqbal</v>
          </cell>
          <cell r="F410" t="str">
            <v>+966591911119</v>
          </cell>
        </row>
        <row r="411">
          <cell r="A411" t="str">
            <v>Multiple Integrated Solutions Technology - MIST</v>
          </cell>
        </row>
        <row r="412">
          <cell r="A412" t="str">
            <v>MUSANADA</v>
          </cell>
        </row>
        <row r="413">
          <cell r="A413" t="str">
            <v>Mushor Technology for Trading .</v>
          </cell>
          <cell r="C413" t="str">
            <v>برج الوشم، حي, 8537 طريق الملك فهد، المربع، الرياض 12631 2141،، الوشام, Riyadh 12735</v>
          </cell>
          <cell r="D413" t="str">
            <v>https://maps.app.goo.gl/3KNeQDw5YiHG7Wmf9</v>
          </cell>
          <cell r="F413" t="str">
            <v>+966566247093</v>
          </cell>
          <cell r="I413" t="str">
            <v>Abdelrahman El Syed</v>
          </cell>
          <cell r="J413" t="str">
            <v>+966501186476</v>
          </cell>
        </row>
        <row r="414">
          <cell r="A414" t="str">
            <v>Nahil Computer Co.</v>
          </cell>
          <cell r="B414" t="str">
            <v>Riyadh - Warehouse</v>
          </cell>
          <cell r="C414" t="str">
            <v xml:space="preserve">Nahil Computer warehouse, Hair Road Ext. 21  Ad DarAlBaida, Riyadh </v>
          </cell>
          <cell r="D414" t="str">
            <v>https://maps.app.goo.gl/Gt799AAckRcXdMyY8</v>
          </cell>
          <cell r="E414" t="str">
            <v xml:space="preserve">Karim Radwan </v>
          </cell>
          <cell r="F414" t="str">
            <v>+966535824978</v>
          </cell>
          <cell r="I414" t="str">
            <v xml:space="preserve">Magdi </v>
          </cell>
          <cell r="J414" t="str">
            <v>+966502543328</v>
          </cell>
        </row>
        <row r="415">
          <cell r="A415" t="str">
            <v>Naizak Global ENGG. Systems</v>
          </cell>
          <cell r="B415" t="str">
            <v>Dammam</v>
          </cell>
        </row>
        <row r="416">
          <cell r="A416" t="str">
            <v>Najia Abdullatif Jameel Group Co. - NAJTECH</v>
          </cell>
        </row>
        <row r="417">
          <cell r="A417" t="str">
            <v>Naqawah for Information Technology - Purity</v>
          </cell>
        </row>
        <row r="418">
          <cell r="A418" t="str">
            <v>Nasaq Technology Est.</v>
          </cell>
          <cell r="B418" t="str">
            <v>Riyadh</v>
          </cell>
          <cell r="C418" t="str">
            <v>Nasaq Office, Building No 3349, Al Yarmuk, Riyadh</v>
          </cell>
          <cell r="D418" t="str">
            <v>https://maps.app.goo.gl/2o1WWmtpjXWM7ZqHA</v>
          </cell>
          <cell r="E418" t="str">
            <v>Gulzar Alam Baig</v>
          </cell>
          <cell r="F418" t="str">
            <v>+966559392236</v>
          </cell>
          <cell r="G418" t="str">
            <v>gulzar@nasaq.co</v>
          </cell>
          <cell r="I418" t="str">
            <v>Wael Mohammed</v>
          </cell>
          <cell r="J418" t="str">
            <v>+966539391471</v>
          </cell>
        </row>
        <row r="419">
          <cell r="A419" t="str">
            <v>Nastech Services Arabia for IT Co.</v>
          </cell>
          <cell r="C419" t="str">
            <v>Al, Al Khobar Al Shamalia، Building No. 8407 Prince Sultan St. 27th cross, Al Khobar 31952</v>
          </cell>
          <cell r="D419" t="str">
            <v>https://maps.app.goo.gl/Cd2aK27FqErVMeXF6</v>
          </cell>
          <cell r="E419" t="str">
            <v>Hamim Mobily</v>
          </cell>
          <cell r="F419" t="str">
            <v>+966540747748</v>
          </cell>
        </row>
        <row r="420">
          <cell r="A420" t="str">
            <v>National Advanced Systems Co. Ltd. - NASCO</v>
          </cell>
          <cell r="B420" t="str">
            <v>Riyadh - Office</v>
          </cell>
          <cell r="C420" t="str">
            <v>FAB commercial center, 2nd floor B12, AlYasmin, Riyadh</v>
          </cell>
          <cell r="D420" t="str">
            <v>https://maps.app.goo.gl/YRkSXvvcv5Vhk5hZ6</v>
          </cell>
          <cell r="E420" t="str">
            <v>Syed Abdul Hameed</v>
          </cell>
          <cell r="F420" t="str">
            <v>+966506102249</v>
          </cell>
          <cell r="G420" t="str">
            <v>hameeda@nasco.com.sa</v>
          </cell>
          <cell r="H420" t="str">
            <v>Supply Chain Manager</v>
          </cell>
        </row>
        <row r="421">
          <cell r="A421" t="str">
            <v>National Advanced Systems Co. Ltd. - NASCO</v>
          </cell>
          <cell r="B421" t="str">
            <v>Riyadh - warehouse</v>
          </cell>
          <cell r="C421" t="str">
            <v>Prince Mohammed Bin Abdulrahman Bin Abdulaziz, Sulay, Riyadh</v>
          </cell>
          <cell r="D421" t="str">
            <v>https://goo.gl/maps/78jyLj7KuBUyMDS79</v>
          </cell>
          <cell r="E421" t="str">
            <v>Syed Abdul Hameed</v>
          </cell>
          <cell r="F421" t="str">
            <v>+966506102249</v>
          </cell>
          <cell r="G421" t="str">
            <v>hameeda@nasco.com.sa</v>
          </cell>
          <cell r="H421" t="str">
            <v>Supply Chain Manager</v>
          </cell>
          <cell r="I421" t="str">
            <v>Shaik Rahmath</v>
          </cell>
          <cell r="J421" t="str">
            <v>+966534841105</v>
          </cell>
        </row>
        <row r="422">
          <cell r="A422" t="str">
            <v>National Computer System Co. - NATCOM</v>
          </cell>
          <cell r="B422" t="str">
            <v>Riyadh</v>
          </cell>
          <cell r="C422" t="str">
            <v>NATCOM Office, King Abdul Aziz Branch Rd, As Sulimaniyah, Riyadh</v>
          </cell>
          <cell r="D422" t="str">
            <v>https://goo.gl/maps/eFbGrttUD8usCurL6</v>
          </cell>
          <cell r="E422" t="str">
            <v xml:space="preserve">Mohammed Zubair </v>
          </cell>
          <cell r="F422" t="str">
            <v>+966503127891</v>
          </cell>
          <cell r="G422" t="str">
            <v>mohammed.zubair@natcom.com.sa</v>
          </cell>
          <cell r="I422" t="str">
            <v>Rafeeq Muhammad</v>
          </cell>
          <cell r="J422" t="str">
            <v>+966558560380</v>
          </cell>
        </row>
        <row r="423">
          <cell r="A423" t="str">
            <v>National lighting Company</v>
          </cell>
          <cell r="C423" t="str">
            <v>Street 77, Dammam 31411</v>
          </cell>
          <cell r="D423" t="str">
            <v>https://maps.app.goo.gl/pXqn94jMsu6ko2vF8</v>
          </cell>
          <cell r="E423" t="str">
            <v xml:space="preserve">Mohammad Helmy </v>
          </cell>
          <cell r="F423" t="str">
            <v>+966599980403</v>
          </cell>
        </row>
        <row r="424">
          <cell r="A424" t="str">
            <v>Nesma And Partners Contracting Company</v>
          </cell>
        </row>
        <row r="425">
          <cell r="A425" t="str">
            <v>NESMA UNITED INDUSTRIES CO.LTD</v>
          </cell>
        </row>
        <row r="426">
          <cell r="A426" t="str">
            <v>Net Terminals Telecom - Verela Telecom</v>
          </cell>
          <cell r="E426" t="str">
            <v>Mahmoud Rushdi</v>
          </cell>
          <cell r="F426" t="str">
            <v>+966546469798</v>
          </cell>
        </row>
        <row r="427">
          <cell r="A427" t="str">
            <v>Network Gates</v>
          </cell>
          <cell r="B427" t="str">
            <v>Jeddah</v>
          </cell>
          <cell r="C427" t="str">
            <v>Building # 6745, Abdullah Ibn Al Hasan Street, Al Bawadi dist., Jeddah, KSA</v>
          </cell>
          <cell r="D427" t="str">
            <v>https://goo.gl/maps/t9BtKfusxjKaj6dN7</v>
          </cell>
          <cell r="E427" t="str">
            <v>Nabil Ghanem</v>
          </cell>
          <cell r="F427" t="str">
            <v>+966500660927</v>
          </cell>
          <cell r="I427" t="str">
            <v>Naif Ghanem</v>
          </cell>
          <cell r="J427" t="str">
            <v>+966556539823</v>
          </cell>
        </row>
        <row r="428">
          <cell r="A428" t="str">
            <v>Network place for trading EST</v>
          </cell>
          <cell r="C428" t="str">
            <v xml:space="preserve">Olaya computer market </v>
          </cell>
          <cell r="D428" t="str">
            <v>https://maps.app.goo.gl/yovpbyJamG5D4AGh8</v>
          </cell>
          <cell r="E428" t="str">
            <v xml:space="preserve">Atif </v>
          </cell>
          <cell r="F428" t="str">
            <v>+966508999795</v>
          </cell>
        </row>
        <row r="429">
          <cell r="A429" t="str">
            <v>Networking technology world company</v>
          </cell>
          <cell r="B429" t="str">
            <v>Jeddah</v>
          </cell>
          <cell r="C429" t="str">
            <v>Khalid Bin Al Walid S</v>
          </cell>
          <cell r="E429" t="str">
            <v xml:space="preserve">Monef </v>
          </cell>
          <cell r="F429" t="str">
            <v>+966539055464</v>
          </cell>
        </row>
        <row r="430">
          <cell r="A430" t="str">
            <v>Networks &amp; More Co.</v>
          </cell>
          <cell r="B430" t="str">
            <v>Riyadh - Showroom</v>
          </cell>
          <cell r="C430" t="str">
            <v>AlRossais Commercial Center , 5th flr, Office # 509, Riyadh, KSA</v>
          </cell>
          <cell r="D430" t="str">
            <v>https://maps.app.goo.gl/4z9vtvm6dPemDCxe9</v>
          </cell>
          <cell r="E430" t="str">
            <v>Syeed Basha</v>
          </cell>
          <cell r="F430" t="str">
            <v>+966504540816</v>
          </cell>
          <cell r="G430" t="str">
            <v>sbasha@networksandmore.com.sa</v>
          </cell>
        </row>
        <row r="431">
          <cell r="A431" t="str">
            <v>Networks &amp; More Co.</v>
          </cell>
          <cell r="B431" t="str">
            <v>Riyadh - warehouse</v>
          </cell>
          <cell r="C431" t="str">
            <v>الدائري الثاني, Al Mashael, Riyadh 14327</v>
          </cell>
          <cell r="D431" t="str">
            <v>https://maps.app.goo.gl/QPz22omdUfFzSUmPA</v>
          </cell>
          <cell r="E431" t="str">
            <v>Syeed Basha</v>
          </cell>
          <cell r="F431" t="str">
            <v>+966504540816</v>
          </cell>
          <cell r="G431" t="str">
            <v>sbasha@networksandmore.com.sa</v>
          </cell>
          <cell r="I431" t="str">
            <v>Ghareeb Sayed</v>
          </cell>
          <cell r="J431" t="str">
            <v>+966553099336</v>
          </cell>
        </row>
        <row r="432">
          <cell r="A432" t="str">
            <v>Networks &amp; More Co.</v>
          </cell>
          <cell r="B432" t="str">
            <v>Khobar</v>
          </cell>
          <cell r="C432" t="str">
            <v>Al Dossary Towers, Al Khobar Al Janubiyah, Al Khobar</v>
          </cell>
          <cell r="D432" t="str">
            <v>https://maps.app.goo.gl/Nx2aX3TipF2oAUXU9</v>
          </cell>
          <cell r="E432" t="str">
            <v>Essam Sawadi</v>
          </cell>
          <cell r="F432" t="str">
            <v>+966537299967</v>
          </cell>
          <cell r="G432" t="str">
            <v>essam@networksandmore.com.sa</v>
          </cell>
          <cell r="I432" t="str">
            <v>Walid Mohamad</v>
          </cell>
          <cell r="J432" t="str">
            <v>+966597722186</v>
          </cell>
        </row>
        <row r="433">
          <cell r="A433" t="str">
            <v>Networks &amp; More Co.</v>
          </cell>
          <cell r="B433" t="str">
            <v>Khamis Mushait - Showroom</v>
          </cell>
          <cell r="C433" t="str">
            <v>Networks &amp; More Co. Showroom, Al Rawdah - Behind Of Azizia compound for Computer, Khamis Mushait</v>
          </cell>
          <cell r="D433" t="str">
            <v>https://maps.app.goo.gl/86U2seVQX5D4vBNF9</v>
          </cell>
          <cell r="E433" t="str">
            <v>Faisal Alshehri  </v>
          </cell>
          <cell r="F433" t="str">
            <v>+966500628209</v>
          </cell>
          <cell r="G433" t="str">
            <v>faisal@networksandmore.com.sa</v>
          </cell>
          <cell r="I433" t="str">
            <v>Zaffar Ali </v>
          </cell>
          <cell r="J433" t="str">
            <v>+966554420598</v>
          </cell>
        </row>
        <row r="434">
          <cell r="A434" t="str">
            <v>Networks &amp; More Co.</v>
          </cell>
          <cell r="B434" t="str">
            <v>Jeddah</v>
          </cell>
          <cell r="C434" t="str">
            <v>Rawaah Center - Khaled Bin Waleed St-Jeddah- Saudi Arabia</v>
          </cell>
          <cell r="E434" t="str">
            <v>Eng. Obaidah Adnan</v>
          </cell>
          <cell r="F434" t="str">
            <v>+966 552322032 </v>
          </cell>
          <cell r="G434" t="str">
            <v xml:space="preserve"> oadnan@networksandmore.com.sa</v>
          </cell>
        </row>
        <row r="435">
          <cell r="A435" t="str">
            <v>Networks and Technologies CO.</v>
          </cell>
          <cell r="C435" t="str">
            <v>Eastern road, Al Izdihar, Riyadh 12488</v>
          </cell>
          <cell r="D435" t="str">
            <v>https://maps.app.goo.gl/KBCGGvwkTR6SNS4o9</v>
          </cell>
          <cell r="E435" t="str">
            <v>Nasser Alshammari</v>
          </cell>
          <cell r="F435" t="str">
            <v>+966535821290</v>
          </cell>
        </row>
        <row r="436">
          <cell r="A436" t="str">
            <v>Networks Corner Trading Est. - NCT</v>
          </cell>
          <cell r="B436" t="str">
            <v>Riyadh</v>
          </cell>
          <cell r="C436" t="str">
            <v>Olaya, Computer Market, Riyadh, KSA</v>
          </cell>
          <cell r="D436" t="str">
            <v>https://maps.app.goo.gl/BgxqsriM4FXoVCHKA</v>
          </cell>
          <cell r="E436" t="str">
            <v>Muhammed Ahmed</v>
          </cell>
          <cell r="F436" t="str">
            <v>+966563934751</v>
          </cell>
        </row>
        <row r="437">
          <cell r="A437" t="str">
            <v>Networks Sea Trading Company</v>
          </cell>
          <cell r="B437" t="str">
            <v>Riyadh</v>
          </cell>
          <cell r="C437" t="str">
            <v>Olaya, Computer Market, Riyadh, KSA</v>
          </cell>
          <cell r="D437" t="str">
            <v>https://maps.app.goo.gl/1bM7jPCkBTbhDQMQA</v>
          </cell>
          <cell r="E437" t="str">
            <v>Awad Saad</v>
          </cell>
          <cell r="F437" t="str">
            <v>+966537251998</v>
          </cell>
          <cell r="G437" t="str">
            <v>awadsaad@nsea.com.sa</v>
          </cell>
          <cell r="I437" t="str">
            <v xml:space="preserve">Wasim Nazir </v>
          </cell>
          <cell r="J437" t="str">
            <v>+966500544092</v>
          </cell>
        </row>
        <row r="438">
          <cell r="A438" t="str">
            <v>New Generation Mission Systems Arab</v>
          </cell>
          <cell r="C438" t="str">
            <v>QJ8R+38P Al Aqiq, Riyadh</v>
          </cell>
          <cell r="D438" t="str">
            <v>https://maps.app.goo.gl/pUFWbes4WvCWL68cA</v>
          </cell>
          <cell r="E438" t="str">
            <v>~Taha Faytrouni</v>
          </cell>
          <cell r="F438" t="str">
            <v>+966532603242</v>
          </cell>
        </row>
        <row r="439">
          <cell r="A439" t="str">
            <v>Next Generation Bits</v>
          </cell>
          <cell r="C439" t="str">
            <v>King Abdullah Ibn Abdulaziz Rd, Al Khubar Ash Shamaliyah</v>
          </cell>
          <cell r="D439" t="str">
            <v>Dist. 34429-6177, Al Khobar, KSA</v>
          </cell>
          <cell r="E439" t="str">
            <v>Naushad Mohammad</v>
          </cell>
          <cell r="F439" t="str">
            <v>+966556581721</v>
          </cell>
        </row>
        <row r="440">
          <cell r="A440" t="str">
            <v>Next Generation Bits Arabia Limited Company - NEXGEN Bits</v>
          </cell>
          <cell r="B440" t="str">
            <v>Khobar</v>
          </cell>
          <cell r="C440" t="str">
            <v>Building No. 3020, Prince Mansour St, Al Khobar Al Shamalia, Al Khobar</v>
          </cell>
          <cell r="D440" t="str">
            <v>https://maps.app.goo.gl/ZyyS5zkNG9KX8Vi7A</v>
          </cell>
          <cell r="E440" t="str">
            <v>Zahid Hussain</v>
          </cell>
          <cell r="F440" t="str">
            <v>+966575039322</v>
          </cell>
        </row>
        <row r="441">
          <cell r="A441" t="str">
            <v>Next Generation Networks</v>
          </cell>
          <cell r="C441" t="str">
            <v xml:space="preserve">Amr Aldamri St, Al Safarat, Riyadh 12511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النرجس، الرياض،                                            </v>
          </cell>
          <cell r="D441" t="str">
            <v>https://maps.app.goo.gl/ZocBDMmYFojzWx5k7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https://maps.app.goo.gl/jmafBocDkL3EXVnm6</v>
          </cell>
          <cell r="E441" t="str">
            <v>Mohammed Abu Salamah</v>
          </cell>
          <cell r="F441" t="str">
            <v>+966568995442</v>
          </cell>
        </row>
        <row r="442">
          <cell r="A442" t="str">
            <v>Next Generation Networks - NGN</v>
          </cell>
          <cell r="B442" t="str">
            <v>Riyadh</v>
          </cell>
          <cell r="C442" t="str">
            <v>NGN New Office, Tahliah Rd, Riyadh, KSA</v>
          </cell>
          <cell r="D442" t="str">
            <v>https://goo.gl/maps/s5KEedfjsYwrbsUM8</v>
          </cell>
          <cell r="E442" t="str">
            <v>Ghyath Dhymsh</v>
          </cell>
          <cell r="F442" t="str">
            <v>+966500639163</v>
          </cell>
          <cell r="G442" t="str">
            <v>ghyath@ngn-sa.com</v>
          </cell>
          <cell r="I442" t="str">
            <v>Thuraya Abusaleh</v>
          </cell>
          <cell r="J442" t="str">
            <v>+966506231285</v>
          </cell>
        </row>
        <row r="443">
          <cell r="A443" t="str">
            <v>Nojoom Al Raqia for Trading Est</v>
          </cell>
          <cell r="B443" t="str">
            <v>Riyadh</v>
          </cell>
          <cell r="C443" t="str">
            <v>Olaya, Computer Market, Riyadh, KSA</v>
          </cell>
          <cell r="D443" t="str">
            <v>https://maps.app.goo.gl/sV1sxiykB4Tmcnbd6</v>
          </cell>
          <cell r="E443" t="str">
            <v>Muhammad Abdulrahman</v>
          </cell>
          <cell r="F443" t="str">
            <v>+966 54 390 2119</v>
          </cell>
          <cell r="I443" t="str">
            <v>Yogesh</v>
          </cell>
          <cell r="J443" t="str">
            <v>+966564269526</v>
          </cell>
        </row>
        <row r="444">
          <cell r="A444" t="str">
            <v>Noor Solutions And Trading Est.</v>
          </cell>
        </row>
        <row r="445">
          <cell r="A445" t="str">
            <v>Northek W.L.L.</v>
          </cell>
          <cell r="B445" t="str">
            <v>Riyadh</v>
          </cell>
          <cell r="C445" t="str">
            <v>Jarir Street, Almalaz, Riyadh, Saudi Arabia</v>
          </cell>
          <cell r="D445" t="str">
            <v>https://maps.app.goo.gl/TGdmKKMeYeyng1HN6</v>
          </cell>
          <cell r="E445" t="str">
            <v xml:space="preserve">Walid Alkabbani </v>
          </cell>
          <cell r="F445" t="str">
            <v>+966562433110</v>
          </cell>
          <cell r="G445" t="str">
            <v>walid.k@nst-tech.net</v>
          </cell>
          <cell r="I445" t="str">
            <v>Naseeb Kalabhavan</v>
          </cell>
          <cell r="J445" t="str">
            <v>+966 55 080 0183</v>
          </cell>
        </row>
        <row r="446">
          <cell r="A446" t="str">
            <v>Northek W.L.L.</v>
          </cell>
          <cell r="B446" t="str">
            <v>Khobar</v>
          </cell>
          <cell r="C446" t="str">
            <v xml:space="preserve">Hilal Computer Warehouse, King Khalid Branch Rd, Ibn Sina, Al Khobar </v>
          </cell>
          <cell r="D446" t="str">
            <v>https://goo.gl/maps/yFKuCBG2dbu</v>
          </cell>
          <cell r="E446" t="str">
            <v xml:space="preserve">MUSTHAFA KP  </v>
          </cell>
          <cell r="F446" t="str">
            <v>+966557912362</v>
          </cell>
          <cell r="G446" t="str">
            <v>musthafa.k@hilal-technology.com</v>
          </cell>
          <cell r="I446" t="str">
            <v xml:space="preserve">ABDUL GAFOOR  </v>
          </cell>
          <cell r="J446" t="str">
            <v>+966558868402</v>
          </cell>
        </row>
        <row r="447">
          <cell r="A447" t="str">
            <v>Novasat Co.</v>
          </cell>
        </row>
        <row r="448">
          <cell r="A448" t="str">
            <v>NR Engineering Co LTD</v>
          </cell>
        </row>
        <row r="449">
          <cell r="A449" t="str">
            <v>Oceans Lights International Co.</v>
          </cell>
          <cell r="E449" t="str">
            <v>Muhammad ali</v>
          </cell>
          <cell r="F449" t="str">
            <v>+966596681390</v>
          </cell>
          <cell r="I449" t="str">
            <v>Abu Yazan</v>
          </cell>
          <cell r="J449" t="str">
            <v>+966551110028</v>
          </cell>
        </row>
        <row r="450">
          <cell r="A450" t="str">
            <v>One Vision</v>
          </cell>
          <cell r="B450" t="str">
            <v>Riyadh</v>
          </cell>
          <cell r="F450" t="str">
            <v>0570864230
0590405874</v>
          </cell>
          <cell r="G450" t="str">
            <v>ayman@onevision-ksa.com</v>
          </cell>
          <cell r="H450" t="str">
            <v>Account Manager</v>
          </cell>
          <cell r="I450" t="str">
            <v>Ahmed Fathi</v>
          </cell>
          <cell r="J450" t="str">
            <v>+966568413000</v>
          </cell>
        </row>
        <row r="451">
          <cell r="A451" t="str">
            <v>Opal Technology Company.</v>
          </cell>
          <cell r="B451" t="str">
            <v>Qassim</v>
          </cell>
          <cell r="C451" t="str">
            <v>Buraidah, Saudi Arabia</v>
          </cell>
          <cell r="D451" t="str">
            <v>https://goo.gl/maps/JyL8PsGpLQzqUeGo9</v>
          </cell>
          <cell r="E451" t="str">
            <v xml:space="preserve">Eng.Hatem Chama </v>
          </cell>
          <cell r="F451" t="str">
            <v>+966561932020</v>
          </cell>
          <cell r="G451" t="str">
            <v>hatem@opal-t.com.sa</v>
          </cell>
        </row>
        <row r="452">
          <cell r="A452" t="str">
            <v>Open Ways</v>
          </cell>
          <cell r="B452" t="str">
            <v>Khobar</v>
          </cell>
          <cell r="C452" t="str">
            <v>Office No. 502, 5th Floor, Building No: 5227, Al Janubiyah District, Alkhobar</v>
          </cell>
          <cell r="E452" t="str">
            <v>Mohammed Fazil</v>
          </cell>
          <cell r="F452" t="str">
            <v>+966553625772</v>
          </cell>
          <cell r="G452" t="str">
            <v>m.fazil@openwayes.com</v>
          </cell>
        </row>
        <row r="453">
          <cell r="A453" t="str">
            <v>ORBITA INFORMATION TECHNOLOGY</v>
          </cell>
          <cell r="C453" t="str">
            <v>Olaya Computer Market Parking, Al Olaya, Riyadh 12211</v>
          </cell>
          <cell r="D453" t="str">
            <v>https://maps.app.goo.gl/pa7F8tjXgmAHGgsJ6</v>
          </cell>
          <cell r="E453" t="str">
            <v xml:space="preserve">Mohammed Goda </v>
          </cell>
          <cell r="F453" t="str">
            <v>+966537715741</v>
          </cell>
        </row>
        <row r="454">
          <cell r="A454" t="str">
            <v>Orient Construction Company - weave</v>
          </cell>
          <cell r="C454" t="str">
            <v>New Industrial Area, Riyadh</v>
          </cell>
          <cell r="D454" t="str">
            <v>https://maps.app.goo.gl/o7suTAyJuQkqJKbF9</v>
          </cell>
          <cell r="E454" t="str">
            <v>Aamer Alhaj</v>
          </cell>
          <cell r="F454" t="str">
            <v>+966590700477</v>
          </cell>
        </row>
        <row r="455">
          <cell r="A455" t="str">
            <v>ORIONEDGE IT SOL</v>
          </cell>
        </row>
        <row r="456">
          <cell r="A456" t="str">
            <v>OSOS Skylines Contracting Co.</v>
          </cell>
          <cell r="B456" t="str">
            <v>Jeddah</v>
          </cell>
          <cell r="C456" t="str">
            <v>OSOS Jeddah warehouse, Jeddah, KSA</v>
          </cell>
          <cell r="D456" t="str">
            <v>https://goo.gl/maps/Gcbp2XzU9Xp8ckob7</v>
          </cell>
          <cell r="E456" t="str">
            <v>Mohammed Aldabbas</v>
          </cell>
          <cell r="F456" t="str">
            <v>+966 55 819 2737</v>
          </cell>
          <cell r="G456" t="str">
            <v>M.dabbas@osos-ksa.com</v>
          </cell>
          <cell r="I456" t="str">
            <v>Noor Alhamawi</v>
          </cell>
          <cell r="J456" t="str">
            <v>+966502232994</v>
          </cell>
        </row>
        <row r="457">
          <cell r="A457" t="str">
            <v>Ossman Tech</v>
          </cell>
        </row>
        <row r="458">
          <cell r="A458" t="str">
            <v>Othman Rashid Al- Othman Information</v>
          </cell>
          <cell r="C458" t="str">
            <v xml:space="preserve">Prince Faisal Bin Fahd Road, Madinat Al Umal, Al Khobar </v>
          </cell>
          <cell r="D458" t="str">
            <v>https://maps.app.goo.gl/kfbP8jTdkaRWEQ3M9</v>
          </cell>
          <cell r="E458" t="str">
            <v>Sharib</v>
          </cell>
          <cell r="F458" t="str">
            <v>+966591850428</v>
          </cell>
        </row>
        <row r="459">
          <cell r="A459" t="str">
            <v>Paisan Technical EST for trading</v>
          </cell>
          <cell r="C459" t="str">
            <v>Al Olaya, Riyadh 12211</v>
          </cell>
          <cell r="D459" t="str">
            <v>https://maps.app.goo.gl/H9q9Dbh866zvEbhe6</v>
          </cell>
          <cell r="E459" t="str">
            <v>Mohammed Alrais</v>
          </cell>
          <cell r="F459" t="str">
            <v>+966581501701</v>
          </cell>
        </row>
        <row r="460">
          <cell r="A460" t="str">
            <v>Perfect Presentation - 2P</v>
          </cell>
          <cell r="B460" t="str">
            <v>Riyadh</v>
          </cell>
          <cell r="C460" t="str">
            <v>Shaikh Abdullah Ibn Jabreen St, Al Qirawan, Riyadh 13531</v>
          </cell>
          <cell r="D460" t="str">
            <v>https://goo.gl/maps/3S2Y7Xik9ZivaKGj7</v>
          </cell>
          <cell r="E460" t="str">
            <v>Mohammed ElMassri</v>
          </cell>
          <cell r="F460" t="str">
            <v>+966505976797</v>
          </cell>
          <cell r="G460" t="str">
            <v>melmassri@2p.com.sa</v>
          </cell>
        </row>
        <row r="461">
          <cell r="A461" t="str">
            <v>Power and Control</v>
          </cell>
          <cell r="B461" t="str">
            <v>Riyadh</v>
          </cell>
          <cell r="C461" t="str">
            <v>4497 Prince Mohammed Bin Abdulrahman Bin Abdulaziz, As Sulay, 7409, Riyadh 14264</v>
          </cell>
          <cell r="D461" t="str">
            <v>https://maps.app.goo.gl/HoEjJLYP4cZARM4E7</v>
          </cell>
          <cell r="E461" t="str">
            <v>Bilal Tayep</v>
          </cell>
          <cell r="F461" t="str">
            <v>+966544398432</v>
          </cell>
        </row>
        <row r="462">
          <cell r="A462" t="str">
            <v>Power Assurance Trading  EST .</v>
          </cell>
          <cell r="C462">
            <v>0</v>
          </cell>
          <cell r="D462">
            <v>0</v>
          </cell>
          <cell r="E462" t="str">
            <v xml:space="preserve">Sreejith </v>
          </cell>
          <cell r="F462" t="str">
            <v>+966531106614</v>
          </cell>
        </row>
        <row r="463">
          <cell r="A463" t="str">
            <v>Power ASSURANCE TRADING EST .</v>
          </cell>
          <cell r="C463">
            <v>0</v>
          </cell>
          <cell r="D463">
            <v>0</v>
          </cell>
          <cell r="E463">
            <v>0</v>
          </cell>
          <cell r="F463" t="str">
            <v>+966558883468</v>
          </cell>
        </row>
        <row r="464">
          <cell r="A464" t="str">
            <v>Power Level Co.</v>
          </cell>
          <cell r="B464" t="str">
            <v>MANAKAH Warehouse</v>
          </cell>
          <cell r="C464" t="str">
            <v>حي المناخ, RNCB6832 , 6832, Riyadh 14316</v>
          </cell>
          <cell r="D464" t="str">
            <v>https://maps.app.goo.gl/Hw1Cuqobf7hsV7fy5</v>
          </cell>
          <cell r="E464" t="str">
            <v>Awad</v>
          </cell>
          <cell r="F464" t="str">
            <v>+966531420977</v>
          </cell>
          <cell r="I464" t="str">
            <v xml:space="preserve">Ahmed Naser </v>
          </cell>
          <cell r="J464" t="str">
            <v>+966567501428</v>
          </cell>
        </row>
        <row r="465">
          <cell r="A465" t="str">
            <v>Prime Gate for Telecommunication &amp; Information Technology Company</v>
          </cell>
        </row>
        <row r="466">
          <cell r="A466" t="str">
            <v>Pyramid Networks Foundation for Com</v>
          </cell>
          <cell r="C466">
            <v>0</v>
          </cell>
          <cell r="D466">
            <v>0</v>
          </cell>
          <cell r="E466" t="str">
            <v>Mohamed Abdelwahab</v>
          </cell>
          <cell r="F466" t="str">
            <v>"+966502929456</v>
          </cell>
        </row>
        <row r="467">
          <cell r="A467" t="str">
            <v>QMAM SHAR FOR CONTRACTING CO.</v>
          </cell>
        </row>
        <row r="468">
          <cell r="A468" t="str">
            <v>Qumrat alaman security establishmen</v>
          </cell>
          <cell r="C468" t="str">
            <v>Jubail</v>
          </cell>
          <cell r="D468">
            <v>0</v>
          </cell>
          <cell r="E468" t="str">
            <v>Khaled Al Muqaty</v>
          </cell>
          <cell r="F468" t="str">
            <v>+966580487998</v>
          </cell>
        </row>
        <row r="469">
          <cell r="A469" t="str">
            <v>Qumrat alaman security establishment</v>
          </cell>
          <cell r="B469" t="str">
            <v>Jubail</v>
          </cell>
          <cell r="E469" t="str">
            <v xml:space="preserve">Bahaa eldin </v>
          </cell>
          <cell r="F469" t="str">
            <v>+966578527558</v>
          </cell>
          <cell r="G469" t="str">
            <v> bahaashabaka@qumratalaman.com</v>
          </cell>
        </row>
        <row r="470">
          <cell r="A470" t="str">
            <v>Rabou Liyan Trading Est</v>
          </cell>
          <cell r="C470">
            <v>0</v>
          </cell>
          <cell r="D470">
            <v>0</v>
          </cell>
          <cell r="E470" t="str">
            <v>ABDUL RAZAK</v>
          </cell>
          <cell r="F470" t="str">
            <v>+966535540955</v>
          </cell>
        </row>
        <row r="471">
          <cell r="A471" t="str">
            <v>Rabou Liyan Trading Est.</v>
          </cell>
          <cell r="B471" t="str">
            <v>Riyadh</v>
          </cell>
          <cell r="C471" t="str">
            <v>Computer Market, Al Olaya, Riyadh</v>
          </cell>
          <cell r="D471" t="str">
            <v>https://maps.app.goo.gl/AcpzUfSi11jz8NGu6</v>
          </cell>
          <cell r="E471" t="str">
            <v>Abdul Saleem</v>
          </cell>
          <cell r="F471" t="str">
            <v>+966501334528</v>
          </cell>
        </row>
        <row r="472">
          <cell r="A472" t="str">
            <v>Rakal International for Trading Com</v>
          </cell>
          <cell r="B472" t="str">
            <v>Riyadh</v>
          </cell>
          <cell r="E472" t="str">
            <v>Monzir Mohamed</v>
          </cell>
          <cell r="F472" t="str">
            <v>+966550347573</v>
          </cell>
          <cell r="G472" t="str">
            <v>Hadeel.mohammad@rakalspaces.com</v>
          </cell>
        </row>
        <row r="473">
          <cell r="A473" t="str">
            <v>Rawabi Specialized Contracting</v>
          </cell>
        </row>
        <row r="474">
          <cell r="A474" t="str">
            <v>RAWASI ENERGY LIMITED</v>
          </cell>
          <cell r="C474">
            <v>0</v>
          </cell>
          <cell r="D474">
            <v>0</v>
          </cell>
          <cell r="E474" t="str">
            <v xml:space="preserve">Moataz Alameen </v>
          </cell>
          <cell r="F474" t="str">
            <v>+966501151560</v>
          </cell>
        </row>
        <row r="475">
          <cell r="A475" t="str">
            <v xml:space="preserve">Rawasi Energy Limited </v>
          </cell>
          <cell r="C475" t="str">
            <v>Al Khobar, Saudi Arabia</v>
          </cell>
          <cell r="D475" t="str">
            <v>https://maps.app.goo.gl/kkR1EiGFei51SABr6</v>
          </cell>
        </row>
        <row r="476">
          <cell r="A476" t="str">
            <v>Rayat Technology</v>
          </cell>
        </row>
        <row r="477">
          <cell r="A477" t="str">
            <v>Red wax company</v>
          </cell>
          <cell r="C477" t="str">
            <v>Al Sheikh Hassan Ibn Husain, Al Munsiyah, Riyadh 13246</v>
          </cell>
          <cell r="D477" t="str">
            <v>https://maps.app.goo.gl/YXmNU3LrAn9sjqpq5</v>
          </cell>
          <cell r="E477">
            <v>0</v>
          </cell>
          <cell r="F477" t="str">
            <v>+966558883468</v>
          </cell>
        </row>
        <row r="478">
          <cell r="A478" t="str">
            <v>REDA Trading &amp; Development Co</v>
          </cell>
        </row>
        <row r="479">
          <cell r="A479" t="str">
            <v>REDA Trading &amp; Development Co.</v>
          </cell>
          <cell r="C479" t="str">
            <v>QHH4+WWM, Mastabah 24991</v>
          </cell>
          <cell r="D479" t="str">
            <v>https://maps.app.goo.gl/rBKKE8Uvv2f1ULv27</v>
          </cell>
          <cell r="E479" t="str">
            <v>Umapati</v>
          </cell>
          <cell r="F479" t="str">
            <v>+966567897514</v>
          </cell>
        </row>
        <row r="480">
          <cell r="A480" t="str">
            <v>REEF DANAN CO</v>
          </cell>
          <cell r="C480" t="str">
            <v>Aman Hegra Resort Site Office, Hegra, Al ula.</v>
          </cell>
          <cell r="D480" t="str">
            <v>https://maps.app.goo.gl/jj6HLMxETipQ9thu7</v>
          </cell>
          <cell r="E480" t="str">
            <v xml:space="preserve"> Mohamed Nowfal</v>
          </cell>
          <cell r="F480" t="str">
            <v>+966546316443</v>
          </cell>
        </row>
        <row r="481">
          <cell r="A481" t="str">
            <v>RETLL INTERNATIONAL</v>
          </cell>
          <cell r="B481" t="str">
            <v>Riyadh</v>
          </cell>
          <cell r="C481" t="str">
            <v>Hijratlaban, Riyadh</v>
          </cell>
          <cell r="D481" t="str">
            <v>https://maps.app.goo.gl/UHe79yzfJNbUkGmk8</v>
          </cell>
          <cell r="E481" t="str">
            <v>Hussam</v>
          </cell>
          <cell r="F481" t="str">
            <v>0554422389/0501033355</v>
          </cell>
          <cell r="G481" t="str">
            <v>hussam@retll.com</v>
          </cell>
        </row>
        <row r="482">
          <cell r="A482" t="str">
            <v>Rheinmetall Arabia Simulation and Training Company</v>
          </cell>
        </row>
        <row r="483">
          <cell r="A483" t="str">
            <v>Rheinmetall Arabia Simulation And Traning LLC</v>
          </cell>
        </row>
        <row r="484">
          <cell r="A484" t="str">
            <v>Riyadh Alternatives</v>
          </cell>
        </row>
        <row r="485">
          <cell r="A485" t="str">
            <v>Romuz Technologies for Cybersecurity (TSS)</v>
          </cell>
          <cell r="B485" t="str">
            <v>Riyadh</v>
          </cell>
          <cell r="C485" t="str">
            <v>Al lhsaa St. Hawshan Complex, Ar Rabwah, Riyadh, Saudi Arabia</v>
          </cell>
          <cell r="D485" t="str">
            <v>https://maps.app.goo.gl/383BBahuzDYsQWUD8</v>
          </cell>
          <cell r="E485" t="str">
            <v xml:space="preserve">Sherif Yousef </v>
          </cell>
          <cell r="F485" t="str">
            <v>+966541516133</v>
          </cell>
          <cell r="G485" t="str">
            <v>SYousef@romuz.com.sa</v>
          </cell>
          <cell r="I485" t="str">
            <v xml:space="preserve">Mohamed Negm </v>
          </cell>
          <cell r="J485" t="str">
            <v>+966543114303</v>
          </cell>
        </row>
        <row r="486">
          <cell r="A486" t="str">
            <v>Rumouz Inf. Technology</v>
          </cell>
          <cell r="B486" t="str">
            <v>Riyadh</v>
          </cell>
          <cell r="C486" t="str">
            <v>AlMousa Center, 3rd Tower, 4th Floor, Office # 346 Riyadh, KSA</v>
          </cell>
          <cell r="D486" t="str">
            <v>https://maps.app.goo.gl/tqnVkHaemPw8pceL6</v>
          </cell>
          <cell r="E486" t="str">
            <v>Effat Sabbour</v>
          </cell>
          <cell r="F486" t="str">
            <v>+966505216383</v>
          </cell>
          <cell r="I486" t="str">
            <v xml:space="preserve">Kareem </v>
          </cell>
          <cell r="J486" t="str">
            <v>+966 54 453 8591</v>
          </cell>
        </row>
        <row r="487">
          <cell r="A487" t="str">
            <v xml:space="preserve">SABAQ INFORMATION </v>
          </cell>
        </row>
        <row r="488">
          <cell r="A488" t="str">
            <v>Safe Decision Co</v>
          </cell>
          <cell r="C488" t="str">
            <v xml:space="preserve">Ibn Al Haitham, An Nahdah, Riyadh </v>
          </cell>
          <cell r="D488" t="str">
            <v>https://maps.app.goo.gl/JH3HpUxpSW7zUTu57</v>
          </cell>
          <cell r="E488" t="str">
            <v>Abdullah Allotafe</v>
          </cell>
          <cell r="F488" t="str">
            <v>+966531306300</v>
          </cell>
        </row>
        <row r="489">
          <cell r="A489" t="str">
            <v>Safe Decision Co.</v>
          </cell>
        </row>
        <row r="490">
          <cell r="A490" t="str">
            <v>SAHABEH SHABKAT ForInformation Tec</v>
          </cell>
          <cell r="C490" t="str">
            <v>MMMQ+66C Al Olaya, Riyadh</v>
          </cell>
          <cell r="D490" t="str">
            <v>https://maps.app.goo.gl/oppf6291HhqrwQtw5</v>
          </cell>
          <cell r="E490" t="str">
            <v>Mohammad Imam (Cloud Networks)</v>
          </cell>
          <cell r="F490" t="str">
            <v>‪+966593209959</v>
          </cell>
        </row>
        <row r="491">
          <cell r="A491" t="str">
            <v>Sahara Net LTD CO</v>
          </cell>
          <cell r="B491" t="str">
            <v>Jubail</v>
          </cell>
          <cell r="C491" t="str">
            <v>Al Mishal Building Center, Office number 601 (6th Floor) - Al Madina Al Munawwarah Street, Jubail</v>
          </cell>
          <cell r="E491" t="str">
            <v xml:space="preserve">Rodel Eugenio </v>
          </cell>
          <cell r="F491" t="str">
            <v>+966500725831</v>
          </cell>
          <cell r="I491" t="str">
            <v>Arsalan</v>
          </cell>
          <cell r="J491" t="str">
            <v>+966597215477</v>
          </cell>
        </row>
        <row r="492">
          <cell r="A492" t="str">
            <v>Sallat  al-saad</v>
          </cell>
        </row>
        <row r="493">
          <cell r="A493" t="str">
            <v>Sama Masa Trading Co.</v>
          </cell>
          <cell r="C493" t="str">
            <v>HRM4+528 Ad Dar Al Baida, Riyadh</v>
          </cell>
          <cell r="D493" t="str">
            <v>https://maps.app.goo.gl/7nuEm3JzXza3VyUV8</v>
          </cell>
          <cell r="E493" t="str">
            <v xml:space="preserve">Mahmoud </v>
          </cell>
          <cell r="F493" t="str">
            <v>+966551104860</v>
          </cell>
        </row>
        <row r="494">
          <cell r="A494" t="str">
            <v>SAMAA Al-oula for contracting</v>
          </cell>
          <cell r="E494" t="str">
            <v>~UMAR QURESHI</v>
          </cell>
          <cell r="F494" t="str">
            <v>+966511274686</v>
          </cell>
          <cell r="H494" t="str">
            <v xml:space="preserve">Store </v>
          </cell>
        </row>
        <row r="495">
          <cell r="A495" t="str">
            <v>Samer Haidar - Saudi Business Machine Ltd. (SB)</v>
          </cell>
          <cell r="C495" t="str">
            <v>Tabuk</v>
          </cell>
        </row>
        <row r="496">
          <cell r="A496" t="str">
            <v>Sara Engineering &amp; Contracting Est.</v>
          </cell>
        </row>
        <row r="497">
          <cell r="A497" t="str">
            <v>SAS SYSTEMS ENGINEERING</v>
          </cell>
        </row>
        <row r="498">
          <cell r="A498" t="str">
            <v>SASAMA COMPUTER TRADING CO</v>
          </cell>
          <cell r="C498" t="str">
            <v>King Fahad Branch Rd, Al Wisham, Riyadh 12735</v>
          </cell>
          <cell r="D498" t="str">
            <v>https://maps.app.goo.gl/7LT5kWjXXhfekgJu6</v>
          </cell>
          <cell r="E498" t="str">
            <v>Saeed Sayed</v>
          </cell>
          <cell r="F498" t="str">
            <v>+966542057081</v>
          </cell>
        </row>
        <row r="499">
          <cell r="A499" t="str">
            <v>Saud Abdul Aziz Al-shalan Co .LTD</v>
          </cell>
          <cell r="C499" t="str">
            <v>4166 Al Samawa St, Al Mashael, حي, 6969, Riyadh 14325</v>
          </cell>
          <cell r="D499" t="str">
            <v>https://maps.app.goo.gl/NPL3en1Dy237eWSR9</v>
          </cell>
          <cell r="E499" t="str">
            <v>Ammar Abdullah</v>
          </cell>
          <cell r="F499" t="str">
            <v>+966566197319</v>
          </cell>
        </row>
        <row r="500">
          <cell r="A500" t="str">
            <v>SAUD BABA IBRAHIM ALJUBAIRI TRADING</v>
          </cell>
        </row>
        <row r="501">
          <cell r="A501" t="str">
            <v>Saudi Achievement</v>
          </cell>
        </row>
        <row r="502">
          <cell r="A502" t="str">
            <v>Saudi Arabic Computer Systems - ACS</v>
          </cell>
          <cell r="B502" t="str">
            <v>Riyadh</v>
          </cell>
          <cell r="C502" t="str">
            <v>Istanbul Street, Next to Nadec Signal, Sulay, Riyadh, KSA</v>
          </cell>
          <cell r="D502" t="str">
            <v>https://maps.app.goo.gl/KhyW4efUt8P9Dgbq7</v>
          </cell>
          <cell r="E502" t="str">
            <v>Ahmed Mustafa</v>
          </cell>
          <cell r="F502" t="str">
            <v>0570519757//
0594514749</v>
          </cell>
          <cell r="I502" t="str">
            <v>Mohammed Yasin</v>
          </cell>
          <cell r="J502" t="str">
            <v>+966507976290</v>
          </cell>
        </row>
        <row r="503">
          <cell r="A503" t="str">
            <v>Saudi Business Machine Ltd. (SBM)</v>
          </cell>
          <cell r="B503" t="str">
            <v>Riyadh</v>
          </cell>
          <cell r="C503" t="str">
            <v>SBM Riyadh Warehouse, Istanbul Street, Al Mashael, Riyadh, KSA</v>
          </cell>
          <cell r="D503" t="str">
            <v>https://goo.gl/maps/NGqAcBDEZce8REiy6</v>
          </cell>
          <cell r="E503" t="str">
            <v>Irfan Azam</v>
          </cell>
          <cell r="F503" t="str">
            <v>+966546782951</v>
          </cell>
          <cell r="G503" t="str">
            <v>iazam@sbm.com.sa</v>
          </cell>
          <cell r="I503" t="str">
            <v>Shareef</v>
          </cell>
          <cell r="J503" t="str">
            <v>+966530314730</v>
          </cell>
        </row>
        <row r="504">
          <cell r="A504" t="str">
            <v>SAUDI COMPUTERS SYSTEMS CO WLL</v>
          </cell>
        </row>
        <row r="505">
          <cell r="A505" t="str">
            <v>Saudi Electronic Trading Company Ltd - SETRA</v>
          </cell>
          <cell r="B505" t="str">
            <v>Riyadh</v>
          </cell>
          <cell r="C505" t="str">
            <v>As Sulay, Riyadh</v>
          </cell>
          <cell r="D505" t="str">
            <v>https://maps.app.goo.gl/MgfiGqHu1v9GEkJP6</v>
          </cell>
          <cell r="E505" t="str">
            <v>Noufal</v>
          </cell>
          <cell r="F505" t="str">
            <v>+966598586559</v>
          </cell>
        </row>
        <row r="506">
          <cell r="A506" t="str">
            <v>Saudi Electronic Trading Company Ltd - SETRA</v>
          </cell>
          <cell r="B506" t="str">
            <v>Jeddah</v>
          </cell>
          <cell r="C506" t="str">
            <v>As Sarawat District, Jeddah</v>
          </cell>
          <cell r="D506" t="str">
            <v>https://maps.app.goo.gl/m4AsYwXscHFCzgZV9</v>
          </cell>
          <cell r="E506" t="str">
            <v>Dilawar Mehmood</v>
          </cell>
          <cell r="F506" t="str">
            <v>+966509491805</v>
          </cell>
          <cell r="G506" t="str">
            <v>dilawar.mehmood@setra.com.sa</v>
          </cell>
        </row>
        <row r="507">
          <cell r="A507" t="str">
            <v>Saudi Emircom Company</v>
          </cell>
          <cell r="B507" t="str">
            <v>Riyadh</v>
          </cell>
          <cell r="C507" t="str">
            <v>Emircom warehouse, Tuwaiq, Riyadh</v>
          </cell>
          <cell r="D507" t="str">
            <v>https://maps.app.goo.gl/VyEQp9xvKfxfbKZf7</v>
          </cell>
          <cell r="E507" t="str">
            <v>Ramesh Pillai</v>
          </cell>
          <cell r="F507" t="str">
            <v>+966597797208</v>
          </cell>
          <cell r="G507" t="str">
            <v>ramesh.pillai@emircom.com</v>
          </cell>
          <cell r="I507" t="str">
            <v xml:space="preserve">Muhammad karimpil  </v>
          </cell>
          <cell r="J507" t="str">
            <v>+966549905065</v>
          </cell>
        </row>
        <row r="508">
          <cell r="A508" t="str">
            <v>Saudi Ensas ( ESA Al saif ) Qiddiya Water Theme Park</v>
          </cell>
          <cell r="C508" t="str">
            <v>H8QC+36X Al Moqbel Palaces</v>
          </cell>
          <cell r="D508" t="str">
            <v>https://maps.app.goo.gl/NELy4sRE4vsSAnhy9</v>
          </cell>
          <cell r="E508" t="str">
            <v>Indrajith Stores</v>
          </cell>
          <cell r="F508" t="str">
            <v>+966532623177</v>
          </cell>
        </row>
        <row r="509">
          <cell r="A509" t="str">
            <v>Saudi Ensas (Voltas)</v>
          </cell>
        </row>
        <row r="510">
          <cell r="A510" t="str">
            <v>Saudi Ericsson Communications Company Ltd</v>
          </cell>
          <cell r="B510" t="str">
            <v>Riyadh</v>
          </cell>
          <cell r="C510" t="str">
            <v>Bldg #. 279, Warehouse # 5, Alhamra Street, Sulay, Riyadh, KSA</v>
          </cell>
          <cell r="D510" t="str">
            <v>https://maps.app.goo.gl/AagbyUuRQEwD3N1D7</v>
          </cell>
          <cell r="E510" t="str">
            <v>Mohammad Ismail</v>
          </cell>
          <cell r="F510" t="str">
            <v>+966501404178</v>
          </cell>
          <cell r="G510" t="str">
            <v>mohammad.ismail@saudi-ericsson.com</v>
          </cell>
        </row>
        <row r="511">
          <cell r="A511" t="str">
            <v>Saudi Foam Trays Manufacturing Comp</v>
          </cell>
        </row>
        <row r="512">
          <cell r="A512" t="str">
            <v>Saudi Green Contracting</v>
          </cell>
          <cell r="C512" t="str">
            <v>Al Olaya, Riyadh</v>
          </cell>
          <cell r="D512" t="str">
            <v>https://maps.app.goo.gl/FMzUuwVHfb6QukFYA</v>
          </cell>
          <cell r="E512" t="str">
            <v xml:space="preserve">Mr. Loay </v>
          </cell>
          <cell r="F512" t="str">
            <v>+966567741262</v>
          </cell>
        </row>
        <row r="513">
          <cell r="A513" t="str">
            <v>Saudi icon</v>
          </cell>
          <cell r="C513">
            <v>0</v>
          </cell>
          <cell r="D513">
            <v>0</v>
          </cell>
          <cell r="E513" t="str">
            <v>~Sajjad Sadiq</v>
          </cell>
          <cell r="F513" t="str">
            <v>+966595337189</v>
          </cell>
        </row>
        <row r="514">
          <cell r="A514" t="str">
            <v>Saudi Media Systems - SMS</v>
          </cell>
          <cell r="B514" t="str">
            <v>Riyadh</v>
          </cell>
          <cell r="C514" t="str">
            <v>SMS warehouse, Opp. to AlFanar office, Exit 18 Sulay, Riyadh</v>
          </cell>
          <cell r="D514" t="str">
            <v>https://maps.app.goo.gl/L6QgZat363mfYgYZ7</v>
          </cell>
          <cell r="E514" t="str">
            <v>Abobacker</v>
          </cell>
          <cell r="F514" t="str">
            <v>+966559826900</v>
          </cell>
          <cell r="G514" t="str">
            <v>smsstore@smediasys.com</v>
          </cell>
          <cell r="H514" t="str">
            <v>Store keeper</v>
          </cell>
          <cell r="I514" t="str">
            <v>Sabu Samuel</v>
          </cell>
          <cell r="J514" t="str">
            <v>+966.50.841.1951/+966.55.174.1168</v>
          </cell>
        </row>
        <row r="515">
          <cell r="A515" t="str">
            <v>SAUDI NETDOR CORPORATION</v>
          </cell>
        </row>
        <row r="516">
          <cell r="A516" t="str">
            <v>Saudi Projects &amp; Supplies Co. - SPS</v>
          </cell>
        </row>
        <row r="517">
          <cell r="A517" t="str">
            <v>Saudi Technic Energy Co.</v>
          </cell>
          <cell r="C517" t="str">
            <v>MRCP+8HG As Sulay, Riyadh</v>
          </cell>
          <cell r="D517" t="str">
            <v>https://maps.app.goo.gl/UoBmtuPzESa9VeFM7</v>
          </cell>
          <cell r="E517" t="str">
            <v>Montaser</v>
          </cell>
          <cell r="F517" t="str">
            <v>+966555845266</v>
          </cell>
        </row>
        <row r="518">
          <cell r="A518" t="str">
            <v>Schneider Electric DC MEA FZCO</v>
          </cell>
        </row>
        <row r="519">
          <cell r="A519" t="str">
            <v>Schneider Electric Saudi Arabia Co.</v>
          </cell>
          <cell r="B519" t="str">
            <v>Riyadh</v>
          </cell>
          <cell r="C519" t="str">
            <v xml:space="preserve">Plant A Riyadh, New Industrial Area, Riyadh </v>
          </cell>
          <cell r="D519" t="str">
            <v>https://maps.app.goo.gl/hU7HcPnZ9moAiVrcA</v>
          </cell>
          <cell r="E519" t="str">
            <v>Ikram Khan</v>
          </cell>
          <cell r="F519" t="str">
            <v>+966540480809</v>
          </cell>
          <cell r="G519" t="str">
            <v>Ikramkhan.muhammadrasool@se.com</v>
          </cell>
          <cell r="I519" t="str">
            <v>Kalandar Nishan</v>
          </cell>
          <cell r="J519" t="str">
            <v>+966565603087</v>
          </cell>
        </row>
        <row r="520">
          <cell r="A520" t="str">
            <v>Secure Special Services- Triple S</v>
          </cell>
          <cell r="C520" t="str">
            <v>M575+43R King Abdulaziz International Airport, Jeddah Saudi Arabia</v>
          </cell>
          <cell r="D520" t="str">
            <v>https://maps.app.goo.gl/nFBaD37EwxGVPxYv8</v>
          </cell>
          <cell r="E520" t="str">
            <v>Gholam Farid</v>
          </cell>
          <cell r="F520" t="str">
            <v>+966569284035</v>
          </cell>
        </row>
        <row r="521">
          <cell r="A521" t="str">
            <v>Security House Trading</v>
          </cell>
          <cell r="B521" t="str">
            <v>Riyadh</v>
          </cell>
          <cell r="C521" t="str">
            <v xml:space="preserve">Al Malaz, Riyadh </v>
          </cell>
          <cell r="D521" t="str">
            <v>https://maps.app.goo.gl/ReXo6WJU853uy8N39</v>
          </cell>
          <cell r="E521" t="str">
            <v>FIROZ PC</v>
          </cell>
          <cell r="F521" t="str">
            <v>+966581268460</v>
          </cell>
          <cell r="G521" t="str">
            <v>fairouz@securityhouse.com.sa</v>
          </cell>
          <cell r="I521" t="str">
            <v>Ihsan Ismail</v>
          </cell>
          <cell r="J521" t="str">
            <v>+966590881201</v>
          </cell>
        </row>
        <row r="522">
          <cell r="A522" t="str">
            <v>Security System Solutions</v>
          </cell>
          <cell r="C522" t="str">
            <v>QJ63+CRG Hittin, Riyadh</v>
          </cell>
          <cell r="D522" t="str">
            <v>https://maps.app.goo.gl/enNTCKonGD7PcRFv8</v>
          </cell>
        </row>
        <row r="523">
          <cell r="A523" t="str">
            <v>Service Bell</v>
          </cell>
          <cell r="C523" t="str">
            <v>GRXH+FXM Taybah, Riyadh</v>
          </cell>
          <cell r="D523" t="str">
            <v>https://maps.app.goo.gl/HcGStcCxXnXHctMX9</v>
          </cell>
          <cell r="E523" t="str">
            <v>~Eng. Abdelrhman</v>
          </cell>
          <cell r="F523" t="str">
            <v>+966503359190</v>
          </cell>
        </row>
        <row r="524">
          <cell r="A524" t="str">
            <v>Seven Layers Information Technology Est.</v>
          </cell>
        </row>
        <row r="525">
          <cell r="A525" t="str">
            <v>Seventy Seven Social Company</v>
          </cell>
          <cell r="C525">
            <v>0</v>
          </cell>
          <cell r="D525">
            <v>0</v>
          </cell>
          <cell r="E525" t="str">
            <v>Samir</v>
          </cell>
          <cell r="F525" t="str">
            <v>+966567447249</v>
          </cell>
        </row>
        <row r="526">
          <cell r="A526" t="str">
            <v>Shadady Computer Systems</v>
          </cell>
          <cell r="C526" t="str">
            <v>Riyadh Olya market</v>
          </cell>
          <cell r="D526">
            <v>0</v>
          </cell>
          <cell r="E526" t="str">
            <v>Muhammed</v>
          </cell>
          <cell r="F526" t="str">
            <v>+966568813768</v>
          </cell>
        </row>
        <row r="527">
          <cell r="A527" t="str">
            <v>Shapoorji Pallonji Mideast (L.L.C.)</v>
          </cell>
          <cell r="C527" t="str">
            <v xml:space="preserve">Jeddah  </v>
          </cell>
          <cell r="D527">
            <v>0</v>
          </cell>
          <cell r="E527" t="str">
            <v xml:space="preserve">Mr. Aneesh </v>
          </cell>
          <cell r="F527" t="str">
            <v>+966508848755</v>
          </cell>
        </row>
        <row r="528">
          <cell r="A528" t="str">
            <v>SIBS Company Ltd</v>
          </cell>
        </row>
        <row r="529">
          <cell r="A529" t="str">
            <v>Sigma Solution</v>
          </cell>
          <cell r="C529" t="str">
            <v>المليداء, Buraydah 52571</v>
          </cell>
          <cell r="D529" t="str">
            <v>https://maps.app.goo.gl/xM7bApfDCDhmahtp6</v>
          </cell>
          <cell r="E529" t="str">
            <v xml:space="preserve">Muhammed Hussein </v>
          </cell>
          <cell r="F529" t="str">
            <v>+966533154357</v>
          </cell>
          <cell r="I529" t="str">
            <v xml:space="preserve">Amro Salah </v>
          </cell>
          <cell r="J529" t="str">
            <v>+966562794631</v>
          </cell>
        </row>
        <row r="530">
          <cell r="A530" t="str">
            <v>SILK ROAD</v>
          </cell>
          <cell r="C530">
            <v>0</v>
          </cell>
          <cell r="D530">
            <v>0</v>
          </cell>
          <cell r="E530">
            <v>0</v>
          </cell>
          <cell r="F530" t="str">
            <v>+966558883468</v>
          </cell>
        </row>
        <row r="531">
          <cell r="A531" t="str">
            <v>SILVERCHIP INFORMATION TECHNOLOGY</v>
          </cell>
          <cell r="C531" t="str">
            <v>MPG2+PXV Al Olaya, Riyadh</v>
          </cell>
          <cell r="D531" t="str">
            <v>https://maps.app.goo.gl/xYZsSay3k7hQnYiaA</v>
          </cell>
          <cell r="E531" t="str">
            <v>Aboobazil</v>
          </cell>
          <cell r="F531" t="str">
            <v>+966565899750</v>
          </cell>
        </row>
        <row r="532">
          <cell r="A532" t="str">
            <v>SITE TECHNOLOGY CO</v>
          </cell>
        </row>
        <row r="533">
          <cell r="A533" t="str">
            <v>Skies Co.</v>
          </cell>
        </row>
        <row r="534">
          <cell r="A534" t="str">
            <v>Smart Cadres</v>
          </cell>
          <cell r="C534" t="str">
            <v xml:space="preserve"> Al Olaya, Riyadh</v>
          </cell>
          <cell r="D534" t="str">
            <v>https://maps.app.goo.gl/re6JcY9LTD2G5EU57</v>
          </cell>
          <cell r="E534" t="str">
            <v>Eslam Aldoory</v>
          </cell>
          <cell r="F534" t="str">
            <v>+966548507141</v>
          </cell>
          <cell r="I534" t="str">
            <v xml:space="preserve">Ashraf </v>
          </cell>
          <cell r="J534" t="str">
            <v> 0532365999</v>
          </cell>
        </row>
        <row r="535">
          <cell r="A535" t="str">
            <v>Smart DIRECTIONS Company</v>
          </cell>
          <cell r="B535" t="str">
            <v>Riyadh </v>
          </cell>
          <cell r="C535" t="str">
            <v xml:space="preserve">HVX2+46H, As Sulay, Riyadh 14326 </v>
          </cell>
          <cell r="D535" t="str">
            <v>https://maps.app.goo.gl/FB7SLYpAL75QoykCA?g_st=iw</v>
          </cell>
          <cell r="E535" t="str">
            <v>Gamal Faraj</v>
          </cell>
          <cell r="F535" t="str">
            <v>+966 50 837 2647</v>
          </cell>
        </row>
        <row r="536">
          <cell r="A536" t="str">
            <v>Smart House Trading</v>
          </cell>
          <cell r="B536" t="str">
            <v>Riyadh</v>
          </cell>
          <cell r="C536" t="str">
            <v>King Fahad Branch Rd, Al Wisham, Riyadh 12735</v>
          </cell>
          <cell r="D536" t="str">
            <v>https://maps.app.goo.gl/Pdj3fRB2qx6syAC27</v>
          </cell>
          <cell r="E536" t="str">
            <v>Tauqeer Yaqob</v>
          </cell>
          <cell r="F536" t="str">
            <v>+966555676368</v>
          </cell>
        </row>
        <row r="537">
          <cell r="A537" t="str">
            <v>Smart Information System</v>
          </cell>
        </row>
        <row r="538">
          <cell r="A538" t="str">
            <v>SMART NETWORK SOLUTION ( SNS )</v>
          </cell>
        </row>
        <row r="539">
          <cell r="A539" t="str">
            <v>Smart Networks Co</v>
          </cell>
          <cell r="C539" t="str">
            <v xml:space="preserve"> Ar Rawdah, Riyadh</v>
          </cell>
          <cell r="D539" t="str">
            <v>https://maps.app.goo.gl/WNf968itxrEoiTnc8</v>
          </cell>
          <cell r="E539" t="str">
            <v>eibada</v>
          </cell>
          <cell r="F539" t="str">
            <v>+966583102039</v>
          </cell>
          <cell r="I539" t="str">
            <v>Majid</v>
          </cell>
          <cell r="J539" t="str">
            <v>+966 50 039 2814</v>
          </cell>
        </row>
        <row r="540">
          <cell r="A540" t="str">
            <v>Smart of Things Est</v>
          </cell>
          <cell r="B540" t="str">
            <v>Riyadh</v>
          </cell>
          <cell r="C540" t="str">
            <v>Computer market, Olaya, Riyadh</v>
          </cell>
          <cell r="D540" t="str">
            <v>https://maps.app.goo.gl/SXVaE3bcoDymk5MZ6</v>
          </cell>
          <cell r="E540" t="str">
            <v>Magdy Gaballah</v>
          </cell>
          <cell r="F540" t="str">
            <v>+966591524409</v>
          </cell>
          <cell r="G540" t="str">
            <v>magdy@sot.com.sa</v>
          </cell>
        </row>
        <row r="541">
          <cell r="A541" t="str">
            <v>Smart Standards For Trade Company</v>
          </cell>
          <cell r="C541" t="str">
            <v xml:space="preserve">Al Moqbel Palaces, Water theme park </v>
          </cell>
          <cell r="D541" t="str">
            <v>https://maps.app.goo.gl/hoQARL6P9vkMiVW96</v>
          </cell>
          <cell r="E541" t="str">
            <v xml:space="preserve">Eng. Mahmoud </v>
          </cell>
          <cell r="F541" t="str">
            <v> 0541668971</v>
          </cell>
          <cell r="I541" t="str">
            <v>Shabeer Av</v>
          </cell>
          <cell r="J541" t="str">
            <v>+966599694422</v>
          </cell>
        </row>
        <row r="542">
          <cell r="A542" t="str">
            <v>Smart Systems Solutions Contracting</v>
          </cell>
        </row>
        <row r="543">
          <cell r="A543" t="str">
            <v>Smart Wave Technology</v>
          </cell>
          <cell r="C543" t="str">
            <v>Ziadah Al Qurtubi, Al Malaz, Riyadh</v>
          </cell>
          <cell r="D543" t="str">
            <v>https://maps.app.goo.gl/nHkMvK8kFaBMyvAb6</v>
          </cell>
          <cell r="E543" t="str">
            <v>Mahmoud</v>
          </cell>
          <cell r="F543" t="str">
            <v>+966546269132</v>
          </cell>
          <cell r="I543" t="str">
            <v>Moaaed</v>
          </cell>
          <cell r="J543" t="str">
            <v>+966568301194</v>
          </cell>
        </row>
        <row r="544">
          <cell r="A544" t="str">
            <v>Smart Wave Technology Co. - SWT</v>
          </cell>
          <cell r="B544" t="str">
            <v>Riyadh - Warehouse</v>
          </cell>
          <cell r="C544" t="str">
            <v>Ziadah Al Qurtubi, Al Malaz, Riyadh</v>
          </cell>
          <cell r="D544" t="str">
            <v>https://maps.app.goo.gl/4evYzzPm6AWy3xdb7</v>
          </cell>
          <cell r="E544" t="str">
            <v>Mahmoud</v>
          </cell>
          <cell r="F544" t="str">
            <v>+966546269132</v>
          </cell>
          <cell r="H544" t="str">
            <v>Warehouse Guy</v>
          </cell>
        </row>
        <row r="545">
          <cell r="A545" t="str">
            <v>Smart Wave Technology Co. - SWT</v>
          </cell>
          <cell r="B545" t="str">
            <v>Riyadh - Office</v>
          </cell>
          <cell r="C545" t="str">
            <v>Umar Ibn Abdul Aziz Br Rd, Az Zahra, Riyadh 12815, Saudi Arabia</v>
          </cell>
          <cell r="D545" t="str">
            <v>https://goo.gl/maps/q9U4F2PJE4kQ1TPYA</v>
          </cell>
          <cell r="E545" t="str">
            <v xml:space="preserve">Moayad Ramahi </v>
          </cell>
          <cell r="F545" t="str">
            <v>+966568301194</v>
          </cell>
          <cell r="H545" t="str">
            <v>Sales Guy</v>
          </cell>
        </row>
        <row r="546">
          <cell r="A546" t="str">
            <v>SNC ICT</v>
          </cell>
          <cell r="B546" t="str">
            <v>Riyadh</v>
          </cell>
          <cell r="C546" t="str">
            <v>Al Mashael, Riyadh 14327</v>
          </cell>
          <cell r="D546" t="str">
            <v>https://maps.app.goo.gl/e5MQSEuaYg4zUVZk8</v>
          </cell>
          <cell r="E546" t="str">
            <v xml:space="preserve">Osama Suliman </v>
          </cell>
          <cell r="F546" t="str">
            <v>+966570051271</v>
          </cell>
          <cell r="G546" t="str">
            <v>osuliman@sncict.com</v>
          </cell>
          <cell r="I546" t="str">
            <v>Adnan</v>
          </cell>
          <cell r="J546" t="str">
            <v>+966 55 468 5325</v>
          </cell>
        </row>
        <row r="547">
          <cell r="A547" t="str">
            <v>SOBOL</v>
          </cell>
          <cell r="C547" t="str">
            <v>Jeddha</v>
          </cell>
          <cell r="D547">
            <v>0</v>
          </cell>
          <cell r="E547" t="str">
            <v>Basel</v>
          </cell>
          <cell r="F547" t="str">
            <v>+966569840032</v>
          </cell>
        </row>
        <row r="548">
          <cell r="A548" t="str">
            <v>Solid Solutions Group</v>
          </cell>
          <cell r="B548" t="str">
            <v>Riyadh</v>
          </cell>
          <cell r="C548" t="str">
            <v>Al Muruj, Riyadh</v>
          </cell>
          <cell r="D548" t="str">
            <v>https://maps.app.goo.gl/t7R8UdbXMnQQvmBK8</v>
          </cell>
          <cell r="E548" t="str">
            <v>Ali Khalfan</v>
          </cell>
          <cell r="F548" t="str">
            <v>+966599937585</v>
          </cell>
          <cell r="G548" t="str">
            <v>a.mohamed@solidgroup.sa</v>
          </cell>
        </row>
        <row r="549">
          <cell r="A549" t="str">
            <v>SONOF</v>
          </cell>
          <cell r="B549" t="str">
            <v>Riyadh</v>
          </cell>
          <cell r="C549" t="str">
            <v>Al Wisham, Riyadh</v>
          </cell>
          <cell r="D549" t="str">
            <v>https://maps.app.goo.gl/amnYpnbjzRRKvD3t9</v>
          </cell>
          <cell r="E549" t="str">
            <v>Ahmed Amin</v>
          </cell>
          <cell r="F549" t="str">
            <v>+966550940071</v>
          </cell>
          <cell r="G549" t="str">
            <v>a.amin@sonof.sa</v>
          </cell>
        </row>
        <row r="550">
          <cell r="A550" t="str">
            <v>Sorouh Modern Technologies Contract</v>
          </cell>
          <cell r="C550" t="str">
            <v>Al Olaya, Riyadh</v>
          </cell>
          <cell r="D550" t="str">
            <v>https://maps.app.goo.gl/MLNA4w15h2Vo1CDG7</v>
          </cell>
          <cell r="E550" t="str">
            <v>Osama</v>
          </cell>
          <cell r="F550" t="str">
            <v> 0540371861</v>
          </cell>
        </row>
        <row r="551">
          <cell r="A551" t="str">
            <v>Sorouh Modern Technologies Contracting Co.</v>
          </cell>
          <cell r="B551" t="str">
            <v>Riyadh</v>
          </cell>
          <cell r="C551" t="str">
            <v>Computer Market, Olaya</v>
          </cell>
          <cell r="D551" t="str">
            <v>https://maps.app.goo.gl/LDCpbmKUJLQptXGWA</v>
          </cell>
          <cell r="E551" t="str">
            <v>Osama Eldesouky</v>
          </cell>
          <cell r="F551" t="str">
            <v>+966540371861</v>
          </cell>
          <cell r="G551" t="str">
            <v>osama@srouh.net</v>
          </cell>
          <cell r="H551" t="str">
            <v>Sales Engineer</v>
          </cell>
        </row>
        <row r="552">
          <cell r="A552" t="str">
            <v>Southern Automation and Electrical</v>
          </cell>
        </row>
        <row r="553">
          <cell r="A553" t="str">
            <v>Spectra International Trading Co.</v>
          </cell>
          <cell r="B553" t="str">
            <v>Riyadh</v>
          </cell>
        </row>
        <row r="554">
          <cell r="A554" t="str">
            <v>Springs Road trading</v>
          </cell>
          <cell r="C554" t="str">
            <v xml:space="preserve">GAPP Office </v>
          </cell>
          <cell r="D554">
            <v>0</v>
          </cell>
          <cell r="E554" t="str">
            <v>Manar</v>
          </cell>
          <cell r="F554" t="str">
            <v>+966502202900</v>
          </cell>
        </row>
        <row r="555">
          <cell r="A555" t="str">
            <v>Springs Road Trading Co.</v>
          </cell>
        </row>
        <row r="556">
          <cell r="A556" t="str">
            <v>Srouh. Co.</v>
          </cell>
          <cell r="B556" t="str">
            <v>Riyadh</v>
          </cell>
          <cell r="C556" t="str">
            <v>Computer market, Olaya, Riyadh</v>
          </cell>
          <cell r="E556" t="str">
            <v>Osama Eldesouky</v>
          </cell>
          <cell r="F556" t="str">
            <v>+966540371861</v>
          </cell>
          <cell r="G556" t="str">
            <v>osama@srouh.net</v>
          </cell>
        </row>
        <row r="557">
          <cell r="A557" t="str">
            <v>Star Care for contracting company</v>
          </cell>
          <cell r="C557" t="str">
            <v>Unnamed Road, Al Mashael, Riyadh 14326</v>
          </cell>
          <cell r="D557" t="str">
            <v>https://maps.app.goo.gl/d4CfbrTDYUmLuj6i8</v>
          </cell>
          <cell r="E557" t="str">
            <v xml:space="preserve">Raouf </v>
          </cell>
          <cell r="F557" t="str">
            <v>0591795547 -0593078434- 0510805397</v>
          </cell>
        </row>
        <row r="558">
          <cell r="A558" t="str">
            <v>Summits team Company</v>
          </cell>
          <cell r="C558">
            <v>0</v>
          </cell>
          <cell r="D558">
            <v>0</v>
          </cell>
          <cell r="E558" t="str">
            <v>Mhamed alghareb</v>
          </cell>
          <cell r="F558" t="str">
            <v>+966599953060</v>
          </cell>
        </row>
        <row r="559">
          <cell r="A559" t="str">
            <v>Summits Team Est.</v>
          </cell>
          <cell r="B559" t="str">
            <v>Riyadh - WH</v>
          </cell>
          <cell r="C559" t="str">
            <v>Al Mashael, Riyadh</v>
          </cell>
          <cell r="D559" t="str">
            <v>https://maps.app.goo.gl/kt44jfFnLErS7yNi8</v>
          </cell>
          <cell r="E559" t="str">
            <v>Mahmoud</v>
          </cell>
          <cell r="F559" t="str">
            <v>+966546269132</v>
          </cell>
          <cell r="I559" t="str">
            <v>Bilal Algharib</v>
          </cell>
          <cell r="J559" t="str">
            <v>+966558220719</v>
          </cell>
        </row>
        <row r="560">
          <cell r="A560" t="str">
            <v>Summits Team Est.</v>
          </cell>
          <cell r="B560" t="str">
            <v>Riyadh - Showroom</v>
          </cell>
          <cell r="C560" t="str">
            <v>Computer market, Olaya, Riyadh</v>
          </cell>
          <cell r="D560" t="str">
            <v>https://maps.app.goo.gl/2ijxpZ1PgYjqvnMc7</v>
          </cell>
          <cell r="E560" t="str">
            <v>Bilal Algharib</v>
          </cell>
          <cell r="F560" t="str">
            <v>+966558220719</v>
          </cell>
          <cell r="G560" t="str">
            <v>b.alghrib@summitteam.com.sa</v>
          </cell>
          <cell r="I560" t="str">
            <v>Ibrahim</v>
          </cell>
          <cell r="J560" t="str">
            <v>+966572496839</v>
          </cell>
        </row>
        <row r="561">
          <cell r="A561" t="str">
            <v>Sumou Corner</v>
          </cell>
          <cell r="E561" t="str">
            <v>Yusri Alokashi</v>
          </cell>
          <cell r="F561" t="str">
            <v>+966500858899</v>
          </cell>
          <cell r="G561" t="str">
            <v>yusri@sacc-ksa.com</v>
          </cell>
        </row>
        <row r="562">
          <cell r="A562" t="str">
            <v>Supplies Summit for Trading Co.</v>
          </cell>
        </row>
        <row r="563">
          <cell r="A563" t="str">
            <v>Supreme System</v>
          </cell>
          <cell r="B563" t="str">
            <v>Riyadh</v>
          </cell>
          <cell r="C563" t="str">
            <v>Olaya St, Al Olaya, Riyadh 12211</v>
          </cell>
          <cell r="D563" t="str">
            <v>https://goo.gl/maps/fj8oyDLeCeFDg4rp7</v>
          </cell>
          <cell r="E563" t="str">
            <v>Tanzeel Ansari</v>
          </cell>
          <cell r="F563" t="str">
            <v>+966-55-490-9327</v>
          </cell>
          <cell r="G563" t="str">
            <v>tanzeel@supreme.sa</v>
          </cell>
          <cell r="I563" t="str">
            <v>Abdul Mannan Surve</v>
          </cell>
          <cell r="J563" t="str">
            <v>+966537758196</v>
          </cell>
        </row>
        <row r="564">
          <cell r="A564" t="str">
            <v>Sustainability future limited</v>
          </cell>
          <cell r="B564" t="str">
            <v>Riyadh</v>
          </cell>
          <cell r="C564" t="str">
            <v>PQXG+9V4 Al Andalus, Riyadh</v>
          </cell>
          <cell r="D564" t="str">
            <v>https://maps.app.goo.gl/8ubDCqQrENJaVtsJ9</v>
          </cell>
          <cell r="E564" t="str">
            <v>Mahmoud Elbedawy</v>
          </cell>
          <cell r="F564" t="str">
            <v>+966531192777</v>
          </cell>
        </row>
        <row r="565">
          <cell r="A565" t="str">
            <v>System Empire</v>
          </cell>
        </row>
        <row r="566">
          <cell r="A566" t="str">
            <v>System of Strategic Business - SSBS</v>
          </cell>
          <cell r="B566" t="str">
            <v>Khobar</v>
          </cell>
          <cell r="C566" t="str">
            <v>Al Othman Business Park, Al-khobar, KSA</v>
          </cell>
          <cell r="D566" t="str">
            <v>-</v>
          </cell>
          <cell r="E566" t="str">
            <v>Mohammed Jafar AlSafwani</v>
          </cell>
          <cell r="F566" t="str">
            <v>+966552646883</v>
          </cell>
          <cell r="G566" t="str">
            <v>malsafwani@ssbs.com.sa</v>
          </cell>
        </row>
        <row r="567">
          <cell r="A567" t="str">
            <v>System Security Solutions Co. - 3S</v>
          </cell>
          <cell r="E567" t="str">
            <v>Mohammed Hafeez</v>
          </cell>
          <cell r="F567" t="str">
            <v>+966563869203//+966583485522</v>
          </cell>
          <cell r="G567" t="str">
            <v>mhafeez@3s.sa</v>
          </cell>
        </row>
        <row r="568">
          <cell r="A568" t="str">
            <v>System Technology Middle East Co. - STME</v>
          </cell>
        </row>
        <row r="569">
          <cell r="A569" t="str">
            <v>SYSTEMS CORNER TRADING</v>
          </cell>
        </row>
        <row r="570">
          <cell r="A570" t="str">
            <v>Tahreez Security Company</v>
          </cell>
        </row>
        <row r="571">
          <cell r="A571" t="str">
            <v>Takamul Group</v>
          </cell>
          <cell r="B571" t="str">
            <v>Jeddah</v>
          </cell>
          <cell r="C571" t="str">
            <v>Messina Line, Jeddah Saudi Arabia</v>
          </cell>
          <cell r="D571" t="str">
            <v>https://goo.gl/maps/DPgoDPNGZTcQ8Vp3A</v>
          </cell>
          <cell r="E571" t="str">
            <v>Omar Batheeb</v>
          </cell>
          <cell r="F571" t="str">
            <v>+966546-150-585</v>
          </cell>
          <cell r="G571" t="str">
            <v>O.batheeb@altakamul.com.sa</v>
          </cell>
        </row>
        <row r="572">
          <cell r="A572" t="str">
            <v>TALENT Arabia Wired and Wireless Communications Co</v>
          </cell>
        </row>
        <row r="573">
          <cell r="A573" t="str">
            <v>TamStar Trading Est.</v>
          </cell>
          <cell r="C573" t="str">
            <v>C4R7+FR4, King Saud St, Ar Rabi, Dammam 32241</v>
          </cell>
          <cell r="D573" t="str">
            <v>https://maps.app.goo.gl/GmUEKqjFGzd4vvJJ7</v>
          </cell>
          <cell r="E573" t="str">
            <v xml:space="preserve">Bikesh </v>
          </cell>
          <cell r="F573" t="str">
            <v>‪+966 59 917 1659</v>
          </cell>
        </row>
        <row r="574">
          <cell r="A574" t="str">
            <v>Tamyouz Almumyaz</v>
          </cell>
          <cell r="B574" t="str">
            <v>Qassim</v>
          </cell>
          <cell r="C574" t="str">
            <v>Abu Baker Alsiddiq Street, Al Nah'Dah District, Buraidah Alqassim</v>
          </cell>
          <cell r="E574" t="str">
            <v>Jawaher Fahad</v>
          </cell>
          <cell r="F574" t="str">
            <v>+966544036377</v>
          </cell>
          <cell r="G574" t="str">
            <v>sales@tamyouz.com</v>
          </cell>
        </row>
        <row r="575">
          <cell r="A575" t="str">
            <v>Taqdom-INTEGRATED TAQDOM IT. EST.</v>
          </cell>
          <cell r="B575" t="str">
            <v>Riyadh</v>
          </cell>
          <cell r="C575" t="str">
            <v>MMJQ+WVR Al Olaya, Riyadh</v>
          </cell>
          <cell r="D575" t="str">
            <v>https://maps.app.goo.gl/a1bUAHa1PvEnoCRK9</v>
          </cell>
          <cell r="E575" t="str">
            <v>Odai Malkawi</v>
          </cell>
          <cell r="F575" t="str">
            <v>+966561380360</v>
          </cell>
        </row>
        <row r="576">
          <cell r="A576" t="str">
            <v>TaqniaOne for Information Technolog</v>
          </cell>
          <cell r="C576" t="str">
            <v>MQ3V+CQ5 Al Jazirah, Riyadh</v>
          </cell>
          <cell r="D576" t="str">
            <v>https://maps.app.goo.gl/SgvAWfCR3tSubYT57</v>
          </cell>
          <cell r="E576" t="str">
            <v>Ghassan Zubaidi</v>
          </cell>
          <cell r="F576" t="str">
            <v>+966540882517</v>
          </cell>
        </row>
        <row r="577">
          <cell r="A577" t="str">
            <v>TaqniaOne for Information Technology</v>
          </cell>
        </row>
        <row r="578">
          <cell r="A578" t="str">
            <v xml:space="preserve">Taqniyat Company for Software Solutions </v>
          </cell>
          <cell r="B578" t="str">
            <v>Riyadh</v>
          </cell>
          <cell r="C578" t="str">
            <v>Exit 18th, Near Namma Cargo, Sulay, Riyadh, KSA</v>
          </cell>
          <cell r="D578" t="str">
            <v>https://maps.app.goo.gl/MgfiGqHu1v9GEkJP6</v>
          </cell>
          <cell r="E578" t="str">
            <v>Noufal Rafeek</v>
          </cell>
          <cell r="F578" t="str">
            <v>+966598586559</v>
          </cell>
          <cell r="G578" t="str">
            <v>noufal.rafeek@setra.com.sa</v>
          </cell>
        </row>
        <row r="579">
          <cell r="A579" t="str">
            <v>Tarek Al Falah Company Limited - TFC</v>
          </cell>
          <cell r="B579" t="str">
            <v>Riyadh</v>
          </cell>
          <cell r="C579" t="str">
            <v>TFC Store, Al Gharbiyah, Riyadh</v>
          </cell>
          <cell r="D579" t="str">
            <v>https://maps.app.goo.gl/AgpmcoZU53EeyPSv7</v>
          </cell>
          <cell r="E579" t="str">
            <v>Abdul Khadeer</v>
          </cell>
          <cell r="F579" t="str">
            <v>+966 53 884 3787</v>
          </cell>
          <cell r="G579" t="str">
            <v>adulkhadeer@tfcsec.com</v>
          </cell>
          <cell r="I579" t="str">
            <v>Romail</v>
          </cell>
          <cell r="J579" t="str">
            <v>+966509634880</v>
          </cell>
        </row>
        <row r="580">
          <cell r="A580" t="str">
            <v>Target Technologies Ltd. Co.</v>
          </cell>
          <cell r="E580" t="str">
            <v xml:space="preserve">Ashraf ElFeky </v>
          </cell>
          <cell r="F580" t="str">
            <v>+966555454213</v>
          </cell>
          <cell r="G580" t="str">
            <v>ashraf.elfeky@t4techno.com</v>
          </cell>
        </row>
        <row r="581">
          <cell r="A581" t="str">
            <v>Tas Vision National</v>
          </cell>
        </row>
        <row r="582">
          <cell r="A582" t="str">
            <v>TAS VISION NATIONAL Co .</v>
          </cell>
        </row>
        <row r="583">
          <cell r="A583" t="str">
            <v>Tawasol Tech .co</v>
          </cell>
          <cell r="C583" t="str">
            <v>7GWPWR3R+C5</v>
          </cell>
          <cell r="D583" t="str">
            <v>https://maps.app.goo.gl/Ggc8aN3ei8sM63Jr7</v>
          </cell>
          <cell r="E583" t="str">
            <v>Eng. Hossam</v>
          </cell>
          <cell r="F583" t="str">
            <v>+966503471242</v>
          </cell>
        </row>
        <row r="584">
          <cell r="A584" t="str">
            <v>Tawasol Tech. Co.</v>
          </cell>
          <cell r="B584" t="str">
            <v>Jeddah</v>
          </cell>
          <cell r="C584" t="str">
            <v>Tawasol Office, 5th Floor, Ghefari Plaza, 6348 Al Yamamah, As Salamah District, Jeddah</v>
          </cell>
          <cell r="D584" t="str">
            <v>https://g.page/TawasolTechKSA?share</v>
          </cell>
          <cell r="E584" t="str">
            <v xml:space="preserve">Syed Shujath Ali </v>
          </cell>
          <cell r="F584" t="str">
            <v>+966599583673</v>
          </cell>
          <cell r="G584" t="str">
            <v>shujath.syed@tawasoltech.com</v>
          </cell>
        </row>
        <row r="585">
          <cell r="A585" t="str">
            <v xml:space="preserve">Tawasol Tech. Co. - Syed Shujath Ali </v>
          </cell>
          <cell r="C585" t="str">
            <v>Jeddah</v>
          </cell>
        </row>
        <row r="586">
          <cell r="A586" t="str">
            <v>Tawfiq Mohammed Al Hammam Est.</v>
          </cell>
        </row>
        <row r="587">
          <cell r="A587" t="str">
            <v>Tech Challenges Trading Est.</v>
          </cell>
          <cell r="B587" t="str">
            <v>Riyadh</v>
          </cell>
          <cell r="C587" t="str">
            <v>Jabor Bin Rashid, Al Murabba, Riyadh 12628</v>
          </cell>
          <cell r="D587" t="str">
            <v>https://maps.app.goo.gl/KEheXP8AcRCUTFyb9</v>
          </cell>
          <cell r="E587" t="str">
            <v>Sabeel ahmed</v>
          </cell>
          <cell r="F587" t="str">
            <v>+966575862540</v>
          </cell>
          <cell r="G587" t="str">
            <v>sabeel@techchallenges.com.sa</v>
          </cell>
          <cell r="H587" t="str">
            <v>Project Coordinator</v>
          </cell>
        </row>
        <row r="588">
          <cell r="A588" t="str">
            <v>Technical Arms for Contracting - TAC</v>
          </cell>
          <cell r="B588" t="str">
            <v>Riyadh</v>
          </cell>
          <cell r="C588" t="str">
            <v>TAC Trading Show Room Olaya Computer Market, Riyadh</v>
          </cell>
          <cell r="D588" t="str">
            <v>https://maps.app.goo.gl/5BJ5LMnUrj4KpEL19</v>
          </cell>
          <cell r="E588" t="str">
            <v>Shreejesh Balan</v>
          </cell>
          <cell r="F588" t="str">
            <v>0556326658-0535053858</v>
          </cell>
          <cell r="G588" t="str">
            <v>Trading@tac.net.sa</v>
          </cell>
        </row>
        <row r="589">
          <cell r="A589" t="str">
            <v>Technical EST for Electric &amp; Communication Services</v>
          </cell>
        </row>
        <row r="590">
          <cell r="A590" t="str">
            <v>Technical field EST</v>
          </cell>
          <cell r="B590" t="str">
            <v>Riyadh</v>
          </cell>
          <cell r="C590" t="str">
            <v>Computer market, Olaya, Riyadh</v>
          </cell>
          <cell r="D590" t="str">
            <v>https://maps.app.goo.gl/wX92Xso4Goy2Gb5o7</v>
          </cell>
          <cell r="E590" t="str">
            <v>Waleed Ali</v>
          </cell>
          <cell r="F590" t="str">
            <v>+966558497141</v>
          </cell>
          <cell r="G590" t="str">
            <v>waleed@tfesaudi.com</v>
          </cell>
          <cell r="H590" t="str">
            <v>Sales Coordinator</v>
          </cell>
          <cell r="I590" t="str">
            <v>Mohamed al adl</v>
          </cell>
          <cell r="J590" t="str">
            <v>+966502424264</v>
          </cell>
        </row>
        <row r="591">
          <cell r="A591" t="str">
            <v>TECHNICAL TRADE COMPANY</v>
          </cell>
          <cell r="C591" t="str">
            <v>Tech Trade Warehouse, BLDG#114 , 1st Industrial city, Khalidiya, Dammam.</v>
          </cell>
          <cell r="D591">
            <v>0</v>
          </cell>
          <cell r="E591" t="str">
            <v>Muneer</v>
          </cell>
          <cell r="F591" t="str">
            <v>+966534887206</v>
          </cell>
        </row>
        <row r="592">
          <cell r="A592" t="str">
            <v>Technology Activities Trdg. Est. (H</v>
          </cell>
          <cell r="C592" t="str">
            <v>24، 632718,46.871675, الدمام 32275</v>
          </cell>
          <cell r="D592" t="str">
            <v>https://maps.app.goo.gl/BN9qKwEzqtMX1adp6</v>
          </cell>
          <cell r="E592" t="str">
            <v>Jimmy</v>
          </cell>
          <cell r="F592" t="str">
            <v>+966506935097</v>
          </cell>
        </row>
        <row r="593">
          <cell r="A593" t="str">
            <v>Technology Control Co. - TCC</v>
          </cell>
        </row>
        <row r="594">
          <cell r="A594" t="str">
            <v>Technology Era Company - TERA Systems</v>
          </cell>
          <cell r="B594" t="str">
            <v>Riyadh</v>
          </cell>
          <cell r="C594" t="str">
            <v>TERA WH, An Noor, Riyadh, Saudi Arabia</v>
          </cell>
          <cell r="D594" t="str">
            <v>https://goo.gl/maps/CnTg1gGknDRbGkgW6</v>
          </cell>
          <cell r="E594" t="str">
            <v>Shohel Dewan</v>
          </cell>
          <cell r="F594" t="str">
            <v>+966541671625</v>
          </cell>
          <cell r="G594" t="str">
            <v>dshohel@teraksa.com</v>
          </cell>
          <cell r="I594" t="str">
            <v>Fouad N. Kassouf</v>
          </cell>
          <cell r="J594" t="str">
            <v>+966547895861</v>
          </cell>
        </row>
        <row r="595">
          <cell r="A595" t="str">
            <v>Technology Force</v>
          </cell>
          <cell r="B595" t="str">
            <v>Riyadh</v>
          </cell>
        </row>
        <row r="596">
          <cell r="A596" t="str">
            <v>Technology Track LLC</v>
          </cell>
          <cell r="C596" t="str">
            <v>Warehouse No. 99, As Sulay, Riyadh, Saudi Arabia</v>
          </cell>
          <cell r="D596" t="str">
            <v>https://maps.app.goo.gl/6hYqR6cG7Z8FTvsc6</v>
          </cell>
          <cell r="E596" t="str">
            <v>Hafiz Muhammad Usman</v>
          </cell>
          <cell r="F596" t="str">
            <v>+966 50 584 3286</v>
          </cell>
        </row>
        <row r="597">
          <cell r="A597" t="str">
            <v>Technology Track LLC - TECH TRACK</v>
          </cell>
          <cell r="B597" t="str">
            <v>Riyadh</v>
          </cell>
          <cell r="C597" t="str">
            <v>Warehouse No. 99, As Sulay, Riyadh, Saudi Arabia</v>
          </cell>
          <cell r="D597" t="str">
            <v>https://maps.app.goo.gl/qwkjjzBe2dFLcbeX9?g_st=iw</v>
          </cell>
          <cell r="E597" t="str">
            <v>Hafiz Muhammad Usman</v>
          </cell>
          <cell r="F597" t="str">
            <v>+966 50 584 3286</v>
          </cell>
          <cell r="G597" t="str">
            <v>h.usman@techtrack.sa</v>
          </cell>
          <cell r="I597" t="str">
            <v>Qamar Shahzad</v>
          </cell>
          <cell r="J597" t="str">
            <v>+966504912021</v>
          </cell>
        </row>
        <row r="598">
          <cell r="A598" t="str">
            <v>TECHNOLOGY WORLD FOR COMMUNICATION</v>
          </cell>
          <cell r="C598" t="str">
            <v>Prince Abdulaziz Ibn Musaid Ibn Jalawi St, Al Olaya, Riyadh 11393</v>
          </cell>
          <cell r="D598" t="str">
            <v>https://maps.app.goo.gl/xiu1AeGf7Qo5rqjy6</v>
          </cell>
          <cell r="E598" t="str">
            <v>Ahmed Mohammed</v>
          </cell>
          <cell r="F598" t="str">
            <v>+966582379684</v>
          </cell>
          <cell r="G598" t="str">
            <v>a.mohammed@techworld-it.com</v>
          </cell>
          <cell r="H598" t="str">
            <v>Sales Account Manager</v>
          </cell>
        </row>
        <row r="599">
          <cell r="A599" t="str">
            <v>TEJOURY</v>
          </cell>
          <cell r="B599" t="str">
            <v>Jeddah</v>
          </cell>
          <cell r="C599" t="str">
            <v>Al Jawharah District, Jeddah, Saudi Arabia</v>
          </cell>
          <cell r="D599" t="str">
            <v>https://maps.app.goo.gl/tontQM6E7tE6WyCj9</v>
          </cell>
          <cell r="E599" t="str">
            <v>Richard Pinili</v>
          </cell>
          <cell r="F599" t="str">
            <v>+966562620174</v>
          </cell>
        </row>
        <row r="600">
          <cell r="A600" t="str">
            <v>TeleNoc</v>
          </cell>
          <cell r="B600" t="str">
            <v>Riyadh - Office</v>
          </cell>
          <cell r="C600" t="str">
            <v>Olaya View Tower, 2nd Floor, Office No. 4027, Riyadh</v>
          </cell>
          <cell r="D600" t="str">
            <v>https://maps.app.goo.gl/US9NhfLnn1PdVzHJ8</v>
          </cell>
          <cell r="E600" t="str">
            <v>Hafiz Zulkifal</v>
          </cell>
          <cell r="F600" t="str">
            <v>+966596596411</v>
          </cell>
          <cell r="G600" t="str">
            <v>zulkifal@telenocgroup.com</v>
          </cell>
          <cell r="I600" t="str">
            <v>Wael Walid</v>
          </cell>
          <cell r="J600" t="str">
            <v>+966500214334</v>
          </cell>
        </row>
        <row r="601">
          <cell r="A601" t="str">
            <v>The Joint Venture of the Alec Saudi Arabia Engineering &amp; Contracting and El Seif Engineering Contracting Co</v>
          </cell>
          <cell r="C601" t="str">
            <v>H8F5+9F6 Al Moqbel Palaces</v>
          </cell>
          <cell r="D601" t="str">
            <v>https://maps.app.goo.gl/sCtqeWAwNC8B5xBbA</v>
          </cell>
          <cell r="E601" t="str">
            <v xml:space="preserve">Eng. Mahmoud </v>
          </cell>
          <cell r="F601" t="str">
            <v> 054-166-8971</v>
          </cell>
        </row>
        <row r="602">
          <cell r="A602" t="str">
            <v>Three Pillars Technology &amp; Comunication.</v>
          </cell>
          <cell r="B602" t="str">
            <v>Riyadh</v>
          </cell>
        </row>
        <row r="603">
          <cell r="A603" t="str">
            <v>Tools &amp; Solutions</v>
          </cell>
          <cell r="E603" t="str">
            <v>Feras Ibrahim Harb</v>
          </cell>
          <cell r="F603" t="str">
            <v>+966545325324</v>
          </cell>
          <cell r="G603" t="str">
            <v>Feras.Harb@tools-solutions.com</v>
          </cell>
          <cell r="I603" t="str">
            <v>Rehab Al Rashid</v>
          </cell>
          <cell r="J603" t="str">
            <v>+966502889858</v>
          </cell>
        </row>
        <row r="604">
          <cell r="A604" t="str">
            <v xml:space="preserve">Triple Solutions Communications </v>
          </cell>
          <cell r="B604" t="str">
            <v>Jeddah</v>
          </cell>
        </row>
        <row r="605">
          <cell r="A605" t="str">
            <v>United Force Treading Co.</v>
          </cell>
          <cell r="B605" t="str">
            <v>Riyadh</v>
          </cell>
          <cell r="C605" t="str">
            <v>JPWF+3R4, Al Bathaa, Gurabi, Riyadh 11461</v>
          </cell>
          <cell r="D605" t="str">
            <v>https://maps.app.goo.gl/dxyvKkvoKBA5hQwZ7</v>
          </cell>
          <cell r="E605" t="str">
            <v>Eng. Ahmed  </v>
          </cell>
          <cell r="F605" t="str">
            <v>+966502050284</v>
          </cell>
          <cell r="I605" t="str">
            <v>Asarudeen UFT Showroom</v>
          </cell>
          <cell r="J605" t="str">
            <v>+966547081294</v>
          </cell>
        </row>
        <row r="606">
          <cell r="A606" t="str">
            <v>United Shuroq IT Company</v>
          </cell>
          <cell r="C606" t="str">
            <v>Olaya-Computer Market,Al-Moosa Building, United Shuroq IT Co.</v>
          </cell>
          <cell r="D606">
            <v>0</v>
          </cell>
          <cell r="E606" t="str">
            <v xml:space="preserve">Muhammed Shafi </v>
          </cell>
          <cell r="F606" t="str">
            <v>+966553867729</v>
          </cell>
        </row>
        <row r="607">
          <cell r="A607" t="str">
            <v>United Smart Building Company - USBC</v>
          </cell>
          <cell r="B607" t="str">
            <v>Riyadh</v>
          </cell>
          <cell r="C607" t="str">
            <v>Al Mahdiyah, Riyadh, Saudi Arabia</v>
          </cell>
          <cell r="D607" t="str">
            <v>https://maps.app.goo.gl/pxECnE4gtXFrwRMk7</v>
          </cell>
          <cell r="E607" t="str">
            <v>Mohamed Mattar</v>
          </cell>
          <cell r="F607" t="str">
            <v>+966551270976</v>
          </cell>
          <cell r="G607" t="str">
            <v>tech.support@u-s-b-c.com</v>
          </cell>
        </row>
        <row r="608">
          <cell r="A608" t="str">
            <v>United Technology Contracting Co.</v>
          </cell>
          <cell r="B608" t="str">
            <v>Jeddah</v>
          </cell>
          <cell r="C608" t="str">
            <v>Business Center Plaza, Office # 612, 6th floor, Al Farisi, Al Sharafeyah, Jeddah</v>
          </cell>
          <cell r="D608" t="str">
            <v>https://goo.gl/maps/fj8oyDLeCeFDg4rp7</v>
          </cell>
          <cell r="E608" t="str">
            <v>Hussni Fathi</v>
          </cell>
          <cell r="F608" t="str">
            <v>+966505646886</v>
          </cell>
          <cell r="G608" t="str">
            <v>hussni.fathi@ut.net.sa</v>
          </cell>
        </row>
        <row r="609">
          <cell r="A609" t="str">
            <v>Universe Modern System Trading Co</v>
          </cell>
          <cell r="C609" t="str">
            <v>3023 العليا, حي الياسمين, RAYA6609، 6609, Riyadh 13325</v>
          </cell>
          <cell r="D609" t="str">
            <v>https://maps.app.goo.gl/1t2ZLSZPKawwmE4k6</v>
          </cell>
          <cell r="E609" t="str">
            <v xml:space="preserve">Eng.Mohamed Mostafa </v>
          </cell>
          <cell r="F609" t="str">
            <v>+966-557474167</v>
          </cell>
        </row>
        <row r="610">
          <cell r="A610" t="str">
            <v>UpLogica</v>
          </cell>
          <cell r="B610" t="str">
            <v>Khobar</v>
          </cell>
          <cell r="D610" t="str">
            <v>https://goo.gl/maps/ZcGv5b5E1eNToVkZ8</v>
          </cell>
          <cell r="E610" t="str">
            <v>Mohammed Adil Raza</v>
          </cell>
          <cell r="F610" t="str">
            <v>+966 54 499 5081</v>
          </cell>
          <cell r="G610" t="str">
            <v>adil.raza@uplogica.com</v>
          </cell>
        </row>
        <row r="611">
          <cell r="A611" t="str">
            <v>Uptime  Institute Branch</v>
          </cell>
          <cell r="C611" t="str">
            <v>6676 Olaya St, Al Olaya, office 201, Riyadh 12211</v>
          </cell>
          <cell r="D611" t="str">
            <v>https://maps.app.goo.gl/fwsCwV214W9gp1VA8</v>
          </cell>
          <cell r="E611" t="str">
            <v>Saleh</v>
          </cell>
          <cell r="F611" t="str">
            <v>+966593222828</v>
          </cell>
        </row>
        <row r="612">
          <cell r="A612" t="str">
            <v>VASTech SA (Pty) Ltd .</v>
          </cell>
          <cell r="C612">
            <v>0</v>
          </cell>
          <cell r="D612">
            <v>0</v>
          </cell>
        </row>
        <row r="613">
          <cell r="A613" t="str">
            <v>Veolia Arabia Company Ltd.</v>
          </cell>
        </row>
        <row r="614">
          <cell r="A614" t="str">
            <v>Visions for Operations &amp; Maintenance Est.</v>
          </cell>
        </row>
        <row r="615">
          <cell r="A615" t="str">
            <v>WAHAT ALETQAN INFORMATION TECHNOLOGY</v>
          </cell>
          <cell r="C615" t="str">
            <v>Askan Building 18, Prince Mansour Bin Abdulaziz St, Al Olaya, Riyadh 11543</v>
          </cell>
          <cell r="D615" t="str">
            <v>https://maps.app.goo.gl/8SJCVqrYd5tqjsD36</v>
          </cell>
          <cell r="E615" t="str">
            <v>~‎Etqan IT And Security</v>
          </cell>
          <cell r="F615" t="str">
            <v>+966534723296</v>
          </cell>
        </row>
        <row r="616">
          <cell r="A616" t="str">
            <v>Wakeb Data co. for comm.&amp; IT</v>
          </cell>
          <cell r="C616" t="str">
            <v>king Abd alaziz،, Alyasmin, Riyadh 13321</v>
          </cell>
          <cell r="D616" t="str">
            <v>https://maps.app.goo.gl/hNTgDS2FM6NrpjRy9</v>
          </cell>
          <cell r="E616" t="str">
            <v>Hayat Wakeb</v>
          </cell>
          <cell r="F616" t="str">
            <v>+966503707444</v>
          </cell>
        </row>
        <row r="617">
          <cell r="A617" t="str">
            <v>Waseela For Technology Consultation</v>
          </cell>
          <cell r="B617" t="str">
            <v>Riyadh</v>
          </cell>
          <cell r="C617" t="str">
            <v>Mizan Tower, 60 Olaya St, Al Olaya, Riyadh,KSA</v>
          </cell>
          <cell r="D617" t="str">
            <v xml:space="preserve">https://maps.google.com/?q=24.680828,46.692390 </v>
          </cell>
          <cell r="E617" t="str">
            <v xml:space="preserve">Hayder Al-Khider </v>
          </cell>
          <cell r="F617" t="str">
            <v>+966553678549</v>
          </cell>
          <cell r="G617" t="str">
            <v>hayder.alkhider@waseela.com</v>
          </cell>
        </row>
        <row r="618">
          <cell r="A618" t="str">
            <v>Waseet Electronics Est.</v>
          </cell>
          <cell r="B618" t="str">
            <v>Khobar</v>
          </cell>
        </row>
        <row r="619">
          <cell r="A619" t="str">
            <v>Watad Energy &amp; Communications Co. Ltd</v>
          </cell>
          <cell r="B619" t="str">
            <v>Dammam</v>
          </cell>
        </row>
        <row r="620">
          <cell r="A620" t="str">
            <v>Western Experts (SA) Co</v>
          </cell>
          <cell r="C620" t="str">
            <v>Building No. 7046 , Uthman Ibn Affan Road, An Nuzhah Area, Riyadh, KSA</v>
          </cell>
          <cell r="D620" t="str">
            <v>https://maps.app.goo.gl/ubiU9fct1AfWQ28m9</v>
          </cell>
          <cell r="E620" t="str">
            <v>Ashfaq Ahmed</v>
          </cell>
          <cell r="F620" t="str">
            <v>+966567266959</v>
          </cell>
        </row>
        <row r="621">
          <cell r="A621" t="str">
            <v>Western Experts (SA) Co. - WESA</v>
          </cell>
          <cell r="B621" t="str">
            <v>Riyadh</v>
          </cell>
          <cell r="C621" t="str">
            <v>Building No. 7046 , Uthman Ibn Affan Road, An Nuzhah Area, Riyadh, KSA</v>
          </cell>
          <cell r="D621" t="str">
            <v>https://maps.app.goo.gl/ubiU9fct1AfWQ28m9</v>
          </cell>
          <cell r="E621" t="str">
            <v xml:space="preserve">Ashfaq Ahmad </v>
          </cell>
          <cell r="F621" t="str">
            <v>+966567266959</v>
          </cell>
          <cell r="G621" t="str">
            <v>ahmad@wesa.sa</v>
          </cell>
        </row>
        <row r="622">
          <cell r="A622" t="str">
            <v>Western Experts (SA) Co. - WESA</v>
          </cell>
          <cell r="B622" t="str">
            <v>Jeddah</v>
          </cell>
          <cell r="C622" t="str">
            <v xml:space="preserve"> Al Udba Street, Near Naseem Clinic, Jeddah </v>
          </cell>
          <cell r="D622" t="str">
            <v>https://maps.app.goo.gl/jN2YC8yBQyWqX5iN8</v>
          </cell>
          <cell r="E622" t="str">
            <v>Waheed Ahmed</v>
          </cell>
          <cell r="F622" t="str">
            <v>+966509054683</v>
          </cell>
          <cell r="G622" t="str">
            <v>w.nazi@wesa.sa</v>
          </cell>
          <cell r="I622" t="str">
            <v>Abdul Wahab</v>
          </cell>
          <cell r="J622" t="str">
            <v>+966580768187</v>
          </cell>
        </row>
        <row r="623">
          <cell r="A623" t="str">
            <v>Western Experts (SA) Co. - WESA</v>
          </cell>
          <cell r="B623" t="str">
            <v>Khobar</v>
          </cell>
          <cell r="C623" t="str">
            <v>HRH Prince Sultan B. Abdul Aziz Street, Cross 10 &amp; 11 Beside Star Barber, Al Khobar</v>
          </cell>
          <cell r="D623" t="str">
            <v>26°17'23.4"N 50°12'44.7"E - Google Maps</v>
          </cell>
          <cell r="E623" t="str">
            <v>Abdul Rahman Bhatti</v>
          </cell>
          <cell r="F623" t="str">
            <v>+966509054274</v>
          </cell>
          <cell r="G623" t="str">
            <v>arbhatti@wesa.sa</v>
          </cell>
        </row>
        <row r="624">
          <cell r="A624" t="str">
            <v>WI CONNECT</v>
          </cell>
        </row>
        <row r="625">
          <cell r="A625" t="str">
            <v>Wide Wave IT</v>
          </cell>
        </row>
        <row r="626">
          <cell r="A626" t="str">
            <v>Wodfa Trading</v>
          </cell>
          <cell r="C626" t="str">
            <v xml:space="preserve"> Al Garabbi St, Al Amal, Riyadh </v>
          </cell>
          <cell r="D626" t="str">
            <v>https://maps.app.goo.gl/6wyDAyjQ2mcEJgXi8</v>
          </cell>
          <cell r="E626" t="str">
            <v>Mustafa</v>
          </cell>
          <cell r="F626" t="str">
            <v>+966504497413</v>
          </cell>
          <cell r="I626" t="str">
            <v>Anas</v>
          </cell>
          <cell r="J626" t="str">
            <v>+966534469545</v>
          </cell>
        </row>
        <row r="627">
          <cell r="A627" t="str">
            <v>XYZ Dimensions Ltd.</v>
          </cell>
          <cell r="B627" t="str">
            <v>Riyadh</v>
          </cell>
          <cell r="C627" t="str">
            <v>Akariya Building 2, Riyadh, Saudi Arabia</v>
          </cell>
          <cell r="D627" t="str">
            <v>https://maps.app.goo.gl/jA1ZrKkxKNoGDkZR8</v>
          </cell>
          <cell r="E627" t="str">
            <v>Imran Khan</v>
          </cell>
          <cell r="F627" t="str">
            <v>‪+966 59 528 3901‬</v>
          </cell>
          <cell r="G627" t="str">
            <v>Imran@e-xyzd.com</v>
          </cell>
          <cell r="I627" t="str">
            <v>Shafiq Ahmed</v>
          </cell>
          <cell r="J627" t="str">
            <v>+966597740548</v>
          </cell>
        </row>
        <row r="628">
          <cell r="A628" t="str">
            <v>XYZ Dimensions Ltd.</v>
          </cell>
          <cell r="B628" t="str">
            <v>Riyadh Warehouse</v>
          </cell>
          <cell r="C628" t="str">
            <v>PM5R+W5C As Sulimaniyah, Riyadh</v>
          </cell>
          <cell r="D628" t="str">
            <v>https://maps.app.goo.gl/5opgw2Q3UUdmGMvw6</v>
          </cell>
          <cell r="E628" t="str">
            <v>Imran Khan</v>
          </cell>
          <cell r="F628" t="str">
            <v>‪+966 59 528 3901‬</v>
          </cell>
          <cell r="G628" t="str">
            <v>Imran@e-xyzd.com</v>
          </cell>
          <cell r="I628" t="str">
            <v>Shafiq Ahmed</v>
          </cell>
          <cell r="J628" t="str">
            <v>+966597740548</v>
          </cell>
        </row>
        <row r="629">
          <cell r="A629" t="str">
            <v>YOUSESEF MARROUN CONT. CO</v>
          </cell>
          <cell r="C629" t="str">
            <v xml:space="preserve">Al Mashael, Riyadh </v>
          </cell>
          <cell r="D629" t="str">
            <v>https://maps.app.goo.gl/6fzqdiWtd8osrYVdA</v>
          </cell>
          <cell r="E629" t="str">
            <v>Adnan</v>
          </cell>
          <cell r="F629" t="str">
            <v>+966550341857</v>
          </cell>
        </row>
        <row r="630">
          <cell r="A630" t="str">
            <v>YOUSSEF MARROUN CONT. CO.</v>
          </cell>
        </row>
        <row r="631">
          <cell r="A631" t="str">
            <v>Zahran Technology</v>
          </cell>
        </row>
        <row r="632">
          <cell r="A632" t="str">
            <v>Zamil Air Conditioners And Refrigeration</v>
          </cell>
          <cell r="B632" t="str">
            <v>Dammam</v>
          </cell>
          <cell r="C632" t="str">
            <v>38 St, Industrial Area No 1, Dammam</v>
          </cell>
          <cell r="E632" t="str">
            <v>Haris Sadaqat.</v>
          </cell>
          <cell r="F632" t="str">
            <v>+966511090124</v>
          </cell>
          <cell r="G632" t="str">
            <v>Haris.Sadaqat@coolcare.com.sa</v>
          </cell>
        </row>
        <row r="633">
          <cell r="A633" t="str">
            <v xml:space="preserve">ZAMIL INTERNATIONAL INFORMATION </v>
          </cell>
          <cell r="C633" t="str">
            <v xml:space="preserve">AL MUHAMMADIYA HOSPITAL Near Aya Mall ,Muhammadiyah, Jeddah </v>
          </cell>
          <cell r="D633" t="str">
            <v>https://maps.app.goo.gl/z1KzUUGN315vtN4XA</v>
          </cell>
        </row>
        <row r="634">
          <cell r="A634" t="str">
            <v>Zamil International Information Services</v>
          </cell>
          <cell r="B634" t="str">
            <v>Riyadh WH</v>
          </cell>
          <cell r="C634" t="str">
            <v>MVH2+7GC As Sulay, Riyadh</v>
          </cell>
          <cell r="D634" t="str">
            <v>https://maps.app.goo.gl/3v5JZRscFxG5hqDX9</v>
          </cell>
          <cell r="E634" t="str">
            <v>Mr. Ahmed Alhamed</v>
          </cell>
          <cell r="F634" t="str">
            <v>+966550681291</v>
          </cell>
        </row>
        <row r="635">
          <cell r="A635" t="str">
            <v>Zamil International Information Services</v>
          </cell>
          <cell r="B635" t="str">
            <v>Dammam</v>
          </cell>
          <cell r="C635" t="str">
            <v>Zamil WH, King Abdulaziz Rd, King Abdul Aziz Seaport, Dammam, KSA</v>
          </cell>
          <cell r="D635" t="str">
            <v>https://maps.app.goo.gl/4zXVZprKQgVDwgDX6?g_st=iw</v>
          </cell>
          <cell r="E635" t="str">
            <v>Khalid Karimbakandi</v>
          </cell>
          <cell r="F635" t="str">
            <v>+966 59 858 2005</v>
          </cell>
        </row>
        <row r="636">
          <cell r="A636" t="str">
            <v>Zamil International Information Services</v>
          </cell>
          <cell r="B636" t="str">
            <v>Riyadh</v>
          </cell>
          <cell r="C636" t="str">
            <v>MVH2+7GC As Sulay, Riyadh</v>
          </cell>
          <cell r="D636" t="str">
            <v>https://maps.app.goo.gl/3v5JZRscFxG5hqDX9</v>
          </cell>
          <cell r="E636" t="str">
            <v>Mr. Ahmed Alhamed</v>
          </cell>
          <cell r="F636" t="str">
            <v>+966550681291</v>
          </cell>
        </row>
        <row r="637">
          <cell r="A637" t="str">
            <v>Zawaya Al Ahjar Information</v>
          </cell>
          <cell r="B637" t="str">
            <v>Riyadh</v>
          </cell>
          <cell r="C637" t="str">
            <v>ALIM warehouse, WH No. 4,  As Sali, Riyadh, KSA</v>
          </cell>
          <cell r="D637" t="str">
            <v>https://goo.gl/maps/Va9kTUf63K4gvqf97</v>
          </cell>
          <cell r="E637" t="str">
            <v>Anwar Surve</v>
          </cell>
          <cell r="F637" t="str">
            <v>+966563637434</v>
          </cell>
          <cell r="G637" t="str">
            <v>anwar.yusuf@keyston.com</v>
          </cell>
          <cell r="H637" t="str">
            <v>Warehouse Guy</v>
          </cell>
        </row>
        <row r="638">
          <cell r="A638" t="str">
            <v>Ziyad Abdulrahman Al- Shehab trading Est</v>
          </cell>
          <cell r="B638" t="str">
            <v>Riyadh</v>
          </cell>
          <cell r="C638" t="str">
            <v>Gulf Commercial Center, Computer market, Olaya, Riyadh</v>
          </cell>
          <cell r="D638" t="str">
            <v>https://maps.app.goo.gl/y2gLrbR8L7woTm1N6</v>
          </cell>
          <cell r="E638" t="str">
            <v xml:space="preserve">Ahmed Abdo </v>
          </cell>
          <cell r="F638" t="str">
            <v>+966543902696</v>
          </cell>
          <cell r="G638" t="str">
            <v>ahmed@zicctv.com</v>
          </cell>
          <cell r="I638" t="str">
            <v>Mohamed Ghanem</v>
          </cell>
          <cell r="J638" t="str">
            <v>+966581062827</v>
          </cell>
        </row>
        <row r="639">
          <cell r="A639" t="str">
            <v>Zorins Technologies Company Limited</v>
          </cell>
          <cell r="B639" t="str">
            <v>Riyadh</v>
          </cell>
          <cell r="C639" t="str">
            <v>Computer market, Olaya, Riyadh</v>
          </cell>
          <cell r="D639" t="str">
            <v>https://maps.app.goo.gl/6rTtQABhdjQ5uQc18</v>
          </cell>
          <cell r="E639" t="str">
            <v xml:space="preserve">Naveed </v>
          </cell>
          <cell r="F639" t="str">
            <v>+966503560415</v>
          </cell>
          <cell r="I639" t="str">
            <v>Salman Pasha</v>
          </cell>
          <cell r="J639" t="str">
            <v>+966503520947</v>
          </cell>
        </row>
        <row r="640">
          <cell r="A640" t="str">
            <v>Zorins Technologies Ltd Co.</v>
          </cell>
          <cell r="C640">
            <v>0</v>
          </cell>
          <cell r="D640">
            <v>0</v>
          </cell>
          <cell r="E640" t="str">
            <v xml:space="preserve">Naveed </v>
          </cell>
          <cell r="F640" t="str">
            <v>+966503560415</v>
          </cell>
        </row>
        <row r="641">
          <cell r="A641" t="str">
            <v>Power Level Co.</v>
          </cell>
          <cell r="B641" t="str">
            <v>MANAKAH Warehouse</v>
          </cell>
          <cell r="C641" t="str">
            <v>حي المناخ, RNCB6832 , 6832, Riyadh 14316</v>
          </cell>
          <cell r="D641" t="str">
            <v>https://maps.app.goo.gl/Hw1Cuqobf7hsV7fy5</v>
          </cell>
          <cell r="E641" t="str">
            <v xml:space="preserve">Mahmoud  </v>
          </cell>
          <cell r="F641" t="str">
            <v>+966538613936</v>
          </cell>
          <cell r="I641" t="str">
            <v xml:space="preserve">Ahmed Naser </v>
          </cell>
          <cell r="J641" t="str">
            <v>+966567501428</v>
          </cell>
        </row>
        <row r="642">
          <cell r="A642" t="str">
            <v xml:space="preserve">GREEN MILE OPERATION AND MAINTENANC. </v>
          </cell>
        </row>
      </sheetData>
      <sheetData sheetId="5"/>
      <sheetData sheetId="6" refreshError="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D1DC39E-95BD-407E-8661-466B629CC430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143544ba-c43e-4383-be5e-36e5541962dc&quot;"/>
  </we:properties>
  <we:bindings/>
  <we:snapshot xmlns:r="http://schemas.openxmlformats.org/officeDocument/2006/relationships"/>
</we:webextension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app.s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7019-0370-41FF-9CE4-28B74C096027}">
  <sheetPr codeName="Sheet6"/>
  <dimension ref="A1:A175"/>
  <sheetViews>
    <sheetView topLeftCell="A84" workbookViewId="0">
      <selection activeCell="E155" sqref="E155"/>
    </sheetView>
  </sheetViews>
  <sheetFormatPr baseColWidth="10" defaultColWidth="8.83203125" defaultRowHeight="15" x14ac:dyDescent="0.2"/>
  <cols>
    <col min="1" max="1" width="133.33203125" style="10" customWidth="1"/>
  </cols>
  <sheetData>
    <row r="1" spans="1:1" ht="19" x14ac:dyDescent="0.25">
      <c r="A1" s="11" t="s">
        <v>51</v>
      </c>
    </row>
    <row r="3" spans="1:1" x14ac:dyDescent="0.2">
      <c r="A3" s="10" t="s">
        <v>52</v>
      </c>
    </row>
    <row r="4" spans="1:1" x14ac:dyDescent="0.2">
      <c r="A4" s="10" t="s">
        <v>59</v>
      </c>
    </row>
    <row r="5" spans="1:1" x14ac:dyDescent="0.2">
      <c r="A5" s="10" t="s">
        <v>60</v>
      </c>
    </row>
    <row r="6" spans="1:1" x14ac:dyDescent="0.2">
      <c r="A6" s="10" t="s">
        <v>53</v>
      </c>
    </row>
    <row r="7" spans="1:1" x14ac:dyDescent="0.2">
      <c r="A7" s="10" t="s">
        <v>54</v>
      </c>
    </row>
    <row r="8" spans="1:1" x14ac:dyDescent="0.2">
      <c r="A8" s="10" t="s">
        <v>61</v>
      </c>
    </row>
    <row r="9" spans="1:1" x14ac:dyDescent="0.2">
      <c r="A9" s="10" t="s">
        <v>55</v>
      </c>
    </row>
    <row r="10" spans="1:1" x14ac:dyDescent="0.2">
      <c r="A10" s="10" t="s">
        <v>56</v>
      </c>
    </row>
    <row r="11" spans="1:1" x14ac:dyDescent="0.2">
      <c r="A11" s="10" t="s">
        <v>57</v>
      </c>
    </row>
    <row r="12" spans="1:1" x14ac:dyDescent="0.2">
      <c r="A12" s="10" t="s">
        <v>58</v>
      </c>
    </row>
    <row r="13" spans="1:1" x14ac:dyDescent="0.2">
      <c r="A13" s="12" t="s">
        <v>62</v>
      </c>
    </row>
    <row r="14" spans="1:1" x14ac:dyDescent="0.2">
      <c r="A14" s="13" t="s">
        <v>63</v>
      </c>
    </row>
    <row r="15" spans="1:1" x14ac:dyDescent="0.2">
      <c r="A15" s="13" t="s">
        <v>64</v>
      </c>
    </row>
    <row r="16" spans="1:1" x14ac:dyDescent="0.2">
      <c r="A16" s="14" t="s">
        <v>65</v>
      </c>
    </row>
    <row r="17" spans="1:1" x14ac:dyDescent="0.2">
      <c r="A17" s="14" t="s">
        <v>66</v>
      </c>
    </row>
    <row r="18" spans="1:1" x14ac:dyDescent="0.2">
      <c r="A18" s="14" t="s">
        <v>65</v>
      </c>
    </row>
    <row r="19" spans="1:1" x14ac:dyDescent="0.2">
      <c r="A19" s="13" t="s">
        <v>64</v>
      </c>
    </row>
    <row r="20" spans="1:1" x14ac:dyDescent="0.2">
      <c r="A20" s="13" t="s">
        <v>67</v>
      </c>
    </row>
    <row r="21" spans="1:1" x14ac:dyDescent="0.2">
      <c r="A21" s="13" t="s">
        <v>68</v>
      </c>
    </row>
    <row r="22" spans="1:1" x14ac:dyDescent="0.2">
      <c r="A22" s="13" t="s">
        <v>69</v>
      </c>
    </row>
    <row r="23" spans="1:1" x14ac:dyDescent="0.2">
      <c r="A23" s="13" t="s">
        <v>70</v>
      </c>
    </row>
    <row r="24" spans="1:1" x14ac:dyDescent="0.2">
      <c r="A24" s="13" t="s">
        <v>71</v>
      </c>
    </row>
    <row r="25" spans="1:1" x14ac:dyDescent="0.2">
      <c r="A25" s="13" t="s">
        <v>64</v>
      </c>
    </row>
    <row r="26" spans="1:1" x14ac:dyDescent="0.2">
      <c r="A26" s="13" t="s">
        <v>72</v>
      </c>
    </row>
    <row r="27" spans="1:1" x14ac:dyDescent="0.2">
      <c r="A27" s="13" t="s">
        <v>73</v>
      </c>
    </row>
    <row r="28" spans="1:1" x14ac:dyDescent="0.2">
      <c r="A28" s="13" t="s">
        <v>74</v>
      </c>
    </row>
    <row r="29" spans="1:1" x14ac:dyDescent="0.2">
      <c r="A29" s="13" t="s">
        <v>75</v>
      </c>
    </row>
    <row r="30" spans="1:1" x14ac:dyDescent="0.2">
      <c r="A30" s="13" t="s">
        <v>76</v>
      </c>
    </row>
    <row r="31" spans="1:1" x14ac:dyDescent="0.2">
      <c r="A31" s="13" t="s">
        <v>77</v>
      </c>
    </row>
    <row r="32" spans="1:1" x14ac:dyDescent="0.2">
      <c r="A32" s="13" t="s">
        <v>78</v>
      </c>
    </row>
    <row r="33" spans="1:1" x14ac:dyDescent="0.2">
      <c r="A33" s="13" t="s">
        <v>79</v>
      </c>
    </row>
    <row r="34" spans="1:1" x14ac:dyDescent="0.2">
      <c r="A34" s="13" t="s">
        <v>80</v>
      </c>
    </row>
    <row r="35" spans="1:1" x14ac:dyDescent="0.2">
      <c r="A35" s="13" t="s">
        <v>81</v>
      </c>
    </row>
    <row r="36" spans="1:1" x14ac:dyDescent="0.2">
      <c r="A36" s="13" t="s">
        <v>64</v>
      </c>
    </row>
    <row r="37" spans="1:1" x14ac:dyDescent="0.2">
      <c r="A37" s="13" t="s">
        <v>82</v>
      </c>
    </row>
    <row r="38" spans="1:1" x14ac:dyDescent="0.2">
      <c r="A38" s="13" t="s">
        <v>83</v>
      </c>
    </row>
    <row r="39" spans="1:1" x14ac:dyDescent="0.2">
      <c r="A39" s="13" t="s">
        <v>64</v>
      </c>
    </row>
    <row r="40" spans="1:1" x14ac:dyDescent="0.2">
      <c r="A40" s="13" t="s">
        <v>84</v>
      </c>
    </row>
    <row r="41" spans="1:1" x14ac:dyDescent="0.2">
      <c r="A41" s="13" t="s">
        <v>85</v>
      </c>
    </row>
    <row r="42" spans="1:1" x14ac:dyDescent="0.2">
      <c r="A42" s="13" t="s">
        <v>86</v>
      </c>
    </row>
    <row r="43" spans="1:1" x14ac:dyDescent="0.2">
      <c r="A43" s="13" t="s">
        <v>64</v>
      </c>
    </row>
    <row r="44" spans="1:1" x14ac:dyDescent="0.2">
      <c r="A44" s="13" t="s">
        <v>87</v>
      </c>
    </row>
    <row r="45" spans="1:1" x14ac:dyDescent="0.2">
      <c r="A45" s="13" t="s">
        <v>88</v>
      </c>
    </row>
    <row r="46" spans="1:1" x14ac:dyDescent="0.2">
      <c r="A46" s="13" t="s">
        <v>89</v>
      </c>
    </row>
    <row r="47" spans="1:1" x14ac:dyDescent="0.2">
      <c r="A47" s="13" t="s">
        <v>90</v>
      </c>
    </row>
    <row r="48" spans="1:1" x14ac:dyDescent="0.2">
      <c r="A48" s="13" t="s">
        <v>64</v>
      </c>
    </row>
    <row r="49" spans="1:1" x14ac:dyDescent="0.2">
      <c r="A49" s="13" t="s">
        <v>91</v>
      </c>
    </row>
    <row r="50" spans="1:1" x14ac:dyDescent="0.2">
      <c r="A50" s="13" t="s">
        <v>92</v>
      </c>
    </row>
    <row r="51" spans="1:1" x14ac:dyDescent="0.2">
      <c r="A51" s="13" t="s">
        <v>93</v>
      </c>
    </row>
    <row r="52" spans="1:1" x14ac:dyDescent="0.2">
      <c r="A52" s="13" t="s">
        <v>64</v>
      </c>
    </row>
    <row r="53" spans="1:1" x14ac:dyDescent="0.2">
      <c r="A53" s="13" t="s">
        <v>94</v>
      </c>
    </row>
    <row r="54" spans="1:1" x14ac:dyDescent="0.2">
      <c r="A54" s="13" t="s">
        <v>95</v>
      </c>
    </row>
    <row r="55" spans="1:1" x14ac:dyDescent="0.2">
      <c r="A55" s="13" t="s">
        <v>96</v>
      </c>
    </row>
    <row r="56" spans="1:1" x14ac:dyDescent="0.2">
      <c r="A56" s="13" t="s">
        <v>64</v>
      </c>
    </row>
    <row r="57" spans="1:1" x14ac:dyDescent="0.2">
      <c r="A57" s="13" t="s">
        <v>97</v>
      </c>
    </row>
    <row r="58" spans="1:1" x14ac:dyDescent="0.2">
      <c r="A58" s="13" t="s">
        <v>98</v>
      </c>
    </row>
    <row r="59" spans="1:1" x14ac:dyDescent="0.2">
      <c r="A59" s="13" t="s">
        <v>99</v>
      </c>
    </row>
    <row r="60" spans="1:1" x14ac:dyDescent="0.2">
      <c r="A60" s="13" t="s">
        <v>100</v>
      </c>
    </row>
    <row r="61" spans="1:1" x14ac:dyDescent="0.2">
      <c r="A61" s="13" t="s">
        <v>64</v>
      </c>
    </row>
    <row r="62" spans="1:1" x14ac:dyDescent="0.2">
      <c r="A62" s="13" t="s">
        <v>101</v>
      </c>
    </row>
    <row r="63" spans="1:1" x14ac:dyDescent="0.2">
      <c r="A63" s="13" t="s">
        <v>102</v>
      </c>
    </row>
    <row r="64" spans="1:1" x14ac:dyDescent="0.2">
      <c r="A64" s="13" t="s">
        <v>103</v>
      </c>
    </row>
    <row r="65" spans="1:1" x14ac:dyDescent="0.2">
      <c r="A65" s="13" t="s">
        <v>104</v>
      </c>
    </row>
    <row r="66" spans="1:1" x14ac:dyDescent="0.2">
      <c r="A66" s="13" t="s">
        <v>105</v>
      </c>
    </row>
    <row r="67" spans="1:1" x14ac:dyDescent="0.2">
      <c r="A67" s="13" t="s">
        <v>106</v>
      </c>
    </row>
    <row r="68" spans="1:1" x14ac:dyDescent="0.2">
      <c r="A68" s="13" t="s">
        <v>64</v>
      </c>
    </row>
    <row r="69" spans="1:1" x14ac:dyDescent="0.2">
      <c r="A69" s="13" t="s">
        <v>107</v>
      </c>
    </row>
    <row r="70" spans="1:1" x14ac:dyDescent="0.2">
      <c r="A70" s="13" t="s">
        <v>108</v>
      </c>
    </row>
    <row r="71" spans="1:1" x14ac:dyDescent="0.2">
      <c r="A71" s="13" t="s">
        <v>109</v>
      </c>
    </row>
    <row r="72" spans="1:1" x14ac:dyDescent="0.2">
      <c r="A72" s="13" t="s">
        <v>64</v>
      </c>
    </row>
    <row r="73" spans="1:1" x14ac:dyDescent="0.2">
      <c r="A73" s="13" t="s">
        <v>110</v>
      </c>
    </row>
    <row r="74" spans="1:1" x14ac:dyDescent="0.2">
      <c r="A74" s="13" t="s">
        <v>111</v>
      </c>
    </row>
    <row r="75" spans="1:1" x14ac:dyDescent="0.2">
      <c r="A75" s="13" t="s">
        <v>112</v>
      </c>
    </row>
    <row r="76" spans="1:1" x14ac:dyDescent="0.2">
      <c r="A76" s="13" t="s">
        <v>64</v>
      </c>
    </row>
    <row r="77" spans="1:1" x14ac:dyDescent="0.2">
      <c r="A77" s="13" t="s">
        <v>113</v>
      </c>
    </row>
    <row r="78" spans="1:1" x14ac:dyDescent="0.2">
      <c r="A78" s="13" t="s">
        <v>114</v>
      </c>
    </row>
    <row r="79" spans="1:1" x14ac:dyDescent="0.2">
      <c r="A79" s="13" t="s">
        <v>115</v>
      </c>
    </row>
    <row r="80" spans="1:1" x14ac:dyDescent="0.2">
      <c r="A80" s="13" t="s">
        <v>64</v>
      </c>
    </row>
    <row r="81" spans="1:1" x14ac:dyDescent="0.2">
      <c r="A81" s="13" t="s">
        <v>116</v>
      </c>
    </row>
    <row r="82" spans="1:1" x14ac:dyDescent="0.2">
      <c r="A82" s="13" t="s">
        <v>117</v>
      </c>
    </row>
    <row r="83" spans="1:1" x14ac:dyDescent="0.2">
      <c r="A83" s="13" t="s">
        <v>118</v>
      </c>
    </row>
    <row r="84" spans="1:1" x14ac:dyDescent="0.2">
      <c r="A84" s="13" t="s">
        <v>119</v>
      </c>
    </row>
    <row r="85" spans="1:1" x14ac:dyDescent="0.2">
      <c r="A85" s="13" t="s">
        <v>120</v>
      </c>
    </row>
    <row r="86" spans="1:1" x14ac:dyDescent="0.2">
      <c r="A86" s="13" t="s">
        <v>64</v>
      </c>
    </row>
    <row r="87" spans="1:1" x14ac:dyDescent="0.2">
      <c r="A87" s="13" t="s">
        <v>121</v>
      </c>
    </row>
    <row r="88" spans="1:1" x14ac:dyDescent="0.2">
      <c r="A88" s="13" t="s">
        <v>122</v>
      </c>
    </row>
    <row r="89" spans="1:1" x14ac:dyDescent="0.2">
      <c r="A89" s="13" t="s">
        <v>123</v>
      </c>
    </row>
    <row r="90" spans="1:1" x14ac:dyDescent="0.2">
      <c r="A90" s="13" t="s">
        <v>124</v>
      </c>
    </row>
    <row r="91" spans="1:1" x14ac:dyDescent="0.2">
      <c r="A91" s="13" t="s">
        <v>125</v>
      </c>
    </row>
    <row r="92" spans="1:1" x14ac:dyDescent="0.2">
      <c r="A92" s="13" t="s">
        <v>126</v>
      </c>
    </row>
    <row r="93" spans="1:1" x14ac:dyDescent="0.2">
      <c r="A93" s="13" t="s">
        <v>127</v>
      </c>
    </row>
    <row r="94" spans="1:1" x14ac:dyDescent="0.2">
      <c r="A94" s="13" t="s">
        <v>128</v>
      </c>
    </row>
    <row r="95" spans="1:1" x14ac:dyDescent="0.2">
      <c r="A95" s="13" t="s">
        <v>129</v>
      </c>
    </row>
    <row r="96" spans="1:1" x14ac:dyDescent="0.2">
      <c r="A96" s="13" t="s">
        <v>130</v>
      </c>
    </row>
    <row r="97" spans="1:1" x14ac:dyDescent="0.2">
      <c r="A97" s="13" t="s">
        <v>131</v>
      </c>
    </row>
    <row r="98" spans="1:1" x14ac:dyDescent="0.2">
      <c r="A98" s="13" t="s">
        <v>129</v>
      </c>
    </row>
    <row r="99" spans="1:1" x14ac:dyDescent="0.2">
      <c r="A99" s="13" t="s">
        <v>132</v>
      </c>
    </row>
    <row r="100" spans="1:1" x14ac:dyDescent="0.2">
      <c r="A100" s="13" t="s">
        <v>133</v>
      </c>
    </row>
    <row r="101" spans="1:1" x14ac:dyDescent="0.2">
      <c r="A101" s="13" t="s">
        <v>134</v>
      </c>
    </row>
    <row r="102" spans="1:1" x14ac:dyDescent="0.2">
      <c r="A102" s="13" t="s">
        <v>64</v>
      </c>
    </row>
    <row r="103" spans="1:1" x14ac:dyDescent="0.2">
      <c r="A103" s="13" t="s">
        <v>135</v>
      </c>
    </row>
    <row r="104" spans="1:1" x14ac:dyDescent="0.2">
      <c r="A104" s="13" t="s">
        <v>136</v>
      </c>
    </row>
    <row r="105" spans="1:1" x14ac:dyDescent="0.2">
      <c r="A105" s="13" t="s">
        <v>137</v>
      </c>
    </row>
    <row r="106" spans="1:1" x14ac:dyDescent="0.2">
      <c r="A106" s="13" t="s">
        <v>138</v>
      </c>
    </row>
    <row r="107" spans="1:1" x14ac:dyDescent="0.2">
      <c r="A107" s="13" t="s">
        <v>134</v>
      </c>
    </row>
    <row r="108" spans="1:1" x14ac:dyDescent="0.2">
      <c r="A108" s="13" t="s">
        <v>64</v>
      </c>
    </row>
    <row r="109" spans="1:1" x14ac:dyDescent="0.2">
      <c r="A109" s="13" t="s">
        <v>139</v>
      </c>
    </row>
    <row r="110" spans="1:1" x14ac:dyDescent="0.2">
      <c r="A110" s="13" t="s">
        <v>140</v>
      </c>
    </row>
    <row r="111" spans="1:1" x14ac:dyDescent="0.2">
      <c r="A111" s="13" t="s">
        <v>82</v>
      </c>
    </row>
    <row r="112" spans="1:1" x14ac:dyDescent="0.2">
      <c r="A112" s="13" t="s">
        <v>141</v>
      </c>
    </row>
    <row r="113" spans="1:1" x14ac:dyDescent="0.2">
      <c r="A113" s="13" t="s">
        <v>86</v>
      </c>
    </row>
    <row r="114" spans="1:1" x14ac:dyDescent="0.2">
      <c r="A114" s="13" t="s">
        <v>142</v>
      </c>
    </row>
    <row r="115" spans="1:1" x14ac:dyDescent="0.2">
      <c r="A115" s="13" t="s">
        <v>134</v>
      </c>
    </row>
    <row r="116" spans="1:1" x14ac:dyDescent="0.2">
      <c r="A116" s="13" t="s">
        <v>64</v>
      </c>
    </row>
    <row r="117" spans="1:1" x14ac:dyDescent="0.2">
      <c r="A117" s="13" t="s">
        <v>143</v>
      </c>
    </row>
    <row r="118" spans="1:1" x14ac:dyDescent="0.2">
      <c r="A118" s="13" t="s">
        <v>144</v>
      </c>
    </row>
    <row r="119" spans="1:1" x14ac:dyDescent="0.2">
      <c r="A119" s="13" t="s">
        <v>145</v>
      </c>
    </row>
    <row r="120" spans="1:1" x14ac:dyDescent="0.2">
      <c r="A120" s="13" t="s">
        <v>146</v>
      </c>
    </row>
    <row r="121" spans="1:1" x14ac:dyDescent="0.2">
      <c r="A121" s="13" t="s">
        <v>147</v>
      </c>
    </row>
    <row r="122" spans="1:1" x14ac:dyDescent="0.2">
      <c r="A122" s="13" t="s">
        <v>148</v>
      </c>
    </row>
    <row r="123" spans="1:1" x14ac:dyDescent="0.2">
      <c r="A123" s="13" t="s">
        <v>149</v>
      </c>
    </row>
    <row r="124" spans="1:1" x14ac:dyDescent="0.2">
      <c r="A124" s="13" t="s">
        <v>150</v>
      </c>
    </row>
    <row r="125" spans="1:1" x14ac:dyDescent="0.2">
      <c r="A125" s="13" t="s">
        <v>151</v>
      </c>
    </row>
    <row r="126" spans="1:1" x14ac:dyDescent="0.2">
      <c r="A126" s="13" t="s">
        <v>152</v>
      </c>
    </row>
    <row r="127" spans="1:1" x14ac:dyDescent="0.2">
      <c r="A127" s="13" t="s">
        <v>133</v>
      </c>
    </row>
    <row r="128" spans="1:1" x14ac:dyDescent="0.2">
      <c r="A128" s="13" t="s">
        <v>153</v>
      </c>
    </row>
    <row r="129" spans="1:1" x14ac:dyDescent="0.2">
      <c r="A129" s="13" t="s">
        <v>83</v>
      </c>
    </row>
    <row r="130" spans="1:1" x14ac:dyDescent="0.2">
      <c r="A130" s="13" t="s">
        <v>154</v>
      </c>
    </row>
    <row r="131" spans="1:1" x14ac:dyDescent="0.2">
      <c r="A131" s="13" t="s">
        <v>146</v>
      </c>
    </row>
    <row r="132" spans="1:1" x14ac:dyDescent="0.2">
      <c r="A132" s="13" t="s">
        <v>155</v>
      </c>
    </row>
    <row r="133" spans="1:1" x14ac:dyDescent="0.2">
      <c r="A133" s="13" t="s">
        <v>156</v>
      </c>
    </row>
    <row r="134" spans="1:1" x14ac:dyDescent="0.2">
      <c r="A134" s="13" t="s">
        <v>149</v>
      </c>
    </row>
    <row r="135" spans="1:1" x14ac:dyDescent="0.2">
      <c r="A135" s="13" t="s">
        <v>157</v>
      </c>
    </row>
    <row r="136" spans="1:1" x14ac:dyDescent="0.2">
      <c r="A136" s="13" t="s">
        <v>134</v>
      </c>
    </row>
    <row r="137" spans="1:1" x14ac:dyDescent="0.2">
      <c r="A137" s="13" t="s">
        <v>64</v>
      </c>
    </row>
    <row r="138" spans="1:1" x14ac:dyDescent="0.2">
      <c r="A138" s="13" t="s">
        <v>158</v>
      </c>
    </row>
    <row r="139" spans="1:1" x14ac:dyDescent="0.2">
      <c r="A139" s="13" t="s">
        <v>159</v>
      </c>
    </row>
    <row r="140" spans="1:1" x14ac:dyDescent="0.2">
      <c r="A140" s="13" t="s">
        <v>160</v>
      </c>
    </row>
    <row r="141" spans="1:1" x14ac:dyDescent="0.2">
      <c r="A141" s="13" t="s">
        <v>161</v>
      </c>
    </row>
    <row r="142" spans="1:1" x14ac:dyDescent="0.2">
      <c r="A142" s="13" t="s">
        <v>162</v>
      </c>
    </row>
    <row r="143" spans="1:1" x14ac:dyDescent="0.2">
      <c r="A143" s="13" t="s">
        <v>163</v>
      </c>
    </row>
    <row r="144" spans="1:1" x14ac:dyDescent="0.2">
      <c r="A144" s="13" t="s">
        <v>134</v>
      </c>
    </row>
    <row r="145" spans="1:1" x14ac:dyDescent="0.2">
      <c r="A145" s="13" t="s">
        <v>64</v>
      </c>
    </row>
    <row r="146" spans="1:1" x14ac:dyDescent="0.2">
      <c r="A146" s="13" t="s">
        <v>164</v>
      </c>
    </row>
    <row r="147" spans="1:1" x14ac:dyDescent="0.2">
      <c r="A147" s="13" t="s">
        <v>165</v>
      </c>
    </row>
    <row r="148" spans="1:1" x14ac:dyDescent="0.2">
      <c r="A148" s="13" t="s">
        <v>166</v>
      </c>
    </row>
    <row r="149" spans="1:1" x14ac:dyDescent="0.2">
      <c r="A149" s="13" t="s">
        <v>167</v>
      </c>
    </row>
    <row r="150" spans="1:1" x14ac:dyDescent="0.2">
      <c r="A150" s="13" t="s">
        <v>168</v>
      </c>
    </row>
    <row r="151" spans="1:1" x14ac:dyDescent="0.2">
      <c r="A151" s="13" t="s">
        <v>169</v>
      </c>
    </row>
    <row r="152" spans="1:1" x14ac:dyDescent="0.2">
      <c r="A152" s="13" t="s">
        <v>170</v>
      </c>
    </row>
    <row r="153" spans="1:1" x14ac:dyDescent="0.2">
      <c r="A153" s="13" t="s">
        <v>86</v>
      </c>
    </row>
    <row r="154" spans="1:1" x14ac:dyDescent="0.2">
      <c r="A154" s="13" t="s">
        <v>134</v>
      </c>
    </row>
    <row r="155" spans="1:1" x14ac:dyDescent="0.2">
      <c r="A155" s="13" t="s">
        <v>64</v>
      </c>
    </row>
    <row r="156" spans="1:1" x14ac:dyDescent="0.2">
      <c r="A156" s="13" t="s">
        <v>171</v>
      </c>
    </row>
    <row r="157" spans="1:1" x14ac:dyDescent="0.2">
      <c r="A157" s="13" t="s">
        <v>172</v>
      </c>
    </row>
    <row r="158" spans="1:1" x14ac:dyDescent="0.2">
      <c r="A158" s="13" t="s">
        <v>173</v>
      </c>
    </row>
    <row r="159" spans="1:1" x14ac:dyDescent="0.2">
      <c r="A159" s="13" t="s">
        <v>174</v>
      </c>
    </row>
    <row r="160" spans="1:1" x14ac:dyDescent="0.2">
      <c r="A160" s="13" t="s">
        <v>175</v>
      </c>
    </row>
    <row r="161" spans="1:1" x14ac:dyDescent="0.2">
      <c r="A161" s="13" t="s">
        <v>176</v>
      </c>
    </row>
    <row r="162" spans="1:1" x14ac:dyDescent="0.2">
      <c r="A162" s="13" t="s">
        <v>177</v>
      </c>
    </row>
    <row r="163" spans="1:1" x14ac:dyDescent="0.2">
      <c r="A163" s="13" t="s">
        <v>178</v>
      </c>
    </row>
    <row r="164" spans="1:1" x14ac:dyDescent="0.2">
      <c r="A164" s="13" t="s">
        <v>179</v>
      </c>
    </row>
    <row r="165" spans="1:1" x14ac:dyDescent="0.2">
      <c r="A165" s="13" t="s">
        <v>180</v>
      </c>
    </row>
    <row r="166" spans="1:1" x14ac:dyDescent="0.2">
      <c r="A166" s="13" t="s">
        <v>181</v>
      </c>
    </row>
    <row r="167" spans="1:1" x14ac:dyDescent="0.2">
      <c r="A167" s="13" t="s">
        <v>120</v>
      </c>
    </row>
    <row r="168" spans="1:1" x14ac:dyDescent="0.2">
      <c r="A168" s="13" t="s">
        <v>182</v>
      </c>
    </row>
    <row r="169" spans="1:1" x14ac:dyDescent="0.2">
      <c r="A169" s="13" t="s">
        <v>64</v>
      </c>
    </row>
    <row r="170" spans="1:1" x14ac:dyDescent="0.2">
      <c r="A170" s="13" t="s">
        <v>183</v>
      </c>
    </row>
    <row r="171" spans="1:1" x14ac:dyDescent="0.2">
      <c r="A171" s="13" t="s">
        <v>146</v>
      </c>
    </row>
    <row r="172" spans="1:1" x14ac:dyDescent="0.2">
      <c r="A172" s="13" t="s">
        <v>184</v>
      </c>
    </row>
    <row r="173" spans="1:1" x14ac:dyDescent="0.2">
      <c r="A173" s="13" t="s">
        <v>185</v>
      </c>
    </row>
    <row r="174" spans="1:1" x14ac:dyDescent="0.2">
      <c r="A174" s="13" t="s">
        <v>149</v>
      </c>
    </row>
    <row r="175" spans="1:1" x14ac:dyDescent="0.2">
      <c r="A175" s="13" t="s">
        <v>182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37581-CEEC-4D65-BB84-98132F90E65E}">
  <sheetPr codeName="Sheet1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0E6C5-8702-44A8-9A1C-5E108E8FD252}">
  <sheetPr codeName="Sheet2" filterMode="1"/>
  <dimension ref="B1:H999"/>
  <sheetViews>
    <sheetView workbookViewId="0">
      <selection activeCell="C1015" sqref="C1015"/>
    </sheetView>
  </sheetViews>
  <sheetFormatPr baseColWidth="10" defaultColWidth="8.83203125" defaultRowHeight="15" x14ac:dyDescent="0.2"/>
  <cols>
    <col min="1" max="1" width="24.33203125" customWidth="1"/>
    <col min="2" max="6" width="19" customWidth="1"/>
    <col min="7" max="7" width="19" style="16" customWidth="1"/>
  </cols>
  <sheetData>
    <row r="1" spans="2:8" x14ac:dyDescent="0.2">
      <c r="B1" s="2" t="s">
        <v>4</v>
      </c>
      <c r="C1" s="2" t="s">
        <v>0</v>
      </c>
      <c r="D1" s="2" t="s">
        <v>186</v>
      </c>
      <c r="E1" s="2" t="s">
        <v>2</v>
      </c>
      <c r="F1" s="2" t="s">
        <v>1</v>
      </c>
      <c r="G1" s="15" t="s">
        <v>3</v>
      </c>
      <c r="H1" s="2" t="s">
        <v>187</v>
      </c>
    </row>
    <row r="2" spans="2:8" x14ac:dyDescent="0.2">
      <c r="B2">
        <v>1</v>
      </c>
      <c r="C2" s="3">
        <v>46023</v>
      </c>
      <c r="D2" t="s">
        <v>1434</v>
      </c>
      <c r="E2" t="s">
        <v>1435</v>
      </c>
      <c r="F2" t="s">
        <v>1436</v>
      </c>
      <c r="G2" s="16" t="s">
        <v>1437</v>
      </c>
      <c r="H2" t="s">
        <v>1438</v>
      </c>
    </row>
    <row r="3" spans="2:8" hidden="1" x14ac:dyDescent="0.2">
      <c r="B3">
        <v>2</v>
      </c>
      <c r="C3" s="3">
        <v>46023</v>
      </c>
      <c r="D3" t="s">
        <v>1439</v>
      </c>
      <c r="E3" t="s">
        <v>1435</v>
      </c>
      <c r="F3" t="s">
        <v>1440</v>
      </c>
      <c r="G3" s="16" t="s">
        <v>1441</v>
      </c>
      <c r="H3" t="s">
        <v>1438</v>
      </c>
    </row>
    <row r="4" spans="2:8" hidden="1" x14ac:dyDescent="0.2">
      <c r="B4">
        <v>3</v>
      </c>
      <c r="C4" s="3">
        <v>46023</v>
      </c>
      <c r="D4" t="s">
        <v>1442</v>
      </c>
      <c r="E4" t="s">
        <v>1435</v>
      </c>
      <c r="F4" t="s">
        <v>1443</v>
      </c>
      <c r="G4" s="16" t="s">
        <v>1444</v>
      </c>
      <c r="H4" t="s">
        <v>1438</v>
      </c>
    </row>
    <row r="5" spans="2:8" hidden="1" x14ac:dyDescent="0.2">
      <c r="B5">
        <v>4</v>
      </c>
      <c r="C5" s="3">
        <v>46023</v>
      </c>
      <c r="D5" t="s">
        <v>1445</v>
      </c>
      <c r="E5" t="s">
        <v>1435</v>
      </c>
      <c r="F5" t="s">
        <v>1446</v>
      </c>
      <c r="G5" s="16" t="s">
        <v>1447</v>
      </c>
      <c r="H5" t="s">
        <v>1438</v>
      </c>
    </row>
    <row r="6" spans="2:8" hidden="1" x14ac:dyDescent="0.2">
      <c r="B6">
        <v>5</v>
      </c>
      <c r="C6" s="3">
        <v>46023</v>
      </c>
      <c r="D6" t="s">
        <v>1448</v>
      </c>
      <c r="E6" t="s">
        <v>1435</v>
      </c>
      <c r="F6" t="s">
        <v>1449</v>
      </c>
      <c r="G6" s="16" t="s">
        <v>1437</v>
      </c>
      <c r="H6" t="s">
        <v>1438</v>
      </c>
    </row>
    <row r="7" spans="2:8" hidden="1" x14ac:dyDescent="0.2">
      <c r="B7">
        <v>6</v>
      </c>
      <c r="C7" s="3">
        <v>46023</v>
      </c>
      <c r="D7" t="s">
        <v>1450</v>
      </c>
      <c r="E7" t="s">
        <v>1435</v>
      </c>
      <c r="F7" t="s">
        <v>1451</v>
      </c>
      <c r="G7" s="16" t="s">
        <v>1452</v>
      </c>
      <c r="H7" t="s">
        <v>1438</v>
      </c>
    </row>
    <row r="8" spans="2:8" hidden="1" x14ac:dyDescent="0.2">
      <c r="B8">
        <v>7</v>
      </c>
      <c r="C8" s="3">
        <v>46023</v>
      </c>
      <c r="D8" t="s">
        <v>1453</v>
      </c>
      <c r="E8" t="s">
        <v>1435</v>
      </c>
      <c r="F8" t="s">
        <v>1454</v>
      </c>
      <c r="G8" s="16" t="s">
        <v>1455</v>
      </c>
      <c r="H8" t="s">
        <v>1438</v>
      </c>
    </row>
    <row r="9" spans="2:8" hidden="1" x14ac:dyDescent="0.2">
      <c r="B9">
        <v>8</v>
      </c>
      <c r="C9" s="3">
        <v>46023</v>
      </c>
      <c r="D9" t="s">
        <v>1437</v>
      </c>
      <c r="E9" t="s">
        <v>1435</v>
      </c>
      <c r="F9" t="s">
        <v>1456</v>
      </c>
      <c r="G9" s="16" t="s">
        <v>1457</v>
      </c>
      <c r="H9" t="s">
        <v>1438</v>
      </c>
    </row>
    <row r="10" spans="2:8" hidden="1" x14ac:dyDescent="0.2">
      <c r="B10">
        <v>9</v>
      </c>
      <c r="C10" s="3">
        <v>46023</v>
      </c>
      <c r="D10" t="s">
        <v>1458</v>
      </c>
      <c r="E10" t="s">
        <v>1435</v>
      </c>
      <c r="F10" t="s">
        <v>1459</v>
      </c>
      <c r="G10" s="16" t="s">
        <v>1457</v>
      </c>
      <c r="H10" t="s">
        <v>1438</v>
      </c>
    </row>
    <row r="11" spans="2:8" hidden="1" x14ac:dyDescent="0.2">
      <c r="B11">
        <v>10</v>
      </c>
      <c r="C11" s="3">
        <v>46023</v>
      </c>
      <c r="D11" t="s">
        <v>1460</v>
      </c>
      <c r="E11" t="s">
        <v>1435</v>
      </c>
      <c r="F11" t="s">
        <v>1461</v>
      </c>
      <c r="G11" s="16" t="s">
        <v>1434</v>
      </c>
      <c r="H11" t="s">
        <v>1438</v>
      </c>
    </row>
    <row r="12" spans="2:8" hidden="1" x14ac:dyDescent="0.2">
      <c r="B12">
        <v>11</v>
      </c>
      <c r="C12" s="3">
        <v>46023</v>
      </c>
      <c r="D12" t="s">
        <v>1447</v>
      </c>
      <c r="E12" t="s">
        <v>1462</v>
      </c>
      <c r="F12" t="s">
        <v>1446</v>
      </c>
      <c r="G12" s="16" t="s">
        <v>1463</v>
      </c>
      <c r="H12" t="s">
        <v>1438</v>
      </c>
    </row>
    <row r="13" spans="2:8" hidden="1" x14ac:dyDescent="0.2">
      <c r="B13">
        <v>12</v>
      </c>
      <c r="C13" s="3">
        <v>46023</v>
      </c>
      <c r="D13" t="s">
        <v>1464</v>
      </c>
      <c r="E13" t="s">
        <v>1462</v>
      </c>
      <c r="F13" t="s">
        <v>1465</v>
      </c>
      <c r="G13" s="16" t="s">
        <v>1466</v>
      </c>
      <c r="H13" t="s">
        <v>1438</v>
      </c>
    </row>
    <row r="14" spans="2:8" hidden="1" x14ac:dyDescent="0.2">
      <c r="B14">
        <v>13</v>
      </c>
      <c r="C14" s="3">
        <v>46023</v>
      </c>
      <c r="D14" t="s">
        <v>1455</v>
      </c>
      <c r="E14" t="s">
        <v>1467</v>
      </c>
      <c r="F14" t="s">
        <v>1443</v>
      </c>
      <c r="G14" s="16" t="s">
        <v>1452</v>
      </c>
      <c r="H14" t="s">
        <v>1438</v>
      </c>
    </row>
    <row r="15" spans="2:8" hidden="1" x14ac:dyDescent="0.2">
      <c r="B15">
        <v>14</v>
      </c>
      <c r="C15" s="3">
        <v>46023</v>
      </c>
      <c r="D15" t="s">
        <v>1468</v>
      </c>
      <c r="E15" t="s">
        <v>1467</v>
      </c>
      <c r="F15" t="s">
        <v>1446</v>
      </c>
      <c r="G15" s="16" t="s">
        <v>1469</v>
      </c>
      <c r="H15" t="s">
        <v>1438</v>
      </c>
    </row>
    <row r="16" spans="2:8" x14ac:dyDescent="0.2">
      <c r="B16">
        <v>15</v>
      </c>
      <c r="C16" s="3">
        <v>46140</v>
      </c>
      <c r="D16" t="s">
        <v>1441</v>
      </c>
      <c r="E16" t="s">
        <v>1467</v>
      </c>
      <c r="F16" t="s">
        <v>1436</v>
      </c>
      <c r="G16" s="16" t="s">
        <v>1444</v>
      </c>
      <c r="H16" t="s">
        <v>1438</v>
      </c>
    </row>
    <row r="17" spans="2:8" hidden="1" x14ac:dyDescent="0.2">
      <c r="B17">
        <v>16</v>
      </c>
      <c r="C17" s="3">
        <v>46023</v>
      </c>
      <c r="D17" t="s">
        <v>1470</v>
      </c>
      <c r="E17" t="s">
        <v>1467</v>
      </c>
      <c r="F17" t="s">
        <v>1465</v>
      </c>
      <c r="G17" s="16" t="s">
        <v>1471</v>
      </c>
      <c r="H17" t="s">
        <v>1438</v>
      </c>
    </row>
    <row r="18" spans="2:8" hidden="1" x14ac:dyDescent="0.2">
      <c r="B18">
        <v>17</v>
      </c>
      <c r="C18" s="3">
        <v>46140</v>
      </c>
      <c r="D18" t="s">
        <v>1434</v>
      </c>
      <c r="E18" t="s">
        <v>1472</v>
      </c>
      <c r="F18" t="s">
        <v>1473</v>
      </c>
      <c r="G18" s="16" t="s">
        <v>1474</v>
      </c>
      <c r="H18" t="s">
        <v>1438</v>
      </c>
    </row>
    <row r="19" spans="2:8" hidden="1" x14ac:dyDescent="0.2">
      <c r="B19">
        <v>18</v>
      </c>
      <c r="C19" s="3">
        <v>46140</v>
      </c>
      <c r="D19" t="s">
        <v>1439</v>
      </c>
      <c r="E19" t="s">
        <v>1472</v>
      </c>
      <c r="F19" t="s">
        <v>1475</v>
      </c>
      <c r="G19" s="16" t="s">
        <v>1466</v>
      </c>
      <c r="H19" t="s">
        <v>1438</v>
      </c>
    </row>
    <row r="20" spans="2:8" hidden="1" x14ac:dyDescent="0.2">
      <c r="B20">
        <v>19</v>
      </c>
      <c r="C20" s="3">
        <v>46140</v>
      </c>
      <c r="D20" t="s">
        <v>1445</v>
      </c>
      <c r="E20" t="s">
        <v>1476</v>
      </c>
      <c r="F20" t="s">
        <v>1477</v>
      </c>
      <c r="G20" s="16" t="s">
        <v>1460</v>
      </c>
      <c r="H20" t="s">
        <v>1438</v>
      </c>
    </row>
    <row r="21" spans="2:8" hidden="1" x14ac:dyDescent="0.2">
      <c r="B21">
        <v>20</v>
      </c>
      <c r="C21" s="3">
        <v>46140</v>
      </c>
      <c r="D21" t="s">
        <v>1448</v>
      </c>
      <c r="E21" t="s">
        <v>1476</v>
      </c>
      <c r="F21" t="s">
        <v>1478</v>
      </c>
      <c r="G21" s="16" t="s">
        <v>1445</v>
      </c>
      <c r="H21" t="s">
        <v>1438</v>
      </c>
    </row>
    <row r="22" spans="2:8" hidden="1" x14ac:dyDescent="0.2">
      <c r="B22">
        <v>21</v>
      </c>
      <c r="C22" s="3">
        <v>46140</v>
      </c>
      <c r="D22" t="s">
        <v>1450</v>
      </c>
      <c r="E22" t="s">
        <v>1479</v>
      </c>
      <c r="F22" t="s">
        <v>1480</v>
      </c>
      <c r="G22" s="16" t="s">
        <v>1434</v>
      </c>
      <c r="H22" t="s">
        <v>1438</v>
      </c>
    </row>
    <row r="23" spans="2:8" hidden="1" x14ac:dyDescent="0.2">
      <c r="B23">
        <v>22</v>
      </c>
      <c r="C23" s="3">
        <v>46140</v>
      </c>
      <c r="D23" t="s">
        <v>1453</v>
      </c>
      <c r="E23" t="s">
        <v>1479</v>
      </c>
      <c r="F23" t="s">
        <v>1481</v>
      </c>
      <c r="G23" s="16" t="s">
        <v>1452</v>
      </c>
      <c r="H23" t="s">
        <v>1438</v>
      </c>
    </row>
    <row r="24" spans="2:8" hidden="1" x14ac:dyDescent="0.2">
      <c r="B24">
        <v>23</v>
      </c>
      <c r="C24" s="3">
        <v>46140</v>
      </c>
      <c r="D24" t="s">
        <v>1437</v>
      </c>
      <c r="E24" t="s">
        <v>1479</v>
      </c>
      <c r="F24" t="s">
        <v>1482</v>
      </c>
      <c r="G24" s="16" t="s">
        <v>1450</v>
      </c>
      <c r="H24" t="s">
        <v>1438</v>
      </c>
    </row>
    <row r="25" spans="2:8" hidden="1" x14ac:dyDescent="0.2">
      <c r="B25">
        <v>24</v>
      </c>
      <c r="C25" s="3">
        <v>46140</v>
      </c>
      <c r="D25" t="s">
        <v>1458</v>
      </c>
      <c r="E25" t="s">
        <v>1479</v>
      </c>
      <c r="F25" t="s">
        <v>1481</v>
      </c>
      <c r="G25" s="16" t="s">
        <v>1448</v>
      </c>
      <c r="H25" t="s">
        <v>1438</v>
      </c>
    </row>
    <row r="26" spans="2:8" hidden="1" x14ac:dyDescent="0.2">
      <c r="B26">
        <v>25</v>
      </c>
      <c r="C26" s="3">
        <v>46140</v>
      </c>
      <c r="D26" t="s">
        <v>1460</v>
      </c>
      <c r="E26" t="s">
        <v>1479</v>
      </c>
      <c r="F26" t="s">
        <v>1483</v>
      </c>
      <c r="G26" s="16" t="s">
        <v>1439</v>
      </c>
      <c r="H26" t="s">
        <v>1438</v>
      </c>
    </row>
    <row r="27" spans="2:8" hidden="1" x14ac:dyDescent="0.2">
      <c r="B27">
        <v>26</v>
      </c>
      <c r="C27" s="3">
        <v>46140</v>
      </c>
      <c r="D27" t="s">
        <v>1447</v>
      </c>
      <c r="E27" t="s">
        <v>1484</v>
      </c>
      <c r="F27" t="s">
        <v>1485</v>
      </c>
      <c r="G27" s="16" t="s">
        <v>1445</v>
      </c>
      <c r="H27" t="s">
        <v>1438</v>
      </c>
    </row>
    <row r="28" spans="2:8" hidden="1" x14ac:dyDescent="0.2">
      <c r="B28">
        <v>27</v>
      </c>
      <c r="C28" s="3">
        <v>46140</v>
      </c>
      <c r="D28" t="s">
        <v>1464</v>
      </c>
      <c r="E28" t="s">
        <v>1484</v>
      </c>
      <c r="F28" t="s">
        <v>1486</v>
      </c>
      <c r="G28" s="16" t="s">
        <v>1450</v>
      </c>
      <c r="H28" t="s">
        <v>1438</v>
      </c>
    </row>
    <row r="29" spans="2:8" hidden="1" x14ac:dyDescent="0.2">
      <c r="B29">
        <v>28</v>
      </c>
      <c r="C29" s="3">
        <v>46140</v>
      </c>
      <c r="D29" t="s">
        <v>1455</v>
      </c>
      <c r="E29" t="s">
        <v>1484</v>
      </c>
      <c r="F29" t="s">
        <v>1487</v>
      </c>
      <c r="G29" s="16" t="s">
        <v>1442</v>
      </c>
      <c r="H29" t="s">
        <v>1438</v>
      </c>
    </row>
    <row r="30" spans="2:8" hidden="1" x14ac:dyDescent="0.2">
      <c r="B30">
        <v>29</v>
      </c>
      <c r="C30" s="3">
        <v>46140</v>
      </c>
      <c r="D30" t="s">
        <v>1468</v>
      </c>
      <c r="E30" t="s">
        <v>1488</v>
      </c>
      <c r="F30" t="s">
        <v>1489</v>
      </c>
      <c r="G30" s="16" t="s">
        <v>1445</v>
      </c>
      <c r="H30" t="s">
        <v>1438</v>
      </c>
    </row>
    <row r="31" spans="2:8" hidden="1" x14ac:dyDescent="0.2">
      <c r="B31">
        <v>30</v>
      </c>
      <c r="C31" s="3">
        <v>46140</v>
      </c>
      <c r="D31" t="s">
        <v>1441</v>
      </c>
      <c r="E31" t="s">
        <v>1488</v>
      </c>
      <c r="F31" t="s">
        <v>1490</v>
      </c>
      <c r="G31" s="16" t="s">
        <v>1439</v>
      </c>
      <c r="H31" t="s">
        <v>1438</v>
      </c>
    </row>
    <row r="32" spans="2:8" hidden="1" x14ac:dyDescent="0.2">
      <c r="B32">
        <v>31</v>
      </c>
      <c r="C32" s="3">
        <v>46140</v>
      </c>
      <c r="D32" t="s">
        <v>1470</v>
      </c>
      <c r="E32" t="s">
        <v>1491</v>
      </c>
      <c r="F32" t="s">
        <v>1489</v>
      </c>
      <c r="G32" s="16" t="s">
        <v>1445</v>
      </c>
      <c r="H32" t="s">
        <v>1438</v>
      </c>
    </row>
    <row r="33" spans="2:8" hidden="1" x14ac:dyDescent="0.2">
      <c r="B33">
        <v>32</v>
      </c>
      <c r="C33" s="3">
        <v>46140</v>
      </c>
      <c r="D33" t="s">
        <v>1474</v>
      </c>
      <c r="E33" t="s">
        <v>1492</v>
      </c>
      <c r="F33" t="s">
        <v>1493</v>
      </c>
      <c r="G33" s="16" t="s">
        <v>1445</v>
      </c>
      <c r="H33" t="s">
        <v>1438</v>
      </c>
    </row>
    <row r="34" spans="2:8" hidden="1" x14ac:dyDescent="0.2">
      <c r="B34">
        <v>33</v>
      </c>
      <c r="C34" s="3">
        <v>46140</v>
      </c>
      <c r="D34" t="s">
        <v>1494</v>
      </c>
      <c r="E34" t="s">
        <v>1491</v>
      </c>
      <c r="F34" t="s">
        <v>1495</v>
      </c>
      <c r="G34" s="16" t="s">
        <v>1445</v>
      </c>
      <c r="H34" t="s">
        <v>1438</v>
      </c>
    </row>
    <row r="35" spans="2:8" hidden="1" x14ac:dyDescent="0.2">
      <c r="B35">
        <v>34</v>
      </c>
      <c r="C35" s="3">
        <v>46140</v>
      </c>
      <c r="D35" t="s">
        <v>1496</v>
      </c>
      <c r="E35" t="s">
        <v>1497</v>
      </c>
      <c r="F35" t="s">
        <v>1498</v>
      </c>
      <c r="G35" s="16" t="s">
        <v>1445</v>
      </c>
      <c r="H35" t="s">
        <v>1438</v>
      </c>
    </row>
    <row r="36" spans="2:8" hidden="1" x14ac:dyDescent="0.2">
      <c r="B36">
        <v>35</v>
      </c>
      <c r="C36" s="3">
        <v>46140</v>
      </c>
      <c r="D36" t="s">
        <v>1499</v>
      </c>
      <c r="E36" t="s">
        <v>1497</v>
      </c>
      <c r="F36" t="s">
        <v>1500</v>
      </c>
      <c r="G36" s="16" t="s">
        <v>1450</v>
      </c>
      <c r="H36" t="s">
        <v>1438</v>
      </c>
    </row>
    <row r="37" spans="2:8" hidden="1" x14ac:dyDescent="0.2">
      <c r="B37">
        <v>36</v>
      </c>
      <c r="C37" s="3">
        <v>46140</v>
      </c>
      <c r="D37" t="s">
        <v>1501</v>
      </c>
      <c r="E37" t="s">
        <v>1502</v>
      </c>
      <c r="F37" t="s">
        <v>1498</v>
      </c>
      <c r="G37" s="16" t="s">
        <v>1445</v>
      </c>
      <c r="H37" t="s">
        <v>1438</v>
      </c>
    </row>
    <row r="38" spans="2:8" hidden="1" x14ac:dyDescent="0.2">
      <c r="B38">
        <v>37</v>
      </c>
      <c r="C38" s="3">
        <v>46140</v>
      </c>
      <c r="D38" t="s">
        <v>1503</v>
      </c>
      <c r="E38" t="s">
        <v>1502</v>
      </c>
      <c r="F38" t="s">
        <v>1504</v>
      </c>
      <c r="G38" s="16" t="s">
        <v>1439</v>
      </c>
      <c r="H38" t="s">
        <v>1438</v>
      </c>
    </row>
    <row r="39" spans="2:8" hidden="1" x14ac:dyDescent="0.2">
      <c r="B39">
        <v>38</v>
      </c>
      <c r="C39" s="3">
        <v>46140</v>
      </c>
      <c r="D39" t="s">
        <v>1505</v>
      </c>
      <c r="E39" t="s">
        <v>1502</v>
      </c>
      <c r="F39" t="s">
        <v>1506</v>
      </c>
      <c r="G39" s="16" t="s">
        <v>1448</v>
      </c>
      <c r="H39" t="s">
        <v>1438</v>
      </c>
    </row>
    <row r="40" spans="2:8" hidden="1" x14ac:dyDescent="0.2">
      <c r="B40">
        <v>39</v>
      </c>
      <c r="C40" s="3">
        <v>46140</v>
      </c>
      <c r="D40" t="s">
        <v>1507</v>
      </c>
      <c r="E40" t="s">
        <v>1508</v>
      </c>
      <c r="F40" t="s">
        <v>1509</v>
      </c>
      <c r="G40" s="16" t="s">
        <v>1460</v>
      </c>
      <c r="H40" t="s">
        <v>1438</v>
      </c>
    </row>
    <row r="41" spans="2:8" hidden="1" x14ac:dyDescent="0.2">
      <c r="B41">
        <v>40</v>
      </c>
      <c r="C41" s="3">
        <v>46140</v>
      </c>
      <c r="D41" t="s">
        <v>1444</v>
      </c>
      <c r="E41" t="s">
        <v>1508</v>
      </c>
      <c r="F41" t="s">
        <v>1510</v>
      </c>
      <c r="G41" s="16" t="s">
        <v>1448</v>
      </c>
      <c r="H41" t="s">
        <v>1438</v>
      </c>
    </row>
    <row r="42" spans="2:8" hidden="1" x14ac:dyDescent="0.2">
      <c r="B42">
        <v>41</v>
      </c>
      <c r="C42" s="3">
        <v>46140</v>
      </c>
      <c r="D42" t="s">
        <v>1511</v>
      </c>
      <c r="E42" t="s">
        <v>1508</v>
      </c>
      <c r="F42" t="s">
        <v>1512</v>
      </c>
      <c r="G42" s="16" t="s">
        <v>1450</v>
      </c>
      <c r="H42" t="s">
        <v>1438</v>
      </c>
    </row>
    <row r="43" spans="2:8" hidden="1" x14ac:dyDescent="0.2">
      <c r="B43">
        <v>42</v>
      </c>
      <c r="C43" s="3">
        <v>46140</v>
      </c>
      <c r="D43" t="s">
        <v>1513</v>
      </c>
      <c r="E43" t="s">
        <v>1514</v>
      </c>
      <c r="F43" t="s">
        <v>1515</v>
      </c>
      <c r="G43" s="16" t="s">
        <v>1444</v>
      </c>
      <c r="H43" t="s">
        <v>1438</v>
      </c>
    </row>
    <row r="44" spans="2:8" hidden="1" x14ac:dyDescent="0.2">
      <c r="B44">
        <v>43</v>
      </c>
      <c r="C44" s="3">
        <v>46140</v>
      </c>
      <c r="D44" t="s">
        <v>1516</v>
      </c>
      <c r="E44" t="s">
        <v>1517</v>
      </c>
      <c r="F44" t="s">
        <v>1495</v>
      </c>
      <c r="G44" s="16" t="s">
        <v>1434</v>
      </c>
      <c r="H44" t="s">
        <v>1438</v>
      </c>
    </row>
    <row r="45" spans="2:8" hidden="1" x14ac:dyDescent="0.2">
      <c r="B45">
        <v>44</v>
      </c>
      <c r="C45" s="3">
        <v>46140</v>
      </c>
      <c r="D45" t="s">
        <v>1518</v>
      </c>
      <c r="E45" t="s">
        <v>1517</v>
      </c>
      <c r="F45" t="s">
        <v>1519</v>
      </c>
      <c r="G45" s="16" t="s">
        <v>1434</v>
      </c>
      <c r="H45" t="s">
        <v>1438</v>
      </c>
    </row>
    <row r="46" spans="2:8" hidden="1" x14ac:dyDescent="0.2">
      <c r="B46">
        <v>45</v>
      </c>
      <c r="C46" s="3">
        <v>46140</v>
      </c>
      <c r="D46" t="s">
        <v>1469</v>
      </c>
      <c r="E46" t="s">
        <v>1517</v>
      </c>
      <c r="F46" t="s">
        <v>1520</v>
      </c>
      <c r="G46" s="16" t="s">
        <v>1434</v>
      </c>
      <c r="H46" t="s">
        <v>1438</v>
      </c>
    </row>
    <row r="47" spans="2:8" hidden="1" x14ac:dyDescent="0.2">
      <c r="B47">
        <v>46</v>
      </c>
      <c r="C47" s="3">
        <v>46140</v>
      </c>
      <c r="D47" t="s">
        <v>1521</v>
      </c>
      <c r="E47" t="s">
        <v>1472</v>
      </c>
      <c r="F47" t="s">
        <v>526</v>
      </c>
      <c r="G47" s="16" t="s">
        <v>1434</v>
      </c>
      <c r="H47" t="s">
        <v>1438</v>
      </c>
    </row>
    <row r="48" spans="2:8" hidden="1" x14ac:dyDescent="0.2">
      <c r="B48">
        <v>47</v>
      </c>
      <c r="C48" s="3">
        <v>46140</v>
      </c>
      <c r="D48" t="s">
        <v>1522</v>
      </c>
      <c r="E48" t="s">
        <v>1523</v>
      </c>
      <c r="F48" t="s">
        <v>1524</v>
      </c>
      <c r="G48" s="16" t="s">
        <v>1434</v>
      </c>
      <c r="H48" t="s">
        <v>1438</v>
      </c>
    </row>
    <row r="49" spans="2:8" hidden="1" x14ac:dyDescent="0.2">
      <c r="B49">
        <v>48</v>
      </c>
      <c r="C49" s="3">
        <v>46140</v>
      </c>
      <c r="D49" t="s">
        <v>1434</v>
      </c>
      <c r="E49" t="s">
        <v>1525</v>
      </c>
      <c r="F49" t="s">
        <v>1526</v>
      </c>
      <c r="G49" s="16" t="s">
        <v>1445</v>
      </c>
      <c r="H49" t="s">
        <v>1438</v>
      </c>
    </row>
    <row r="50" spans="2:8" hidden="1" x14ac:dyDescent="0.2">
      <c r="B50">
        <v>49</v>
      </c>
      <c r="C50" s="3">
        <v>46140</v>
      </c>
      <c r="D50" t="s">
        <v>1439</v>
      </c>
      <c r="E50" t="s">
        <v>1525</v>
      </c>
      <c r="F50" t="s">
        <v>1527</v>
      </c>
      <c r="G50" s="16" t="s">
        <v>1528</v>
      </c>
      <c r="H50" t="s">
        <v>1438</v>
      </c>
    </row>
    <row r="51" spans="2:8" hidden="1" x14ac:dyDescent="0.2">
      <c r="B51">
        <v>50</v>
      </c>
      <c r="C51" s="3">
        <v>46140</v>
      </c>
      <c r="D51" t="s">
        <v>1442</v>
      </c>
      <c r="E51" t="s">
        <v>1525</v>
      </c>
      <c r="F51" t="s">
        <v>1446</v>
      </c>
      <c r="G51" s="16" t="s">
        <v>1439</v>
      </c>
      <c r="H51" t="s">
        <v>1438</v>
      </c>
    </row>
    <row r="52" spans="2:8" hidden="1" x14ac:dyDescent="0.2">
      <c r="B52">
        <v>51</v>
      </c>
      <c r="C52" s="3">
        <v>46140</v>
      </c>
      <c r="D52" t="s">
        <v>1445</v>
      </c>
      <c r="E52" t="s">
        <v>1525</v>
      </c>
      <c r="F52" t="s">
        <v>1449</v>
      </c>
      <c r="G52" s="16" t="s">
        <v>1464</v>
      </c>
      <c r="H52" t="s">
        <v>1438</v>
      </c>
    </row>
    <row r="53" spans="2:8" hidden="1" x14ac:dyDescent="0.2">
      <c r="B53">
        <v>52</v>
      </c>
      <c r="C53" s="3">
        <v>46140</v>
      </c>
      <c r="D53" t="s">
        <v>1448</v>
      </c>
      <c r="E53" t="s">
        <v>1525</v>
      </c>
      <c r="F53" t="s">
        <v>1529</v>
      </c>
      <c r="G53" s="16" t="s">
        <v>1448</v>
      </c>
      <c r="H53" t="s">
        <v>1438</v>
      </c>
    </row>
    <row r="54" spans="2:8" hidden="1" x14ac:dyDescent="0.2">
      <c r="B54">
        <v>53</v>
      </c>
      <c r="C54" s="3">
        <v>46140</v>
      </c>
      <c r="D54" t="s">
        <v>1450</v>
      </c>
      <c r="E54" t="s">
        <v>1525</v>
      </c>
      <c r="F54" t="s">
        <v>1530</v>
      </c>
      <c r="G54" s="16" t="s">
        <v>1448</v>
      </c>
      <c r="H54" t="s">
        <v>1438</v>
      </c>
    </row>
    <row r="55" spans="2:8" hidden="1" x14ac:dyDescent="0.2">
      <c r="B55">
        <v>54</v>
      </c>
      <c r="C55" s="3">
        <v>46140</v>
      </c>
      <c r="D55" t="s">
        <v>1453</v>
      </c>
      <c r="E55" t="s">
        <v>1525</v>
      </c>
      <c r="F55" t="s">
        <v>1531</v>
      </c>
      <c r="G55" s="16" t="s">
        <v>1450</v>
      </c>
      <c r="H55" t="s">
        <v>1438</v>
      </c>
    </row>
    <row r="56" spans="2:8" hidden="1" x14ac:dyDescent="0.2">
      <c r="B56">
        <v>55</v>
      </c>
      <c r="C56" s="3">
        <v>46140</v>
      </c>
      <c r="D56" t="s">
        <v>1437</v>
      </c>
      <c r="E56" t="s">
        <v>1525</v>
      </c>
      <c r="F56" t="s">
        <v>1454</v>
      </c>
      <c r="G56" s="16" t="s">
        <v>1458</v>
      </c>
      <c r="H56" t="s">
        <v>1438</v>
      </c>
    </row>
    <row r="57" spans="2:8" hidden="1" x14ac:dyDescent="0.2">
      <c r="B57">
        <v>56</v>
      </c>
      <c r="C57" s="3">
        <v>46140</v>
      </c>
      <c r="D57" t="s">
        <v>1458</v>
      </c>
      <c r="E57" t="s">
        <v>1525</v>
      </c>
      <c r="F57" t="s">
        <v>1532</v>
      </c>
      <c r="G57" s="16" t="s">
        <v>1434</v>
      </c>
      <c r="H57" t="s">
        <v>1438</v>
      </c>
    </row>
    <row r="58" spans="2:8" hidden="1" x14ac:dyDescent="0.2">
      <c r="B58">
        <v>57</v>
      </c>
      <c r="C58" s="3">
        <v>46140</v>
      </c>
      <c r="D58" t="s">
        <v>1460</v>
      </c>
      <c r="E58" t="s">
        <v>1525</v>
      </c>
      <c r="F58" t="s">
        <v>1533</v>
      </c>
      <c r="G58" s="16" t="s">
        <v>1445</v>
      </c>
      <c r="H58" t="s">
        <v>1438</v>
      </c>
    </row>
    <row r="59" spans="2:8" hidden="1" x14ac:dyDescent="0.2">
      <c r="B59">
        <v>58</v>
      </c>
      <c r="C59" s="3">
        <v>46140</v>
      </c>
      <c r="D59" t="s">
        <v>1447</v>
      </c>
      <c r="E59" t="s">
        <v>1525</v>
      </c>
      <c r="F59" t="s">
        <v>1534</v>
      </c>
      <c r="G59" s="16" t="s">
        <v>1439</v>
      </c>
      <c r="H59" t="s">
        <v>1438</v>
      </c>
    </row>
    <row r="60" spans="2:8" hidden="1" x14ac:dyDescent="0.2">
      <c r="B60">
        <v>59</v>
      </c>
      <c r="C60" s="3">
        <v>46140</v>
      </c>
      <c r="D60" t="s">
        <v>1464</v>
      </c>
      <c r="E60" t="s">
        <v>1535</v>
      </c>
      <c r="F60" t="s">
        <v>1536</v>
      </c>
      <c r="G60" s="16" t="s">
        <v>1464</v>
      </c>
      <c r="H60" t="s">
        <v>1438</v>
      </c>
    </row>
    <row r="61" spans="2:8" hidden="1" x14ac:dyDescent="0.2">
      <c r="B61">
        <v>60</v>
      </c>
      <c r="C61" s="3">
        <v>46140</v>
      </c>
      <c r="D61" t="s">
        <v>1455</v>
      </c>
      <c r="E61" t="s">
        <v>1535</v>
      </c>
      <c r="F61" t="s">
        <v>1440</v>
      </c>
      <c r="G61" s="16" t="s">
        <v>1499</v>
      </c>
      <c r="H61" t="s">
        <v>1438</v>
      </c>
    </row>
    <row r="62" spans="2:8" hidden="1" x14ac:dyDescent="0.2">
      <c r="B62">
        <v>61</v>
      </c>
      <c r="C62" s="3">
        <v>46140</v>
      </c>
      <c r="D62" t="s">
        <v>1468</v>
      </c>
      <c r="E62" t="s">
        <v>1535</v>
      </c>
      <c r="F62" t="s">
        <v>1537</v>
      </c>
      <c r="G62" s="16" t="s">
        <v>1448</v>
      </c>
      <c r="H62" t="s">
        <v>1438</v>
      </c>
    </row>
    <row r="63" spans="2:8" hidden="1" x14ac:dyDescent="0.2">
      <c r="B63">
        <v>62</v>
      </c>
      <c r="C63" s="3">
        <v>46140</v>
      </c>
      <c r="D63" t="s">
        <v>1441</v>
      </c>
      <c r="E63" t="s">
        <v>1538</v>
      </c>
      <c r="F63" t="s">
        <v>1440</v>
      </c>
      <c r="G63" s="16" t="s">
        <v>1539</v>
      </c>
      <c r="H63" t="s">
        <v>1438</v>
      </c>
    </row>
    <row r="64" spans="2:8" hidden="1" x14ac:dyDescent="0.2">
      <c r="B64">
        <v>63</v>
      </c>
      <c r="C64" s="3">
        <v>46140</v>
      </c>
      <c r="D64" t="s">
        <v>1470</v>
      </c>
      <c r="E64" t="s">
        <v>1538</v>
      </c>
      <c r="F64" t="s">
        <v>1465</v>
      </c>
      <c r="G64" s="16" t="s">
        <v>1444</v>
      </c>
      <c r="H64" t="s">
        <v>1438</v>
      </c>
    </row>
    <row r="65" spans="2:8" hidden="1" x14ac:dyDescent="0.2">
      <c r="B65">
        <v>64</v>
      </c>
      <c r="C65" s="3">
        <v>46140</v>
      </c>
      <c r="D65" t="s">
        <v>1474</v>
      </c>
      <c r="E65" t="s">
        <v>1538</v>
      </c>
      <c r="F65" t="s">
        <v>1540</v>
      </c>
      <c r="G65" s="16" t="s">
        <v>1458</v>
      </c>
      <c r="H65" t="s">
        <v>1438</v>
      </c>
    </row>
    <row r="66" spans="2:8" hidden="1" x14ac:dyDescent="0.2">
      <c r="B66">
        <v>65</v>
      </c>
      <c r="C66" s="3">
        <v>46140</v>
      </c>
      <c r="D66" t="s">
        <v>1494</v>
      </c>
      <c r="E66" t="s">
        <v>1538</v>
      </c>
      <c r="F66" t="s">
        <v>1541</v>
      </c>
      <c r="G66" s="16" t="s">
        <v>1447</v>
      </c>
      <c r="H66" t="s">
        <v>1438</v>
      </c>
    </row>
    <row r="67" spans="2:8" hidden="1" x14ac:dyDescent="0.2">
      <c r="B67">
        <v>66</v>
      </c>
      <c r="C67" s="3">
        <v>46140</v>
      </c>
      <c r="D67" t="s">
        <v>1496</v>
      </c>
      <c r="E67" t="s">
        <v>1538</v>
      </c>
      <c r="F67" t="s">
        <v>1542</v>
      </c>
      <c r="G67" s="16" t="s">
        <v>1448</v>
      </c>
      <c r="H67" t="s">
        <v>1438</v>
      </c>
    </row>
    <row r="68" spans="2:8" hidden="1" x14ac:dyDescent="0.2">
      <c r="B68">
        <v>67</v>
      </c>
      <c r="C68" s="3">
        <v>46140</v>
      </c>
      <c r="D68" t="s">
        <v>1434</v>
      </c>
      <c r="E68" t="s">
        <v>1543</v>
      </c>
      <c r="F68" t="s">
        <v>439</v>
      </c>
      <c r="G68" s="16" t="s">
        <v>1544</v>
      </c>
      <c r="H68" t="s">
        <v>1438</v>
      </c>
    </row>
    <row r="69" spans="2:8" hidden="1" x14ac:dyDescent="0.2">
      <c r="B69">
        <v>68</v>
      </c>
      <c r="C69" s="3">
        <v>46140</v>
      </c>
      <c r="D69" t="s">
        <v>1439</v>
      </c>
      <c r="E69" t="s">
        <v>1545</v>
      </c>
      <c r="F69" t="s">
        <v>439</v>
      </c>
      <c r="G69" s="16" t="s">
        <v>1544</v>
      </c>
      <c r="H69" t="s">
        <v>1438</v>
      </c>
    </row>
    <row r="70" spans="2:8" hidden="1" x14ac:dyDescent="0.2">
      <c r="B70">
        <v>69</v>
      </c>
      <c r="C70" s="3">
        <v>46140</v>
      </c>
      <c r="D70" t="s">
        <v>1442</v>
      </c>
      <c r="E70" t="s">
        <v>1546</v>
      </c>
      <c r="F70" t="s">
        <v>439</v>
      </c>
      <c r="G70" s="16" t="s">
        <v>1544</v>
      </c>
      <c r="H70" t="s">
        <v>1438</v>
      </c>
    </row>
    <row r="71" spans="2:8" hidden="1" x14ac:dyDescent="0.2">
      <c r="B71">
        <v>70</v>
      </c>
      <c r="C71" s="3">
        <v>46140</v>
      </c>
      <c r="D71" t="s">
        <v>1445</v>
      </c>
      <c r="E71" t="s">
        <v>1547</v>
      </c>
      <c r="F71" t="s">
        <v>439</v>
      </c>
      <c r="G71" s="16" t="s">
        <v>1544</v>
      </c>
      <c r="H71" t="s">
        <v>1438</v>
      </c>
    </row>
    <row r="72" spans="2:8" hidden="1" x14ac:dyDescent="0.2">
      <c r="B72">
        <v>71</v>
      </c>
      <c r="C72" s="3">
        <v>46140</v>
      </c>
      <c r="D72" t="s">
        <v>1448</v>
      </c>
      <c r="E72" t="s">
        <v>1548</v>
      </c>
      <c r="F72" t="s">
        <v>439</v>
      </c>
      <c r="G72" s="16" t="s">
        <v>1544</v>
      </c>
      <c r="H72" t="s">
        <v>1438</v>
      </c>
    </row>
    <row r="73" spans="2:8" hidden="1" x14ac:dyDescent="0.2">
      <c r="B73">
        <v>72</v>
      </c>
      <c r="C73" s="3">
        <v>46140</v>
      </c>
      <c r="D73" t="s">
        <v>1450</v>
      </c>
      <c r="E73" t="s">
        <v>1549</v>
      </c>
      <c r="F73" t="s">
        <v>439</v>
      </c>
      <c r="G73" s="16" t="s">
        <v>1544</v>
      </c>
      <c r="H73" t="s">
        <v>1438</v>
      </c>
    </row>
    <row r="74" spans="2:8" hidden="1" x14ac:dyDescent="0.2">
      <c r="B74">
        <v>73</v>
      </c>
      <c r="C74" s="3">
        <v>46140</v>
      </c>
      <c r="D74" t="s">
        <v>1453</v>
      </c>
      <c r="E74" t="s">
        <v>1550</v>
      </c>
      <c r="F74" t="s">
        <v>439</v>
      </c>
      <c r="G74" s="16" t="s">
        <v>1544</v>
      </c>
      <c r="H74" t="s">
        <v>1438</v>
      </c>
    </row>
    <row r="75" spans="2:8" hidden="1" x14ac:dyDescent="0.2">
      <c r="B75">
        <v>74</v>
      </c>
      <c r="C75" s="3">
        <v>46140</v>
      </c>
      <c r="D75" t="s">
        <v>1437</v>
      </c>
      <c r="E75" t="s">
        <v>1551</v>
      </c>
      <c r="F75" t="s">
        <v>1552</v>
      </c>
      <c r="G75" s="16" t="s">
        <v>1450</v>
      </c>
      <c r="H75" t="s">
        <v>1438</v>
      </c>
    </row>
    <row r="76" spans="2:8" hidden="1" x14ac:dyDescent="0.2">
      <c r="B76">
        <v>75</v>
      </c>
      <c r="C76" s="3">
        <v>46140</v>
      </c>
      <c r="D76" t="s">
        <v>1458</v>
      </c>
      <c r="E76" t="s">
        <v>1551</v>
      </c>
      <c r="F76" t="s">
        <v>1553</v>
      </c>
      <c r="G76" s="16" t="s">
        <v>1437</v>
      </c>
      <c r="H76" t="s">
        <v>1438</v>
      </c>
    </row>
    <row r="77" spans="2:8" hidden="1" x14ac:dyDescent="0.2">
      <c r="B77">
        <v>76</v>
      </c>
      <c r="C77" s="3">
        <v>46140</v>
      </c>
      <c r="D77" t="s">
        <v>1460</v>
      </c>
      <c r="E77" t="s">
        <v>1554</v>
      </c>
      <c r="F77" t="s">
        <v>668</v>
      </c>
      <c r="G77" s="16" t="s">
        <v>1555</v>
      </c>
      <c r="H77" t="s">
        <v>1438</v>
      </c>
    </row>
    <row r="78" spans="2:8" hidden="1" x14ac:dyDescent="0.2">
      <c r="B78">
        <v>77</v>
      </c>
      <c r="C78" s="3">
        <v>46140</v>
      </c>
      <c r="D78" t="s">
        <v>1447</v>
      </c>
      <c r="E78" t="s">
        <v>1556</v>
      </c>
      <c r="F78" t="s">
        <v>1557</v>
      </c>
      <c r="G78" s="16" t="s">
        <v>1505</v>
      </c>
      <c r="H78" t="s">
        <v>1438</v>
      </c>
    </row>
    <row r="79" spans="2:8" hidden="1" x14ac:dyDescent="0.2">
      <c r="B79">
        <v>78</v>
      </c>
      <c r="C79" s="3">
        <v>46140</v>
      </c>
      <c r="D79" t="s">
        <v>1464</v>
      </c>
      <c r="E79" t="s">
        <v>1558</v>
      </c>
      <c r="F79" t="s">
        <v>1559</v>
      </c>
      <c r="G79" s="16" t="s">
        <v>1442</v>
      </c>
      <c r="H79" t="s">
        <v>1438</v>
      </c>
    </row>
    <row r="80" spans="2:8" hidden="1" x14ac:dyDescent="0.2">
      <c r="B80">
        <v>79</v>
      </c>
      <c r="C80" s="3">
        <v>46140</v>
      </c>
      <c r="D80" t="s">
        <v>1455</v>
      </c>
      <c r="E80" t="s">
        <v>1560</v>
      </c>
      <c r="F80" t="s">
        <v>1561</v>
      </c>
      <c r="G80" s="16" t="s">
        <v>1562</v>
      </c>
      <c r="H80" t="s">
        <v>1438</v>
      </c>
    </row>
    <row r="81" spans="2:8" hidden="1" x14ac:dyDescent="0.2">
      <c r="B81">
        <v>80</v>
      </c>
      <c r="C81" s="3">
        <v>46140</v>
      </c>
      <c r="D81" t="s">
        <v>1468</v>
      </c>
      <c r="E81" t="s">
        <v>1560</v>
      </c>
      <c r="F81" t="s">
        <v>1563</v>
      </c>
      <c r="G81" s="16" t="s">
        <v>1445</v>
      </c>
      <c r="H81" t="s">
        <v>1438</v>
      </c>
    </row>
    <row r="82" spans="2:8" hidden="1" x14ac:dyDescent="0.2">
      <c r="B82">
        <v>81</v>
      </c>
      <c r="C82" s="3">
        <v>46140</v>
      </c>
      <c r="D82" t="s">
        <v>1441</v>
      </c>
      <c r="E82" t="s">
        <v>1564</v>
      </c>
      <c r="F82" t="s">
        <v>1565</v>
      </c>
      <c r="G82" s="16" t="s">
        <v>1457</v>
      </c>
      <c r="H82" t="s">
        <v>1438</v>
      </c>
    </row>
    <row r="83" spans="2:8" hidden="1" x14ac:dyDescent="0.2">
      <c r="B83">
        <v>82</v>
      </c>
      <c r="C83" s="3">
        <v>46140</v>
      </c>
      <c r="D83" t="s">
        <v>1470</v>
      </c>
      <c r="E83" t="s">
        <v>1566</v>
      </c>
      <c r="F83" t="s">
        <v>1567</v>
      </c>
      <c r="G83" s="16" t="s">
        <v>1439</v>
      </c>
      <c r="H83" t="s">
        <v>1438</v>
      </c>
    </row>
    <row r="84" spans="2:8" hidden="1" x14ac:dyDescent="0.2">
      <c r="B84">
        <v>83</v>
      </c>
      <c r="C84" s="3">
        <v>46140</v>
      </c>
      <c r="D84" t="s">
        <v>1474</v>
      </c>
      <c r="E84" t="s">
        <v>1568</v>
      </c>
      <c r="F84" t="s">
        <v>610</v>
      </c>
      <c r="G84" s="16" t="s">
        <v>1464</v>
      </c>
      <c r="H84" t="s">
        <v>1438</v>
      </c>
    </row>
    <row r="85" spans="2:8" hidden="1" x14ac:dyDescent="0.2">
      <c r="B85">
        <v>84</v>
      </c>
      <c r="C85" s="3">
        <v>46140</v>
      </c>
      <c r="D85" t="s">
        <v>1494</v>
      </c>
      <c r="E85" t="s">
        <v>1569</v>
      </c>
      <c r="F85" t="s">
        <v>439</v>
      </c>
      <c r="G85" s="16" t="s">
        <v>1570</v>
      </c>
      <c r="H85" t="s">
        <v>1438</v>
      </c>
    </row>
    <row r="86" spans="2:8" hidden="1" x14ac:dyDescent="0.2">
      <c r="B86">
        <v>85</v>
      </c>
      <c r="C86" s="3">
        <v>46140</v>
      </c>
      <c r="D86" t="s">
        <v>1496</v>
      </c>
      <c r="E86" t="s">
        <v>1571</v>
      </c>
      <c r="F86" t="s">
        <v>1487</v>
      </c>
      <c r="G86" s="16" t="s">
        <v>1453</v>
      </c>
      <c r="H86" t="s">
        <v>1438</v>
      </c>
    </row>
    <row r="87" spans="2:8" hidden="1" x14ac:dyDescent="0.2">
      <c r="B87">
        <v>86</v>
      </c>
      <c r="C87" s="3">
        <v>46140</v>
      </c>
      <c r="D87" t="s">
        <v>1499</v>
      </c>
      <c r="E87" t="s">
        <v>1572</v>
      </c>
      <c r="F87" t="s">
        <v>1573</v>
      </c>
      <c r="G87" s="16" t="s">
        <v>1434</v>
      </c>
      <c r="H87" t="s">
        <v>1438</v>
      </c>
    </row>
    <row r="88" spans="2:8" hidden="1" x14ac:dyDescent="0.2">
      <c r="B88">
        <v>87</v>
      </c>
      <c r="C88" s="3">
        <v>46140</v>
      </c>
      <c r="D88" t="s">
        <v>1501</v>
      </c>
      <c r="E88" t="s">
        <v>1572</v>
      </c>
      <c r="F88" t="s">
        <v>1574</v>
      </c>
      <c r="G88" s="16" t="s">
        <v>1460</v>
      </c>
      <c r="H88" t="s">
        <v>1438</v>
      </c>
    </row>
    <row r="89" spans="2:8" hidden="1" x14ac:dyDescent="0.2">
      <c r="B89">
        <v>88</v>
      </c>
      <c r="C89" s="3">
        <v>46140</v>
      </c>
      <c r="D89" t="s">
        <v>1503</v>
      </c>
      <c r="E89" t="s">
        <v>1572</v>
      </c>
      <c r="F89" t="s">
        <v>1553</v>
      </c>
      <c r="G89" s="16" t="s">
        <v>1439</v>
      </c>
      <c r="H89" t="s">
        <v>1438</v>
      </c>
    </row>
    <row r="90" spans="2:8" hidden="1" x14ac:dyDescent="0.2">
      <c r="B90">
        <v>89</v>
      </c>
      <c r="C90" s="3">
        <v>46140</v>
      </c>
      <c r="D90" t="s">
        <v>1505</v>
      </c>
      <c r="E90" t="s">
        <v>1572</v>
      </c>
      <c r="F90" t="s">
        <v>1489</v>
      </c>
      <c r="G90" s="16" t="s">
        <v>1445</v>
      </c>
      <c r="H90" t="s">
        <v>1438</v>
      </c>
    </row>
    <row r="91" spans="2:8" hidden="1" x14ac:dyDescent="0.2">
      <c r="B91">
        <v>90</v>
      </c>
      <c r="C91" s="3">
        <v>46140</v>
      </c>
      <c r="D91" t="s">
        <v>1507</v>
      </c>
      <c r="E91" t="s">
        <v>1575</v>
      </c>
      <c r="F91" t="s">
        <v>1490</v>
      </c>
      <c r="G91" s="16" t="s">
        <v>1450</v>
      </c>
      <c r="H91" t="s">
        <v>1438</v>
      </c>
    </row>
    <row r="92" spans="2:8" hidden="1" x14ac:dyDescent="0.2">
      <c r="B92">
        <v>91</v>
      </c>
      <c r="C92" s="3">
        <v>46140</v>
      </c>
      <c r="D92" t="s">
        <v>1444</v>
      </c>
      <c r="E92" t="s">
        <v>1575</v>
      </c>
      <c r="F92" t="s">
        <v>1473</v>
      </c>
      <c r="G92" s="16" t="s">
        <v>1576</v>
      </c>
      <c r="H92" t="s">
        <v>1438</v>
      </c>
    </row>
    <row r="93" spans="2:8" hidden="1" x14ac:dyDescent="0.2">
      <c r="B93">
        <v>92</v>
      </c>
      <c r="C93" s="3">
        <v>46140</v>
      </c>
      <c r="D93" t="s">
        <v>1511</v>
      </c>
      <c r="E93" t="s">
        <v>1575</v>
      </c>
      <c r="F93" t="s">
        <v>1577</v>
      </c>
      <c r="G93" s="16" t="s">
        <v>1445</v>
      </c>
      <c r="H93" t="s">
        <v>1438</v>
      </c>
    </row>
    <row r="94" spans="2:8" hidden="1" x14ac:dyDescent="0.2">
      <c r="B94">
        <v>93</v>
      </c>
      <c r="C94" s="3">
        <v>46140</v>
      </c>
      <c r="D94" t="s">
        <v>1513</v>
      </c>
      <c r="E94" t="s">
        <v>1578</v>
      </c>
      <c r="F94" t="s">
        <v>1487</v>
      </c>
      <c r="G94" s="16" t="s">
        <v>1448</v>
      </c>
      <c r="H94" t="s">
        <v>1438</v>
      </c>
    </row>
    <row r="95" spans="2:8" hidden="1" x14ac:dyDescent="0.2">
      <c r="B95">
        <v>94</v>
      </c>
      <c r="C95" s="3">
        <v>46140</v>
      </c>
      <c r="D95" t="s">
        <v>1516</v>
      </c>
      <c r="E95" t="s">
        <v>1578</v>
      </c>
      <c r="F95" t="s">
        <v>1579</v>
      </c>
      <c r="G95" s="16" t="s">
        <v>1507</v>
      </c>
      <c r="H95" t="s">
        <v>1438</v>
      </c>
    </row>
    <row r="96" spans="2:8" hidden="1" x14ac:dyDescent="0.2">
      <c r="B96">
        <v>95</v>
      </c>
      <c r="C96" s="3">
        <v>46140</v>
      </c>
      <c r="D96" t="s">
        <v>1518</v>
      </c>
      <c r="E96" t="s">
        <v>1580</v>
      </c>
      <c r="F96" t="s">
        <v>1486</v>
      </c>
      <c r="G96" s="16" t="s">
        <v>1439</v>
      </c>
      <c r="H96" t="s">
        <v>1438</v>
      </c>
    </row>
    <row r="97" spans="2:8" hidden="1" x14ac:dyDescent="0.2">
      <c r="B97">
        <v>96</v>
      </c>
      <c r="C97" s="3">
        <v>46140</v>
      </c>
      <c r="D97" t="s">
        <v>1469</v>
      </c>
      <c r="E97" t="s">
        <v>1580</v>
      </c>
      <c r="F97" t="s">
        <v>1581</v>
      </c>
      <c r="G97" s="16" t="s">
        <v>1448</v>
      </c>
      <c r="H97" t="s">
        <v>1438</v>
      </c>
    </row>
    <row r="98" spans="2:8" hidden="1" x14ac:dyDescent="0.2">
      <c r="B98">
        <v>97</v>
      </c>
      <c r="C98" s="3">
        <v>46140</v>
      </c>
      <c r="D98" t="s">
        <v>1521</v>
      </c>
      <c r="E98" t="s">
        <v>1580</v>
      </c>
      <c r="F98" t="s">
        <v>1582</v>
      </c>
      <c r="G98" s="16" t="s">
        <v>1448</v>
      </c>
      <c r="H98" t="s">
        <v>1438</v>
      </c>
    </row>
    <row r="99" spans="2:8" hidden="1" x14ac:dyDescent="0.2">
      <c r="B99">
        <v>98</v>
      </c>
      <c r="C99" s="3">
        <v>46140</v>
      </c>
      <c r="D99" t="s">
        <v>1522</v>
      </c>
      <c r="E99" t="s">
        <v>1583</v>
      </c>
      <c r="F99" t="s">
        <v>1489</v>
      </c>
      <c r="G99" s="16" t="s">
        <v>1445</v>
      </c>
      <c r="H99" t="s">
        <v>1438</v>
      </c>
    </row>
    <row r="100" spans="2:8" hidden="1" x14ac:dyDescent="0.2">
      <c r="B100">
        <v>99</v>
      </c>
      <c r="C100" s="3">
        <v>46140</v>
      </c>
      <c r="D100" t="s">
        <v>1576</v>
      </c>
      <c r="E100" t="s">
        <v>1583</v>
      </c>
      <c r="F100" t="s">
        <v>1500</v>
      </c>
      <c r="G100" s="16" t="s">
        <v>1448</v>
      </c>
      <c r="H100" t="s">
        <v>1438</v>
      </c>
    </row>
    <row r="101" spans="2:8" hidden="1" x14ac:dyDescent="0.2">
      <c r="B101">
        <v>100</v>
      </c>
      <c r="C101" s="3">
        <v>46140</v>
      </c>
      <c r="D101" t="s">
        <v>1584</v>
      </c>
      <c r="E101" t="s">
        <v>1585</v>
      </c>
      <c r="F101" t="s">
        <v>1489</v>
      </c>
      <c r="G101" s="16" t="s">
        <v>1437</v>
      </c>
      <c r="H101" t="s">
        <v>1438</v>
      </c>
    </row>
    <row r="102" spans="2:8" hidden="1" x14ac:dyDescent="0.2">
      <c r="B102">
        <v>101</v>
      </c>
      <c r="C102" s="3">
        <v>46140</v>
      </c>
      <c r="D102" t="s">
        <v>1586</v>
      </c>
      <c r="E102" t="s">
        <v>1587</v>
      </c>
      <c r="F102" t="s">
        <v>1487</v>
      </c>
      <c r="G102" s="16" t="s">
        <v>1442</v>
      </c>
      <c r="H102" t="s">
        <v>1438</v>
      </c>
    </row>
    <row r="103" spans="2:8" hidden="1" x14ac:dyDescent="0.2">
      <c r="B103">
        <v>102</v>
      </c>
      <c r="C103" s="3">
        <v>46140</v>
      </c>
      <c r="D103" t="s">
        <v>1588</v>
      </c>
      <c r="E103" t="s">
        <v>1587</v>
      </c>
      <c r="F103" t="s">
        <v>1486</v>
      </c>
      <c r="G103" s="16" t="s">
        <v>1445</v>
      </c>
      <c r="H103" t="s">
        <v>1438</v>
      </c>
    </row>
    <row r="104" spans="2:8" hidden="1" x14ac:dyDescent="0.2">
      <c r="B104">
        <v>103</v>
      </c>
      <c r="C104" s="3">
        <v>46140</v>
      </c>
      <c r="D104" t="s">
        <v>1589</v>
      </c>
      <c r="E104" t="s">
        <v>1590</v>
      </c>
      <c r="F104" t="s">
        <v>1509</v>
      </c>
      <c r="G104" s="16" t="s">
        <v>1591</v>
      </c>
      <c r="H104" t="s">
        <v>1438</v>
      </c>
    </row>
    <row r="105" spans="2:8" hidden="1" x14ac:dyDescent="0.2">
      <c r="B105">
        <v>104</v>
      </c>
      <c r="C105" s="3">
        <v>46140</v>
      </c>
      <c r="D105" t="s">
        <v>1592</v>
      </c>
      <c r="E105" t="s">
        <v>1593</v>
      </c>
      <c r="F105" t="s">
        <v>1594</v>
      </c>
      <c r="G105" s="16" t="s">
        <v>1595</v>
      </c>
      <c r="H105" t="s">
        <v>1438</v>
      </c>
    </row>
    <row r="106" spans="2:8" hidden="1" x14ac:dyDescent="0.2">
      <c r="B106">
        <v>105</v>
      </c>
      <c r="C106" s="3">
        <v>46140</v>
      </c>
      <c r="D106" t="s">
        <v>1596</v>
      </c>
      <c r="E106" t="s">
        <v>1593</v>
      </c>
      <c r="F106" t="s">
        <v>1597</v>
      </c>
      <c r="G106" s="16" t="s">
        <v>1598</v>
      </c>
      <c r="H106" t="s">
        <v>1438</v>
      </c>
    </row>
    <row r="107" spans="2:8" hidden="1" x14ac:dyDescent="0.2">
      <c r="B107">
        <v>106</v>
      </c>
      <c r="C107" s="3">
        <v>46140</v>
      </c>
      <c r="D107" t="s">
        <v>1452</v>
      </c>
      <c r="E107" t="s">
        <v>1599</v>
      </c>
      <c r="F107" t="s">
        <v>1600</v>
      </c>
      <c r="G107" s="16" t="s">
        <v>1442</v>
      </c>
      <c r="H107" t="s">
        <v>1438</v>
      </c>
    </row>
    <row r="108" spans="2:8" hidden="1" x14ac:dyDescent="0.2">
      <c r="B108">
        <v>107</v>
      </c>
      <c r="C108" s="3">
        <v>46140</v>
      </c>
      <c r="D108" t="s">
        <v>1601</v>
      </c>
      <c r="E108" t="s">
        <v>1599</v>
      </c>
      <c r="F108" t="s">
        <v>1486</v>
      </c>
      <c r="G108" s="16" t="s">
        <v>1442</v>
      </c>
      <c r="H108" t="s">
        <v>1438</v>
      </c>
    </row>
    <row r="109" spans="2:8" hidden="1" x14ac:dyDescent="0.2">
      <c r="B109">
        <v>108</v>
      </c>
      <c r="C109" s="3">
        <v>46140</v>
      </c>
      <c r="D109" t="s">
        <v>1457</v>
      </c>
      <c r="E109" t="s">
        <v>1602</v>
      </c>
      <c r="F109" t="s">
        <v>1420</v>
      </c>
      <c r="G109" s="16" t="s">
        <v>1460</v>
      </c>
      <c r="H109" t="s">
        <v>1438</v>
      </c>
    </row>
    <row r="110" spans="2:8" hidden="1" x14ac:dyDescent="0.2">
      <c r="B110">
        <v>109</v>
      </c>
      <c r="C110" s="3">
        <v>46140</v>
      </c>
      <c r="D110" t="s">
        <v>1603</v>
      </c>
      <c r="E110" t="s">
        <v>1602</v>
      </c>
      <c r="F110" t="s">
        <v>1489</v>
      </c>
      <c r="G110" s="16" t="s">
        <v>1439</v>
      </c>
      <c r="H110" t="s">
        <v>1438</v>
      </c>
    </row>
    <row r="111" spans="2:8" hidden="1" x14ac:dyDescent="0.2">
      <c r="B111" t="s">
        <v>64</v>
      </c>
    </row>
    <row r="112" spans="2:8" hidden="1" x14ac:dyDescent="0.2">
      <c r="B112" t="s">
        <v>64</v>
      </c>
    </row>
    <row r="113" spans="2:2" hidden="1" x14ac:dyDescent="0.2">
      <c r="B113" t="s">
        <v>64</v>
      </c>
    </row>
    <row r="114" spans="2:2" hidden="1" x14ac:dyDescent="0.2">
      <c r="B114" t="s">
        <v>64</v>
      </c>
    </row>
    <row r="115" spans="2:2" hidden="1" x14ac:dyDescent="0.2">
      <c r="B115" t="s">
        <v>64</v>
      </c>
    </row>
    <row r="116" spans="2:2" hidden="1" x14ac:dyDescent="0.2">
      <c r="B116" t="s">
        <v>64</v>
      </c>
    </row>
    <row r="117" spans="2:2" hidden="1" x14ac:dyDescent="0.2">
      <c r="B117" t="s">
        <v>64</v>
      </c>
    </row>
    <row r="118" spans="2:2" hidden="1" x14ac:dyDescent="0.2">
      <c r="B118" t="s">
        <v>64</v>
      </c>
    </row>
    <row r="119" spans="2:2" hidden="1" x14ac:dyDescent="0.2">
      <c r="B119" t="s">
        <v>64</v>
      </c>
    </row>
    <row r="120" spans="2:2" hidden="1" x14ac:dyDescent="0.2">
      <c r="B120" t="s">
        <v>64</v>
      </c>
    </row>
    <row r="121" spans="2:2" hidden="1" x14ac:dyDescent="0.2">
      <c r="B121" t="s">
        <v>64</v>
      </c>
    </row>
    <row r="122" spans="2:2" hidden="1" x14ac:dyDescent="0.2">
      <c r="B122" t="s">
        <v>64</v>
      </c>
    </row>
    <row r="123" spans="2:2" hidden="1" x14ac:dyDescent="0.2">
      <c r="B123" t="s">
        <v>64</v>
      </c>
    </row>
    <row r="124" spans="2:2" hidden="1" x14ac:dyDescent="0.2">
      <c r="B124" t="s">
        <v>64</v>
      </c>
    </row>
    <row r="125" spans="2:2" hidden="1" x14ac:dyDescent="0.2">
      <c r="B125" t="s">
        <v>64</v>
      </c>
    </row>
    <row r="126" spans="2:2" hidden="1" x14ac:dyDescent="0.2">
      <c r="B126" t="s">
        <v>64</v>
      </c>
    </row>
    <row r="127" spans="2:2" hidden="1" x14ac:dyDescent="0.2">
      <c r="B127" t="s">
        <v>64</v>
      </c>
    </row>
    <row r="128" spans="2:2" hidden="1" x14ac:dyDescent="0.2">
      <c r="B128" t="s">
        <v>64</v>
      </c>
    </row>
    <row r="129" spans="2:2" hidden="1" x14ac:dyDescent="0.2">
      <c r="B129" t="s">
        <v>64</v>
      </c>
    </row>
    <row r="130" spans="2:2" hidden="1" x14ac:dyDescent="0.2">
      <c r="B130" t="s">
        <v>64</v>
      </c>
    </row>
    <row r="131" spans="2:2" hidden="1" x14ac:dyDescent="0.2">
      <c r="B131" t="s">
        <v>64</v>
      </c>
    </row>
    <row r="132" spans="2:2" hidden="1" x14ac:dyDescent="0.2">
      <c r="B132" t="s">
        <v>64</v>
      </c>
    </row>
    <row r="133" spans="2:2" hidden="1" x14ac:dyDescent="0.2">
      <c r="B133" t="s">
        <v>64</v>
      </c>
    </row>
    <row r="134" spans="2:2" hidden="1" x14ac:dyDescent="0.2">
      <c r="B134" t="s">
        <v>64</v>
      </c>
    </row>
    <row r="135" spans="2:2" hidden="1" x14ac:dyDescent="0.2">
      <c r="B135" t="s">
        <v>64</v>
      </c>
    </row>
    <row r="136" spans="2:2" hidden="1" x14ac:dyDescent="0.2">
      <c r="B136" t="s">
        <v>64</v>
      </c>
    </row>
    <row r="137" spans="2:2" hidden="1" x14ac:dyDescent="0.2">
      <c r="B137" t="s">
        <v>64</v>
      </c>
    </row>
    <row r="138" spans="2:2" hidden="1" x14ac:dyDescent="0.2">
      <c r="B138" t="s">
        <v>64</v>
      </c>
    </row>
    <row r="139" spans="2:2" hidden="1" x14ac:dyDescent="0.2">
      <c r="B139" t="s">
        <v>64</v>
      </c>
    </row>
    <row r="140" spans="2:2" hidden="1" x14ac:dyDescent="0.2">
      <c r="B140" t="s">
        <v>64</v>
      </c>
    </row>
    <row r="141" spans="2:2" hidden="1" x14ac:dyDescent="0.2">
      <c r="B141" t="s">
        <v>64</v>
      </c>
    </row>
    <row r="142" spans="2:2" hidden="1" x14ac:dyDescent="0.2">
      <c r="B142" t="s">
        <v>64</v>
      </c>
    </row>
    <row r="143" spans="2:2" hidden="1" x14ac:dyDescent="0.2">
      <c r="B143" t="s">
        <v>64</v>
      </c>
    </row>
    <row r="144" spans="2:2" hidden="1" x14ac:dyDescent="0.2">
      <c r="B144" t="s">
        <v>64</v>
      </c>
    </row>
    <row r="145" spans="2:2" hidden="1" x14ac:dyDescent="0.2">
      <c r="B145" t="s">
        <v>64</v>
      </c>
    </row>
    <row r="146" spans="2:2" hidden="1" x14ac:dyDescent="0.2">
      <c r="B146" t="s">
        <v>64</v>
      </c>
    </row>
    <row r="147" spans="2:2" hidden="1" x14ac:dyDescent="0.2">
      <c r="B147" t="s">
        <v>64</v>
      </c>
    </row>
    <row r="148" spans="2:2" hidden="1" x14ac:dyDescent="0.2">
      <c r="B148" t="s">
        <v>64</v>
      </c>
    </row>
    <row r="149" spans="2:2" hidden="1" x14ac:dyDescent="0.2">
      <c r="B149" t="s">
        <v>64</v>
      </c>
    </row>
    <row r="150" spans="2:2" hidden="1" x14ac:dyDescent="0.2">
      <c r="B150" t="s">
        <v>64</v>
      </c>
    </row>
    <row r="151" spans="2:2" hidden="1" x14ac:dyDescent="0.2">
      <c r="B151" t="s">
        <v>64</v>
      </c>
    </row>
    <row r="152" spans="2:2" hidden="1" x14ac:dyDescent="0.2">
      <c r="B152" t="s">
        <v>64</v>
      </c>
    </row>
    <row r="153" spans="2:2" hidden="1" x14ac:dyDescent="0.2">
      <c r="B153" t="s">
        <v>64</v>
      </c>
    </row>
    <row r="154" spans="2:2" hidden="1" x14ac:dyDescent="0.2">
      <c r="B154" t="s">
        <v>64</v>
      </c>
    </row>
    <row r="155" spans="2:2" hidden="1" x14ac:dyDescent="0.2">
      <c r="B155" t="s">
        <v>64</v>
      </c>
    </row>
    <row r="156" spans="2:2" hidden="1" x14ac:dyDescent="0.2">
      <c r="B156" t="s">
        <v>64</v>
      </c>
    </row>
    <row r="157" spans="2:2" hidden="1" x14ac:dyDescent="0.2">
      <c r="B157" t="s">
        <v>64</v>
      </c>
    </row>
    <row r="158" spans="2:2" hidden="1" x14ac:dyDescent="0.2">
      <c r="B158" t="s">
        <v>64</v>
      </c>
    </row>
    <row r="159" spans="2:2" hidden="1" x14ac:dyDescent="0.2">
      <c r="B159" t="s">
        <v>64</v>
      </c>
    </row>
    <row r="160" spans="2:2" hidden="1" x14ac:dyDescent="0.2">
      <c r="B160" t="s">
        <v>64</v>
      </c>
    </row>
    <row r="161" spans="2:2" hidden="1" x14ac:dyDescent="0.2">
      <c r="B161" t="s">
        <v>64</v>
      </c>
    </row>
    <row r="162" spans="2:2" hidden="1" x14ac:dyDescent="0.2">
      <c r="B162" t="s">
        <v>64</v>
      </c>
    </row>
    <row r="163" spans="2:2" hidden="1" x14ac:dyDescent="0.2">
      <c r="B163" t="s">
        <v>64</v>
      </c>
    </row>
    <row r="164" spans="2:2" hidden="1" x14ac:dyDescent="0.2">
      <c r="B164" t="s">
        <v>64</v>
      </c>
    </row>
    <row r="165" spans="2:2" hidden="1" x14ac:dyDescent="0.2">
      <c r="B165" t="s">
        <v>64</v>
      </c>
    </row>
    <row r="166" spans="2:2" hidden="1" x14ac:dyDescent="0.2">
      <c r="B166" t="s">
        <v>64</v>
      </c>
    </row>
    <row r="167" spans="2:2" hidden="1" x14ac:dyDescent="0.2">
      <c r="B167" t="s">
        <v>64</v>
      </c>
    </row>
    <row r="168" spans="2:2" hidden="1" x14ac:dyDescent="0.2">
      <c r="B168" t="s">
        <v>64</v>
      </c>
    </row>
    <row r="169" spans="2:2" hidden="1" x14ac:dyDescent="0.2">
      <c r="B169" t="s">
        <v>64</v>
      </c>
    </row>
    <row r="170" spans="2:2" hidden="1" x14ac:dyDescent="0.2">
      <c r="B170" t="s">
        <v>64</v>
      </c>
    </row>
    <row r="171" spans="2:2" hidden="1" x14ac:dyDescent="0.2">
      <c r="B171" t="s">
        <v>64</v>
      </c>
    </row>
    <row r="172" spans="2:2" hidden="1" x14ac:dyDescent="0.2">
      <c r="B172" t="s">
        <v>64</v>
      </c>
    </row>
    <row r="173" spans="2:2" hidden="1" x14ac:dyDescent="0.2">
      <c r="B173" t="s">
        <v>64</v>
      </c>
    </row>
    <row r="174" spans="2:2" hidden="1" x14ac:dyDescent="0.2">
      <c r="B174" t="s">
        <v>64</v>
      </c>
    </row>
    <row r="175" spans="2:2" hidden="1" x14ac:dyDescent="0.2">
      <c r="B175" t="s">
        <v>64</v>
      </c>
    </row>
    <row r="176" spans="2:2" hidden="1" x14ac:dyDescent="0.2">
      <c r="B176" t="s">
        <v>64</v>
      </c>
    </row>
    <row r="177" spans="2:2" hidden="1" x14ac:dyDescent="0.2">
      <c r="B177" t="s">
        <v>64</v>
      </c>
    </row>
    <row r="178" spans="2:2" hidden="1" x14ac:dyDescent="0.2">
      <c r="B178" t="s">
        <v>64</v>
      </c>
    </row>
    <row r="179" spans="2:2" hidden="1" x14ac:dyDescent="0.2">
      <c r="B179" t="s">
        <v>64</v>
      </c>
    </row>
    <row r="180" spans="2:2" hidden="1" x14ac:dyDescent="0.2">
      <c r="B180" t="s">
        <v>64</v>
      </c>
    </row>
    <row r="181" spans="2:2" hidden="1" x14ac:dyDescent="0.2">
      <c r="B181" t="s">
        <v>64</v>
      </c>
    </row>
    <row r="182" spans="2:2" hidden="1" x14ac:dyDescent="0.2">
      <c r="B182" t="s">
        <v>64</v>
      </c>
    </row>
    <row r="183" spans="2:2" hidden="1" x14ac:dyDescent="0.2">
      <c r="B183" t="s">
        <v>64</v>
      </c>
    </row>
    <row r="184" spans="2:2" hidden="1" x14ac:dyDescent="0.2">
      <c r="B184" t="s">
        <v>64</v>
      </c>
    </row>
    <row r="185" spans="2:2" hidden="1" x14ac:dyDescent="0.2">
      <c r="B185" t="s">
        <v>64</v>
      </c>
    </row>
    <row r="186" spans="2:2" hidden="1" x14ac:dyDescent="0.2">
      <c r="B186" t="s">
        <v>64</v>
      </c>
    </row>
    <row r="187" spans="2:2" hidden="1" x14ac:dyDescent="0.2">
      <c r="B187" t="s">
        <v>64</v>
      </c>
    </row>
    <row r="188" spans="2:2" hidden="1" x14ac:dyDescent="0.2">
      <c r="B188" t="s">
        <v>64</v>
      </c>
    </row>
    <row r="189" spans="2:2" hidden="1" x14ac:dyDescent="0.2">
      <c r="B189" t="s">
        <v>64</v>
      </c>
    </row>
    <row r="190" spans="2:2" hidden="1" x14ac:dyDescent="0.2">
      <c r="B190" t="s">
        <v>64</v>
      </c>
    </row>
    <row r="191" spans="2:2" hidden="1" x14ac:dyDescent="0.2">
      <c r="B191" t="s">
        <v>64</v>
      </c>
    </row>
    <row r="192" spans="2:2" hidden="1" x14ac:dyDescent="0.2">
      <c r="B192" t="s">
        <v>64</v>
      </c>
    </row>
    <row r="193" spans="2:2" hidden="1" x14ac:dyDescent="0.2">
      <c r="B193" t="s">
        <v>64</v>
      </c>
    </row>
    <row r="194" spans="2:2" hidden="1" x14ac:dyDescent="0.2">
      <c r="B194" t="s">
        <v>64</v>
      </c>
    </row>
    <row r="195" spans="2:2" hidden="1" x14ac:dyDescent="0.2">
      <c r="B195" t="s">
        <v>64</v>
      </c>
    </row>
    <row r="196" spans="2:2" hidden="1" x14ac:dyDescent="0.2">
      <c r="B196" t="s">
        <v>64</v>
      </c>
    </row>
    <row r="197" spans="2:2" hidden="1" x14ac:dyDescent="0.2">
      <c r="B197" t="s">
        <v>64</v>
      </c>
    </row>
    <row r="198" spans="2:2" hidden="1" x14ac:dyDescent="0.2">
      <c r="B198" t="s">
        <v>64</v>
      </c>
    </row>
    <row r="199" spans="2:2" hidden="1" x14ac:dyDescent="0.2">
      <c r="B199" t="s">
        <v>64</v>
      </c>
    </row>
    <row r="200" spans="2:2" hidden="1" x14ac:dyDescent="0.2">
      <c r="B200" t="s">
        <v>64</v>
      </c>
    </row>
    <row r="201" spans="2:2" hidden="1" x14ac:dyDescent="0.2">
      <c r="B201" t="s">
        <v>64</v>
      </c>
    </row>
    <row r="202" spans="2:2" hidden="1" x14ac:dyDescent="0.2">
      <c r="B202" t="s">
        <v>64</v>
      </c>
    </row>
    <row r="203" spans="2:2" hidden="1" x14ac:dyDescent="0.2">
      <c r="B203" t="s">
        <v>64</v>
      </c>
    </row>
    <row r="204" spans="2:2" hidden="1" x14ac:dyDescent="0.2">
      <c r="B204" t="s">
        <v>64</v>
      </c>
    </row>
    <row r="205" spans="2:2" hidden="1" x14ac:dyDescent="0.2">
      <c r="B205" t="s">
        <v>64</v>
      </c>
    </row>
    <row r="206" spans="2:2" hidden="1" x14ac:dyDescent="0.2">
      <c r="B206" t="s">
        <v>64</v>
      </c>
    </row>
    <row r="207" spans="2:2" hidden="1" x14ac:dyDescent="0.2">
      <c r="B207" t="s">
        <v>64</v>
      </c>
    </row>
    <row r="208" spans="2:2" hidden="1" x14ac:dyDescent="0.2">
      <c r="B208" t="s">
        <v>64</v>
      </c>
    </row>
    <row r="209" spans="2:2" hidden="1" x14ac:dyDescent="0.2">
      <c r="B209" t="s">
        <v>64</v>
      </c>
    </row>
    <row r="210" spans="2:2" hidden="1" x14ac:dyDescent="0.2">
      <c r="B210" t="s">
        <v>64</v>
      </c>
    </row>
    <row r="211" spans="2:2" hidden="1" x14ac:dyDescent="0.2">
      <c r="B211" t="s">
        <v>64</v>
      </c>
    </row>
    <row r="212" spans="2:2" hidden="1" x14ac:dyDescent="0.2">
      <c r="B212" t="s">
        <v>64</v>
      </c>
    </row>
    <row r="213" spans="2:2" hidden="1" x14ac:dyDescent="0.2">
      <c r="B213" t="s">
        <v>64</v>
      </c>
    </row>
    <row r="214" spans="2:2" hidden="1" x14ac:dyDescent="0.2">
      <c r="B214" t="s">
        <v>64</v>
      </c>
    </row>
    <row r="215" spans="2:2" hidden="1" x14ac:dyDescent="0.2">
      <c r="B215" t="s">
        <v>64</v>
      </c>
    </row>
    <row r="216" spans="2:2" hidden="1" x14ac:dyDescent="0.2">
      <c r="B216" t="s">
        <v>64</v>
      </c>
    </row>
    <row r="217" spans="2:2" hidden="1" x14ac:dyDescent="0.2">
      <c r="B217" t="s">
        <v>64</v>
      </c>
    </row>
    <row r="218" spans="2:2" hidden="1" x14ac:dyDescent="0.2">
      <c r="B218" t="s">
        <v>64</v>
      </c>
    </row>
    <row r="219" spans="2:2" hidden="1" x14ac:dyDescent="0.2">
      <c r="B219" t="s">
        <v>64</v>
      </c>
    </row>
    <row r="220" spans="2:2" hidden="1" x14ac:dyDescent="0.2">
      <c r="B220" t="s">
        <v>64</v>
      </c>
    </row>
    <row r="221" spans="2:2" hidden="1" x14ac:dyDescent="0.2">
      <c r="B221" t="s">
        <v>64</v>
      </c>
    </row>
    <row r="222" spans="2:2" hidden="1" x14ac:dyDescent="0.2">
      <c r="B222" t="s">
        <v>64</v>
      </c>
    </row>
    <row r="223" spans="2:2" hidden="1" x14ac:dyDescent="0.2">
      <c r="B223" t="s">
        <v>64</v>
      </c>
    </row>
    <row r="224" spans="2:2" hidden="1" x14ac:dyDescent="0.2">
      <c r="B224" t="s">
        <v>64</v>
      </c>
    </row>
    <row r="225" spans="2:2" hidden="1" x14ac:dyDescent="0.2">
      <c r="B225" t="s">
        <v>64</v>
      </c>
    </row>
    <row r="226" spans="2:2" hidden="1" x14ac:dyDescent="0.2">
      <c r="B226" t="s">
        <v>64</v>
      </c>
    </row>
    <row r="227" spans="2:2" hidden="1" x14ac:dyDescent="0.2">
      <c r="B227" t="s">
        <v>64</v>
      </c>
    </row>
    <row r="228" spans="2:2" hidden="1" x14ac:dyDescent="0.2">
      <c r="B228" t="s">
        <v>64</v>
      </c>
    </row>
    <row r="229" spans="2:2" hidden="1" x14ac:dyDescent="0.2">
      <c r="B229" t="s">
        <v>64</v>
      </c>
    </row>
    <row r="230" spans="2:2" hidden="1" x14ac:dyDescent="0.2">
      <c r="B230" t="s">
        <v>64</v>
      </c>
    </row>
    <row r="231" spans="2:2" hidden="1" x14ac:dyDescent="0.2">
      <c r="B231" t="s">
        <v>64</v>
      </c>
    </row>
    <row r="232" spans="2:2" hidden="1" x14ac:dyDescent="0.2">
      <c r="B232" t="s">
        <v>64</v>
      </c>
    </row>
    <row r="233" spans="2:2" hidden="1" x14ac:dyDescent="0.2">
      <c r="B233" t="s">
        <v>64</v>
      </c>
    </row>
    <row r="234" spans="2:2" hidden="1" x14ac:dyDescent="0.2">
      <c r="B234" t="s">
        <v>64</v>
      </c>
    </row>
    <row r="235" spans="2:2" hidden="1" x14ac:dyDescent="0.2">
      <c r="B235" t="s">
        <v>64</v>
      </c>
    </row>
    <row r="236" spans="2:2" hidden="1" x14ac:dyDescent="0.2">
      <c r="B236" t="s">
        <v>64</v>
      </c>
    </row>
    <row r="237" spans="2:2" hidden="1" x14ac:dyDescent="0.2">
      <c r="B237" t="s">
        <v>64</v>
      </c>
    </row>
    <row r="238" spans="2:2" hidden="1" x14ac:dyDescent="0.2">
      <c r="B238" t="s">
        <v>64</v>
      </c>
    </row>
    <row r="239" spans="2:2" hidden="1" x14ac:dyDescent="0.2">
      <c r="B239" t="s">
        <v>64</v>
      </c>
    </row>
    <row r="240" spans="2:2" hidden="1" x14ac:dyDescent="0.2">
      <c r="B240" t="s">
        <v>64</v>
      </c>
    </row>
    <row r="241" spans="2:2" hidden="1" x14ac:dyDescent="0.2">
      <c r="B241" t="s">
        <v>64</v>
      </c>
    </row>
    <row r="242" spans="2:2" hidden="1" x14ac:dyDescent="0.2">
      <c r="B242" t="s">
        <v>64</v>
      </c>
    </row>
    <row r="243" spans="2:2" hidden="1" x14ac:dyDescent="0.2">
      <c r="B243" t="s">
        <v>64</v>
      </c>
    </row>
    <row r="244" spans="2:2" hidden="1" x14ac:dyDescent="0.2">
      <c r="B244" t="s">
        <v>64</v>
      </c>
    </row>
    <row r="245" spans="2:2" hidden="1" x14ac:dyDescent="0.2">
      <c r="B245" t="s">
        <v>64</v>
      </c>
    </row>
    <row r="246" spans="2:2" hidden="1" x14ac:dyDescent="0.2">
      <c r="B246" t="s">
        <v>64</v>
      </c>
    </row>
    <row r="247" spans="2:2" hidden="1" x14ac:dyDescent="0.2">
      <c r="B247" t="s">
        <v>64</v>
      </c>
    </row>
    <row r="248" spans="2:2" hidden="1" x14ac:dyDescent="0.2">
      <c r="B248" t="s">
        <v>64</v>
      </c>
    </row>
    <row r="249" spans="2:2" hidden="1" x14ac:dyDescent="0.2">
      <c r="B249" t="s">
        <v>64</v>
      </c>
    </row>
    <row r="250" spans="2:2" hidden="1" x14ac:dyDescent="0.2">
      <c r="B250" t="s">
        <v>64</v>
      </c>
    </row>
    <row r="251" spans="2:2" hidden="1" x14ac:dyDescent="0.2">
      <c r="B251" t="s">
        <v>64</v>
      </c>
    </row>
    <row r="252" spans="2:2" hidden="1" x14ac:dyDescent="0.2">
      <c r="B252" t="s">
        <v>64</v>
      </c>
    </row>
    <row r="253" spans="2:2" hidden="1" x14ac:dyDescent="0.2">
      <c r="B253" t="s">
        <v>64</v>
      </c>
    </row>
    <row r="254" spans="2:2" hidden="1" x14ac:dyDescent="0.2">
      <c r="B254" t="s">
        <v>64</v>
      </c>
    </row>
    <row r="255" spans="2:2" hidden="1" x14ac:dyDescent="0.2">
      <c r="B255" t="s">
        <v>64</v>
      </c>
    </row>
    <row r="256" spans="2:2" hidden="1" x14ac:dyDescent="0.2">
      <c r="B256" t="s">
        <v>64</v>
      </c>
    </row>
    <row r="257" spans="2:2" hidden="1" x14ac:dyDescent="0.2">
      <c r="B257" t="s">
        <v>64</v>
      </c>
    </row>
    <row r="258" spans="2:2" hidden="1" x14ac:dyDescent="0.2">
      <c r="B258" t="s">
        <v>64</v>
      </c>
    </row>
    <row r="259" spans="2:2" hidden="1" x14ac:dyDescent="0.2">
      <c r="B259" t="s">
        <v>64</v>
      </c>
    </row>
    <row r="260" spans="2:2" hidden="1" x14ac:dyDescent="0.2">
      <c r="B260" t="s">
        <v>64</v>
      </c>
    </row>
    <row r="261" spans="2:2" hidden="1" x14ac:dyDescent="0.2">
      <c r="B261" t="s">
        <v>64</v>
      </c>
    </row>
    <row r="262" spans="2:2" hidden="1" x14ac:dyDescent="0.2">
      <c r="B262" t="s">
        <v>64</v>
      </c>
    </row>
    <row r="263" spans="2:2" hidden="1" x14ac:dyDescent="0.2">
      <c r="B263" t="s">
        <v>64</v>
      </c>
    </row>
    <row r="264" spans="2:2" hidden="1" x14ac:dyDescent="0.2">
      <c r="B264" t="s">
        <v>64</v>
      </c>
    </row>
    <row r="265" spans="2:2" hidden="1" x14ac:dyDescent="0.2">
      <c r="B265" t="s">
        <v>64</v>
      </c>
    </row>
    <row r="266" spans="2:2" hidden="1" x14ac:dyDescent="0.2">
      <c r="B266" t="s">
        <v>64</v>
      </c>
    </row>
    <row r="267" spans="2:2" hidden="1" x14ac:dyDescent="0.2">
      <c r="B267" t="s">
        <v>64</v>
      </c>
    </row>
    <row r="268" spans="2:2" hidden="1" x14ac:dyDescent="0.2">
      <c r="B268" t="s">
        <v>64</v>
      </c>
    </row>
    <row r="269" spans="2:2" hidden="1" x14ac:dyDescent="0.2">
      <c r="B269" t="s">
        <v>64</v>
      </c>
    </row>
    <row r="270" spans="2:2" hidden="1" x14ac:dyDescent="0.2">
      <c r="B270" t="s">
        <v>64</v>
      </c>
    </row>
    <row r="271" spans="2:2" hidden="1" x14ac:dyDescent="0.2">
      <c r="B271" t="s">
        <v>64</v>
      </c>
    </row>
    <row r="272" spans="2:2" hidden="1" x14ac:dyDescent="0.2">
      <c r="B272" t="s">
        <v>64</v>
      </c>
    </row>
    <row r="273" spans="2:2" hidden="1" x14ac:dyDescent="0.2">
      <c r="B273" t="s">
        <v>64</v>
      </c>
    </row>
    <row r="274" spans="2:2" hidden="1" x14ac:dyDescent="0.2">
      <c r="B274" t="s">
        <v>64</v>
      </c>
    </row>
    <row r="275" spans="2:2" hidden="1" x14ac:dyDescent="0.2">
      <c r="B275" t="s">
        <v>64</v>
      </c>
    </row>
    <row r="276" spans="2:2" hidden="1" x14ac:dyDescent="0.2">
      <c r="B276" t="s">
        <v>64</v>
      </c>
    </row>
    <row r="277" spans="2:2" hidden="1" x14ac:dyDescent="0.2">
      <c r="B277" t="s">
        <v>64</v>
      </c>
    </row>
    <row r="278" spans="2:2" hidden="1" x14ac:dyDescent="0.2">
      <c r="B278" t="s">
        <v>64</v>
      </c>
    </row>
    <row r="279" spans="2:2" hidden="1" x14ac:dyDescent="0.2">
      <c r="B279" t="s">
        <v>64</v>
      </c>
    </row>
    <row r="280" spans="2:2" hidden="1" x14ac:dyDescent="0.2">
      <c r="B280" t="s">
        <v>64</v>
      </c>
    </row>
    <row r="281" spans="2:2" hidden="1" x14ac:dyDescent="0.2">
      <c r="B281" t="s">
        <v>64</v>
      </c>
    </row>
    <row r="282" spans="2:2" hidden="1" x14ac:dyDescent="0.2">
      <c r="B282" t="s">
        <v>64</v>
      </c>
    </row>
    <row r="283" spans="2:2" hidden="1" x14ac:dyDescent="0.2">
      <c r="B283" t="s">
        <v>64</v>
      </c>
    </row>
    <row r="284" spans="2:2" hidden="1" x14ac:dyDescent="0.2">
      <c r="B284" t="s">
        <v>64</v>
      </c>
    </row>
    <row r="285" spans="2:2" hidden="1" x14ac:dyDescent="0.2">
      <c r="B285" t="s">
        <v>64</v>
      </c>
    </row>
    <row r="286" spans="2:2" hidden="1" x14ac:dyDescent="0.2">
      <c r="B286" t="s">
        <v>64</v>
      </c>
    </row>
    <row r="287" spans="2:2" hidden="1" x14ac:dyDescent="0.2">
      <c r="B287" t="s">
        <v>64</v>
      </c>
    </row>
    <row r="288" spans="2:2" hidden="1" x14ac:dyDescent="0.2">
      <c r="B288" t="s">
        <v>64</v>
      </c>
    </row>
    <row r="289" spans="2:2" hidden="1" x14ac:dyDescent="0.2">
      <c r="B289" t="s">
        <v>64</v>
      </c>
    </row>
    <row r="290" spans="2:2" hidden="1" x14ac:dyDescent="0.2">
      <c r="B290" t="s">
        <v>64</v>
      </c>
    </row>
    <row r="291" spans="2:2" hidden="1" x14ac:dyDescent="0.2">
      <c r="B291" t="s">
        <v>64</v>
      </c>
    </row>
    <row r="292" spans="2:2" hidden="1" x14ac:dyDescent="0.2">
      <c r="B292" t="s">
        <v>64</v>
      </c>
    </row>
    <row r="293" spans="2:2" hidden="1" x14ac:dyDescent="0.2">
      <c r="B293" t="s">
        <v>64</v>
      </c>
    </row>
    <row r="294" spans="2:2" hidden="1" x14ac:dyDescent="0.2">
      <c r="B294" t="s">
        <v>64</v>
      </c>
    </row>
    <row r="295" spans="2:2" hidden="1" x14ac:dyDescent="0.2">
      <c r="B295" t="s">
        <v>64</v>
      </c>
    </row>
    <row r="296" spans="2:2" hidden="1" x14ac:dyDescent="0.2">
      <c r="B296" t="s">
        <v>64</v>
      </c>
    </row>
    <row r="297" spans="2:2" hidden="1" x14ac:dyDescent="0.2">
      <c r="B297" t="s">
        <v>64</v>
      </c>
    </row>
    <row r="298" spans="2:2" hidden="1" x14ac:dyDescent="0.2">
      <c r="B298" t="s">
        <v>64</v>
      </c>
    </row>
    <row r="299" spans="2:2" hidden="1" x14ac:dyDescent="0.2">
      <c r="B299" t="s">
        <v>64</v>
      </c>
    </row>
    <row r="300" spans="2:2" hidden="1" x14ac:dyDescent="0.2">
      <c r="B300" t="s">
        <v>64</v>
      </c>
    </row>
    <row r="301" spans="2:2" hidden="1" x14ac:dyDescent="0.2">
      <c r="B301" t="s">
        <v>64</v>
      </c>
    </row>
    <row r="302" spans="2:2" hidden="1" x14ac:dyDescent="0.2">
      <c r="B302" t="s">
        <v>64</v>
      </c>
    </row>
    <row r="303" spans="2:2" hidden="1" x14ac:dyDescent="0.2">
      <c r="B303" t="s">
        <v>64</v>
      </c>
    </row>
    <row r="304" spans="2:2" hidden="1" x14ac:dyDescent="0.2">
      <c r="B304" t="s">
        <v>64</v>
      </c>
    </row>
    <row r="305" spans="2:2" hidden="1" x14ac:dyDescent="0.2">
      <c r="B305" t="s">
        <v>64</v>
      </c>
    </row>
    <row r="306" spans="2:2" hidden="1" x14ac:dyDescent="0.2">
      <c r="B306" t="s">
        <v>64</v>
      </c>
    </row>
    <row r="307" spans="2:2" hidden="1" x14ac:dyDescent="0.2">
      <c r="B307" t="s">
        <v>64</v>
      </c>
    </row>
    <row r="308" spans="2:2" hidden="1" x14ac:dyDescent="0.2">
      <c r="B308" t="s">
        <v>64</v>
      </c>
    </row>
    <row r="309" spans="2:2" hidden="1" x14ac:dyDescent="0.2">
      <c r="B309" t="s">
        <v>64</v>
      </c>
    </row>
    <row r="310" spans="2:2" hidden="1" x14ac:dyDescent="0.2">
      <c r="B310" t="s">
        <v>64</v>
      </c>
    </row>
    <row r="311" spans="2:2" hidden="1" x14ac:dyDescent="0.2">
      <c r="B311" t="s">
        <v>64</v>
      </c>
    </row>
    <row r="312" spans="2:2" hidden="1" x14ac:dyDescent="0.2">
      <c r="B312" t="s">
        <v>64</v>
      </c>
    </row>
    <row r="313" spans="2:2" hidden="1" x14ac:dyDescent="0.2">
      <c r="B313" t="s">
        <v>64</v>
      </c>
    </row>
    <row r="314" spans="2:2" hidden="1" x14ac:dyDescent="0.2">
      <c r="B314" t="s">
        <v>64</v>
      </c>
    </row>
    <row r="315" spans="2:2" hidden="1" x14ac:dyDescent="0.2">
      <c r="B315" t="s">
        <v>64</v>
      </c>
    </row>
    <row r="316" spans="2:2" hidden="1" x14ac:dyDescent="0.2">
      <c r="B316" t="s">
        <v>64</v>
      </c>
    </row>
    <row r="317" spans="2:2" hidden="1" x14ac:dyDescent="0.2">
      <c r="B317" t="s">
        <v>64</v>
      </c>
    </row>
    <row r="318" spans="2:2" hidden="1" x14ac:dyDescent="0.2">
      <c r="B318" t="s">
        <v>64</v>
      </c>
    </row>
    <row r="319" spans="2:2" hidden="1" x14ac:dyDescent="0.2">
      <c r="B319" t="s">
        <v>64</v>
      </c>
    </row>
    <row r="320" spans="2:2" hidden="1" x14ac:dyDescent="0.2">
      <c r="B320" t="s">
        <v>64</v>
      </c>
    </row>
    <row r="321" spans="2:2" hidden="1" x14ac:dyDescent="0.2">
      <c r="B321" t="s">
        <v>64</v>
      </c>
    </row>
    <row r="322" spans="2:2" hidden="1" x14ac:dyDescent="0.2">
      <c r="B322" t="s">
        <v>64</v>
      </c>
    </row>
    <row r="323" spans="2:2" hidden="1" x14ac:dyDescent="0.2">
      <c r="B323" t="s">
        <v>64</v>
      </c>
    </row>
    <row r="324" spans="2:2" hidden="1" x14ac:dyDescent="0.2">
      <c r="B324" t="s">
        <v>64</v>
      </c>
    </row>
    <row r="325" spans="2:2" hidden="1" x14ac:dyDescent="0.2">
      <c r="B325" t="s">
        <v>64</v>
      </c>
    </row>
    <row r="326" spans="2:2" hidden="1" x14ac:dyDescent="0.2">
      <c r="B326" t="s">
        <v>64</v>
      </c>
    </row>
    <row r="327" spans="2:2" hidden="1" x14ac:dyDescent="0.2">
      <c r="B327" t="s">
        <v>64</v>
      </c>
    </row>
    <row r="328" spans="2:2" hidden="1" x14ac:dyDescent="0.2">
      <c r="B328" t="s">
        <v>64</v>
      </c>
    </row>
    <row r="329" spans="2:2" hidden="1" x14ac:dyDescent="0.2">
      <c r="B329" t="s">
        <v>64</v>
      </c>
    </row>
    <row r="330" spans="2:2" hidden="1" x14ac:dyDescent="0.2">
      <c r="B330" t="s">
        <v>64</v>
      </c>
    </row>
    <row r="331" spans="2:2" hidden="1" x14ac:dyDescent="0.2">
      <c r="B331" t="s">
        <v>64</v>
      </c>
    </row>
    <row r="332" spans="2:2" hidden="1" x14ac:dyDescent="0.2">
      <c r="B332" t="s">
        <v>64</v>
      </c>
    </row>
    <row r="333" spans="2:2" hidden="1" x14ac:dyDescent="0.2">
      <c r="B333" t="s">
        <v>64</v>
      </c>
    </row>
    <row r="334" spans="2:2" hidden="1" x14ac:dyDescent="0.2">
      <c r="B334" t="s">
        <v>64</v>
      </c>
    </row>
    <row r="335" spans="2:2" hidden="1" x14ac:dyDescent="0.2">
      <c r="B335" t="s">
        <v>64</v>
      </c>
    </row>
    <row r="336" spans="2:2" hidden="1" x14ac:dyDescent="0.2">
      <c r="B336" t="s">
        <v>64</v>
      </c>
    </row>
    <row r="337" spans="2:2" hidden="1" x14ac:dyDescent="0.2">
      <c r="B337" t="s">
        <v>64</v>
      </c>
    </row>
    <row r="338" spans="2:2" hidden="1" x14ac:dyDescent="0.2">
      <c r="B338" t="s">
        <v>64</v>
      </c>
    </row>
    <row r="339" spans="2:2" hidden="1" x14ac:dyDescent="0.2">
      <c r="B339" t="s">
        <v>64</v>
      </c>
    </row>
    <row r="340" spans="2:2" hidden="1" x14ac:dyDescent="0.2">
      <c r="B340" t="s">
        <v>64</v>
      </c>
    </row>
    <row r="341" spans="2:2" hidden="1" x14ac:dyDescent="0.2">
      <c r="B341" t="s">
        <v>64</v>
      </c>
    </row>
    <row r="342" spans="2:2" hidden="1" x14ac:dyDescent="0.2">
      <c r="B342" t="s">
        <v>64</v>
      </c>
    </row>
    <row r="343" spans="2:2" hidden="1" x14ac:dyDescent="0.2">
      <c r="B343" t="s">
        <v>64</v>
      </c>
    </row>
    <row r="344" spans="2:2" hidden="1" x14ac:dyDescent="0.2">
      <c r="B344" t="s">
        <v>64</v>
      </c>
    </row>
    <row r="345" spans="2:2" hidden="1" x14ac:dyDescent="0.2">
      <c r="B345" t="s">
        <v>64</v>
      </c>
    </row>
    <row r="346" spans="2:2" hidden="1" x14ac:dyDescent="0.2">
      <c r="B346" t="s">
        <v>64</v>
      </c>
    </row>
    <row r="347" spans="2:2" hidden="1" x14ac:dyDescent="0.2">
      <c r="B347" t="s">
        <v>64</v>
      </c>
    </row>
    <row r="348" spans="2:2" hidden="1" x14ac:dyDescent="0.2">
      <c r="B348" t="s">
        <v>64</v>
      </c>
    </row>
    <row r="349" spans="2:2" hidden="1" x14ac:dyDescent="0.2">
      <c r="B349" t="s">
        <v>64</v>
      </c>
    </row>
    <row r="350" spans="2:2" hidden="1" x14ac:dyDescent="0.2">
      <c r="B350" t="s">
        <v>64</v>
      </c>
    </row>
    <row r="351" spans="2:2" hidden="1" x14ac:dyDescent="0.2">
      <c r="B351" t="s">
        <v>64</v>
      </c>
    </row>
    <row r="352" spans="2:2" hidden="1" x14ac:dyDescent="0.2">
      <c r="B352" t="s">
        <v>64</v>
      </c>
    </row>
    <row r="353" spans="2:2" hidden="1" x14ac:dyDescent="0.2">
      <c r="B353" t="s">
        <v>64</v>
      </c>
    </row>
    <row r="354" spans="2:2" hidden="1" x14ac:dyDescent="0.2">
      <c r="B354" t="s">
        <v>64</v>
      </c>
    </row>
    <row r="355" spans="2:2" hidden="1" x14ac:dyDescent="0.2">
      <c r="B355" t="s">
        <v>64</v>
      </c>
    </row>
    <row r="356" spans="2:2" hidden="1" x14ac:dyDescent="0.2">
      <c r="B356" t="s">
        <v>64</v>
      </c>
    </row>
    <row r="357" spans="2:2" hidden="1" x14ac:dyDescent="0.2">
      <c r="B357" t="s">
        <v>64</v>
      </c>
    </row>
    <row r="358" spans="2:2" hidden="1" x14ac:dyDescent="0.2">
      <c r="B358" t="s">
        <v>64</v>
      </c>
    </row>
    <row r="359" spans="2:2" hidden="1" x14ac:dyDescent="0.2">
      <c r="B359" t="s">
        <v>64</v>
      </c>
    </row>
    <row r="360" spans="2:2" hidden="1" x14ac:dyDescent="0.2">
      <c r="B360" t="s">
        <v>64</v>
      </c>
    </row>
    <row r="361" spans="2:2" hidden="1" x14ac:dyDescent="0.2">
      <c r="B361" t="s">
        <v>64</v>
      </c>
    </row>
    <row r="362" spans="2:2" hidden="1" x14ac:dyDescent="0.2">
      <c r="B362" t="s">
        <v>64</v>
      </c>
    </row>
    <row r="363" spans="2:2" hidden="1" x14ac:dyDescent="0.2">
      <c r="B363" t="s">
        <v>64</v>
      </c>
    </row>
    <row r="364" spans="2:2" hidden="1" x14ac:dyDescent="0.2">
      <c r="B364" t="s">
        <v>64</v>
      </c>
    </row>
    <row r="365" spans="2:2" hidden="1" x14ac:dyDescent="0.2">
      <c r="B365" t="s">
        <v>64</v>
      </c>
    </row>
    <row r="366" spans="2:2" hidden="1" x14ac:dyDescent="0.2">
      <c r="B366" t="s">
        <v>64</v>
      </c>
    </row>
    <row r="367" spans="2:2" hidden="1" x14ac:dyDescent="0.2">
      <c r="B367" t="s">
        <v>64</v>
      </c>
    </row>
    <row r="368" spans="2:2" hidden="1" x14ac:dyDescent="0.2">
      <c r="B368" t="s">
        <v>64</v>
      </c>
    </row>
    <row r="369" spans="2:2" hidden="1" x14ac:dyDescent="0.2">
      <c r="B369" t="s">
        <v>64</v>
      </c>
    </row>
    <row r="370" spans="2:2" hidden="1" x14ac:dyDescent="0.2">
      <c r="B370" t="s">
        <v>64</v>
      </c>
    </row>
    <row r="371" spans="2:2" hidden="1" x14ac:dyDescent="0.2">
      <c r="B371" t="s">
        <v>64</v>
      </c>
    </row>
    <row r="372" spans="2:2" hidden="1" x14ac:dyDescent="0.2">
      <c r="B372" t="s">
        <v>64</v>
      </c>
    </row>
    <row r="373" spans="2:2" hidden="1" x14ac:dyDescent="0.2">
      <c r="B373" t="s">
        <v>64</v>
      </c>
    </row>
    <row r="374" spans="2:2" hidden="1" x14ac:dyDescent="0.2">
      <c r="B374" t="s">
        <v>64</v>
      </c>
    </row>
    <row r="375" spans="2:2" hidden="1" x14ac:dyDescent="0.2">
      <c r="B375" t="s">
        <v>64</v>
      </c>
    </row>
    <row r="376" spans="2:2" hidden="1" x14ac:dyDescent="0.2">
      <c r="B376" t="s">
        <v>64</v>
      </c>
    </row>
    <row r="377" spans="2:2" hidden="1" x14ac:dyDescent="0.2">
      <c r="B377" t="s">
        <v>64</v>
      </c>
    </row>
    <row r="378" spans="2:2" hidden="1" x14ac:dyDescent="0.2">
      <c r="B378" t="s">
        <v>64</v>
      </c>
    </row>
    <row r="379" spans="2:2" hidden="1" x14ac:dyDescent="0.2">
      <c r="B379" t="s">
        <v>64</v>
      </c>
    </row>
    <row r="380" spans="2:2" hidden="1" x14ac:dyDescent="0.2">
      <c r="B380" t="s">
        <v>64</v>
      </c>
    </row>
    <row r="381" spans="2:2" hidden="1" x14ac:dyDescent="0.2">
      <c r="B381" t="s">
        <v>64</v>
      </c>
    </row>
    <row r="382" spans="2:2" hidden="1" x14ac:dyDescent="0.2">
      <c r="B382" t="s">
        <v>64</v>
      </c>
    </row>
    <row r="383" spans="2:2" hidden="1" x14ac:dyDescent="0.2">
      <c r="B383" t="s">
        <v>64</v>
      </c>
    </row>
    <row r="384" spans="2:2" hidden="1" x14ac:dyDescent="0.2">
      <c r="B384" t="s">
        <v>64</v>
      </c>
    </row>
    <row r="385" spans="2:2" hidden="1" x14ac:dyDescent="0.2">
      <c r="B385" t="s">
        <v>64</v>
      </c>
    </row>
    <row r="386" spans="2:2" hidden="1" x14ac:dyDescent="0.2">
      <c r="B386" t="s">
        <v>64</v>
      </c>
    </row>
    <row r="387" spans="2:2" hidden="1" x14ac:dyDescent="0.2">
      <c r="B387" t="s">
        <v>64</v>
      </c>
    </row>
    <row r="388" spans="2:2" hidden="1" x14ac:dyDescent="0.2">
      <c r="B388" t="s">
        <v>64</v>
      </c>
    </row>
    <row r="389" spans="2:2" hidden="1" x14ac:dyDescent="0.2">
      <c r="B389" t="s">
        <v>64</v>
      </c>
    </row>
    <row r="390" spans="2:2" hidden="1" x14ac:dyDescent="0.2">
      <c r="B390" t="s">
        <v>64</v>
      </c>
    </row>
    <row r="391" spans="2:2" hidden="1" x14ac:dyDescent="0.2">
      <c r="B391" t="s">
        <v>64</v>
      </c>
    </row>
    <row r="392" spans="2:2" hidden="1" x14ac:dyDescent="0.2">
      <c r="B392" t="s">
        <v>64</v>
      </c>
    </row>
    <row r="393" spans="2:2" hidden="1" x14ac:dyDescent="0.2">
      <c r="B393" t="s">
        <v>64</v>
      </c>
    </row>
    <row r="394" spans="2:2" hidden="1" x14ac:dyDescent="0.2">
      <c r="B394" t="s">
        <v>64</v>
      </c>
    </row>
    <row r="395" spans="2:2" hidden="1" x14ac:dyDescent="0.2">
      <c r="B395" t="s">
        <v>64</v>
      </c>
    </row>
    <row r="396" spans="2:2" hidden="1" x14ac:dyDescent="0.2">
      <c r="B396" t="s">
        <v>64</v>
      </c>
    </row>
    <row r="397" spans="2:2" hidden="1" x14ac:dyDescent="0.2">
      <c r="B397" t="s">
        <v>64</v>
      </c>
    </row>
    <row r="398" spans="2:2" hidden="1" x14ac:dyDescent="0.2">
      <c r="B398" t="s">
        <v>64</v>
      </c>
    </row>
    <row r="399" spans="2:2" hidden="1" x14ac:dyDescent="0.2">
      <c r="B399" t="s">
        <v>64</v>
      </c>
    </row>
    <row r="400" spans="2:2" hidden="1" x14ac:dyDescent="0.2">
      <c r="B400" t="s">
        <v>64</v>
      </c>
    </row>
    <row r="401" spans="2:2" hidden="1" x14ac:dyDescent="0.2">
      <c r="B401" t="s">
        <v>64</v>
      </c>
    </row>
    <row r="402" spans="2:2" hidden="1" x14ac:dyDescent="0.2">
      <c r="B402" t="s">
        <v>64</v>
      </c>
    </row>
    <row r="403" spans="2:2" hidden="1" x14ac:dyDescent="0.2">
      <c r="B403" t="s">
        <v>64</v>
      </c>
    </row>
    <row r="404" spans="2:2" hidden="1" x14ac:dyDescent="0.2">
      <c r="B404" t="s">
        <v>64</v>
      </c>
    </row>
    <row r="405" spans="2:2" hidden="1" x14ac:dyDescent="0.2">
      <c r="B405" t="s">
        <v>64</v>
      </c>
    </row>
    <row r="406" spans="2:2" hidden="1" x14ac:dyDescent="0.2">
      <c r="B406" t="s">
        <v>64</v>
      </c>
    </row>
    <row r="407" spans="2:2" hidden="1" x14ac:dyDescent="0.2">
      <c r="B407" t="s">
        <v>64</v>
      </c>
    </row>
    <row r="408" spans="2:2" hidden="1" x14ac:dyDescent="0.2">
      <c r="B408" t="s">
        <v>64</v>
      </c>
    </row>
    <row r="409" spans="2:2" hidden="1" x14ac:dyDescent="0.2">
      <c r="B409" t="s">
        <v>64</v>
      </c>
    </row>
    <row r="410" spans="2:2" hidden="1" x14ac:dyDescent="0.2">
      <c r="B410" t="s">
        <v>64</v>
      </c>
    </row>
    <row r="411" spans="2:2" hidden="1" x14ac:dyDescent="0.2">
      <c r="B411" t="s">
        <v>64</v>
      </c>
    </row>
    <row r="412" spans="2:2" hidden="1" x14ac:dyDescent="0.2">
      <c r="B412" t="s">
        <v>64</v>
      </c>
    </row>
    <row r="413" spans="2:2" hidden="1" x14ac:dyDescent="0.2">
      <c r="B413" t="s">
        <v>64</v>
      </c>
    </row>
    <row r="414" spans="2:2" hidden="1" x14ac:dyDescent="0.2">
      <c r="B414" t="s">
        <v>64</v>
      </c>
    </row>
    <row r="415" spans="2:2" hidden="1" x14ac:dyDescent="0.2">
      <c r="B415" t="s">
        <v>64</v>
      </c>
    </row>
    <row r="416" spans="2:2" hidden="1" x14ac:dyDescent="0.2">
      <c r="B416" t="s">
        <v>64</v>
      </c>
    </row>
    <row r="417" spans="2:2" hidden="1" x14ac:dyDescent="0.2">
      <c r="B417" t="s">
        <v>64</v>
      </c>
    </row>
    <row r="418" spans="2:2" hidden="1" x14ac:dyDescent="0.2">
      <c r="B418" t="s">
        <v>64</v>
      </c>
    </row>
    <row r="419" spans="2:2" hidden="1" x14ac:dyDescent="0.2">
      <c r="B419" t="s">
        <v>64</v>
      </c>
    </row>
    <row r="420" spans="2:2" hidden="1" x14ac:dyDescent="0.2">
      <c r="B420" t="s">
        <v>64</v>
      </c>
    </row>
    <row r="421" spans="2:2" hidden="1" x14ac:dyDescent="0.2">
      <c r="B421" t="s">
        <v>64</v>
      </c>
    </row>
    <row r="422" spans="2:2" hidden="1" x14ac:dyDescent="0.2">
      <c r="B422" t="s">
        <v>64</v>
      </c>
    </row>
    <row r="423" spans="2:2" hidden="1" x14ac:dyDescent="0.2">
      <c r="B423" t="s">
        <v>64</v>
      </c>
    </row>
    <row r="424" spans="2:2" hidden="1" x14ac:dyDescent="0.2">
      <c r="B424" t="s">
        <v>64</v>
      </c>
    </row>
    <row r="425" spans="2:2" hidden="1" x14ac:dyDescent="0.2">
      <c r="B425" t="s">
        <v>64</v>
      </c>
    </row>
    <row r="426" spans="2:2" hidden="1" x14ac:dyDescent="0.2">
      <c r="B426" t="s">
        <v>64</v>
      </c>
    </row>
    <row r="427" spans="2:2" hidden="1" x14ac:dyDescent="0.2">
      <c r="B427" t="s">
        <v>64</v>
      </c>
    </row>
    <row r="428" spans="2:2" hidden="1" x14ac:dyDescent="0.2">
      <c r="B428" t="s">
        <v>64</v>
      </c>
    </row>
    <row r="429" spans="2:2" hidden="1" x14ac:dyDescent="0.2">
      <c r="B429" t="s">
        <v>64</v>
      </c>
    </row>
    <row r="430" spans="2:2" hidden="1" x14ac:dyDescent="0.2">
      <c r="B430" t="s">
        <v>64</v>
      </c>
    </row>
    <row r="431" spans="2:2" hidden="1" x14ac:dyDescent="0.2">
      <c r="B431" t="s">
        <v>64</v>
      </c>
    </row>
    <row r="432" spans="2:2" hidden="1" x14ac:dyDescent="0.2">
      <c r="B432" t="s">
        <v>64</v>
      </c>
    </row>
    <row r="433" spans="2:2" hidden="1" x14ac:dyDescent="0.2">
      <c r="B433" t="s">
        <v>64</v>
      </c>
    </row>
    <row r="434" spans="2:2" hidden="1" x14ac:dyDescent="0.2">
      <c r="B434" t="s">
        <v>64</v>
      </c>
    </row>
    <row r="435" spans="2:2" hidden="1" x14ac:dyDescent="0.2">
      <c r="B435" t="s">
        <v>64</v>
      </c>
    </row>
    <row r="436" spans="2:2" hidden="1" x14ac:dyDescent="0.2">
      <c r="B436" t="s">
        <v>64</v>
      </c>
    </row>
    <row r="437" spans="2:2" hidden="1" x14ac:dyDescent="0.2">
      <c r="B437" t="s">
        <v>64</v>
      </c>
    </row>
    <row r="438" spans="2:2" hidden="1" x14ac:dyDescent="0.2">
      <c r="B438" t="s">
        <v>64</v>
      </c>
    </row>
    <row r="439" spans="2:2" hidden="1" x14ac:dyDescent="0.2">
      <c r="B439" t="s">
        <v>64</v>
      </c>
    </row>
    <row r="440" spans="2:2" hidden="1" x14ac:dyDescent="0.2">
      <c r="B440" t="s">
        <v>64</v>
      </c>
    </row>
    <row r="441" spans="2:2" hidden="1" x14ac:dyDescent="0.2">
      <c r="B441" t="s">
        <v>64</v>
      </c>
    </row>
    <row r="442" spans="2:2" hidden="1" x14ac:dyDescent="0.2">
      <c r="B442" t="s">
        <v>64</v>
      </c>
    </row>
    <row r="443" spans="2:2" hidden="1" x14ac:dyDescent="0.2">
      <c r="B443" t="s">
        <v>64</v>
      </c>
    </row>
    <row r="444" spans="2:2" hidden="1" x14ac:dyDescent="0.2">
      <c r="B444" t="s">
        <v>64</v>
      </c>
    </row>
    <row r="445" spans="2:2" hidden="1" x14ac:dyDescent="0.2">
      <c r="B445" t="s">
        <v>64</v>
      </c>
    </row>
    <row r="446" spans="2:2" hidden="1" x14ac:dyDescent="0.2">
      <c r="B446" t="s">
        <v>64</v>
      </c>
    </row>
    <row r="447" spans="2:2" hidden="1" x14ac:dyDescent="0.2">
      <c r="B447" t="s">
        <v>64</v>
      </c>
    </row>
    <row r="448" spans="2:2" hidden="1" x14ac:dyDescent="0.2">
      <c r="B448" t="s">
        <v>64</v>
      </c>
    </row>
    <row r="449" spans="2:2" hidden="1" x14ac:dyDescent="0.2">
      <c r="B449" t="s">
        <v>64</v>
      </c>
    </row>
    <row r="450" spans="2:2" hidden="1" x14ac:dyDescent="0.2">
      <c r="B450" t="s">
        <v>64</v>
      </c>
    </row>
    <row r="451" spans="2:2" hidden="1" x14ac:dyDescent="0.2">
      <c r="B451" t="s">
        <v>64</v>
      </c>
    </row>
    <row r="452" spans="2:2" hidden="1" x14ac:dyDescent="0.2">
      <c r="B452" t="s">
        <v>64</v>
      </c>
    </row>
    <row r="453" spans="2:2" hidden="1" x14ac:dyDescent="0.2">
      <c r="B453" t="s">
        <v>64</v>
      </c>
    </row>
    <row r="454" spans="2:2" hidden="1" x14ac:dyDescent="0.2">
      <c r="B454" t="s">
        <v>64</v>
      </c>
    </row>
    <row r="455" spans="2:2" hidden="1" x14ac:dyDescent="0.2">
      <c r="B455" t="s">
        <v>64</v>
      </c>
    </row>
    <row r="456" spans="2:2" hidden="1" x14ac:dyDescent="0.2">
      <c r="B456" t="s">
        <v>64</v>
      </c>
    </row>
    <row r="457" spans="2:2" hidden="1" x14ac:dyDescent="0.2">
      <c r="B457" t="s">
        <v>64</v>
      </c>
    </row>
    <row r="458" spans="2:2" hidden="1" x14ac:dyDescent="0.2">
      <c r="B458" t="s">
        <v>64</v>
      </c>
    </row>
    <row r="459" spans="2:2" hidden="1" x14ac:dyDescent="0.2">
      <c r="B459" t="s">
        <v>64</v>
      </c>
    </row>
    <row r="460" spans="2:2" hidden="1" x14ac:dyDescent="0.2">
      <c r="B460" t="s">
        <v>64</v>
      </c>
    </row>
    <row r="461" spans="2:2" hidden="1" x14ac:dyDescent="0.2">
      <c r="B461" t="s">
        <v>64</v>
      </c>
    </row>
    <row r="462" spans="2:2" hidden="1" x14ac:dyDescent="0.2">
      <c r="B462" t="s">
        <v>64</v>
      </c>
    </row>
    <row r="463" spans="2:2" hidden="1" x14ac:dyDescent="0.2">
      <c r="B463" t="s">
        <v>64</v>
      </c>
    </row>
    <row r="464" spans="2:2" hidden="1" x14ac:dyDescent="0.2">
      <c r="B464" t="s">
        <v>64</v>
      </c>
    </row>
    <row r="465" spans="2:2" hidden="1" x14ac:dyDescent="0.2">
      <c r="B465" t="s">
        <v>64</v>
      </c>
    </row>
    <row r="466" spans="2:2" hidden="1" x14ac:dyDescent="0.2">
      <c r="B466" t="s">
        <v>64</v>
      </c>
    </row>
    <row r="467" spans="2:2" hidden="1" x14ac:dyDescent="0.2">
      <c r="B467" t="s">
        <v>64</v>
      </c>
    </row>
    <row r="468" spans="2:2" hidden="1" x14ac:dyDescent="0.2">
      <c r="B468" t="s">
        <v>64</v>
      </c>
    </row>
    <row r="469" spans="2:2" hidden="1" x14ac:dyDescent="0.2">
      <c r="B469" t="s">
        <v>64</v>
      </c>
    </row>
    <row r="470" spans="2:2" hidden="1" x14ac:dyDescent="0.2">
      <c r="B470" t="s">
        <v>64</v>
      </c>
    </row>
    <row r="471" spans="2:2" hidden="1" x14ac:dyDescent="0.2">
      <c r="B471" t="s">
        <v>64</v>
      </c>
    </row>
    <row r="472" spans="2:2" hidden="1" x14ac:dyDescent="0.2">
      <c r="B472" t="s">
        <v>64</v>
      </c>
    </row>
    <row r="473" spans="2:2" hidden="1" x14ac:dyDescent="0.2">
      <c r="B473" t="s">
        <v>64</v>
      </c>
    </row>
    <row r="474" spans="2:2" hidden="1" x14ac:dyDescent="0.2">
      <c r="B474" t="s">
        <v>64</v>
      </c>
    </row>
    <row r="475" spans="2:2" hidden="1" x14ac:dyDescent="0.2">
      <c r="B475" t="s">
        <v>64</v>
      </c>
    </row>
    <row r="476" spans="2:2" hidden="1" x14ac:dyDescent="0.2">
      <c r="B476" t="s">
        <v>64</v>
      </c>
    </row>
    <row r="477" spans="2:2" hidden="1" x14ac:dyDescent="0.2">
      <c r="B477" t="s">
        <v>64</v>
      </c>
    </row>
    <row r="478" spans="2:2" hidden="1" x14ac:dyDescent="0.2">
      <c r="B478" t="s">
        <v>64</v>
      </c>
    </row>
    <row r="479" spans="2:2" hidden="1" x14ac:dyDescent="0.2">
      <c r="B479" t="s">
        <v>64</v>
      </c>
    </row>
    <row r="480" spans="2:2" hidden="1" x14ac:dyDescent="0.2">
      <c r="B480" t="s">
        <v>64</v>
      </c>
    </row>
    <row r="481" spans="2:2" hidden="1" x14ac:dyDescent="0.2">
      <c r="B481" t="s">
        <v>64</v>
      </c>
    </row>
    <row r="482" spans="2:2" hidden="1" x14ac:dyDescent="0.2">
      <c r="B482" t="s">
        <v>64</v>
      </c>
    </row>
    <row r="483" spans="2:2" hidden="1" x14ac:dyDescent="0.2">
      <c r="B483" t="s">
        <v>64</v>
      </c>
    </row>
    <row r="484" spans="2:2" hidden="1" x14ac:dyDescent="0.2">
      <c r="B484" t="s">
        <v>64</v>
      </c>
    </row>
    <row r="485" spans="2:2" hidden="1" x14ac:dyDescent="0.2">
      <c r="B485" t="s">
        <v>64</v>
      </c>
    </row>
    <row r="486" spans="2:2" hidden="1" x14ac:dyDescent="0.2">
      <c r="B486" t="s">
        <v>64</v>
      </c>
    </row>
    <row r="487" spans="2:2" hidden="1" x14ac:dyDescent="0.2">
      <c r="B487" t="s">
        <v>64</v>
      </c>
    </row>
    <row r="488" spans="2:2" hidden="1" x14ac:dyDescent="0.2">
      <c r="B488" t="s">
        <v>64</v>
      </c>
    </row>
    <row r="489" spans="2:2" hidden="1" x14ac:dyDescent="0.2">
      <c r="B489" t="s">
        <v>64</v>
      </c>
    </row>
    <row r="490" spans="2:2" hidden="1" x14ac:dyDescent="0.2">
      <c r="B490" t="s">
        <v>64</v>
      </c>
    </row>
    <row r="491" spans="2:2" hidden="1" x14ac:dyDescent="0.2">
      <c r="B491" t="s">
        <v>64</v>
      </c>
    </row>
    <row r="492" spans="2:2" hidden="1" x14ac:dyDescent="0.2">
      <c r="B492" t="s">
        <v>64</v>
      </c>
    </row>
    <row r="493" spans="2:2" hidden="1" x14ac:dyDescent="0.2">
      <c r="B493" t="s">
        <v>64</v>
      </c>
    </row>
    <row r="494" spans="2:2" hidden="1" x14ac:dyDescent="0.2">
      <c r="B494" t="s">
        <v>64</v>
      </c>
    </row>
    <row r="495" spans="2:2" hidden="1" x14ac:dyDescent="0.2">
      <c r="B495" t="s">
        <v>64</v>
      </c>
    </row>
    <row r="496" spans="2:2" hidden="1" x14ac:dyDescent="0.2">
      <c r="B496" t="s">
        <v>64</v>
      </c>
    </row>
    <row r="497" spans="2:2" hidden="1" x14ac:dyDescent="0.2">
      <c r="B497" t="s">
        <v>64</v>
      </c>
    </row>
    <row r="498" spans="2:2" hidden="1" x14ac:dyDescent="0.2">
      <c r="B498" t="s">
        <v>64</v>
      </c>
    </row>
    <row r="499" spans="2:2" hidden="1" x14ac:dyDescent="0.2">
      <c r="B499" t="s">
        <v>64</v>
      </c>
    </row>
    <row r="500" spans="2:2" hidden="1" x14ac:dyDescent="0.2">
      <c r="B500" t="s">
        <v>64</v>
      </c>
    </row>
    <row r="501" spans="2:2" hidden="1" x14ac:dyDescent="0.2">
      <c r="B501" t="s">
        <v>64</v>
      </c>
    </row>
    <row r="502" spans="2:2" hidden="1" x14ac:dyDescent="0.2">
      <c r="B502" t="s">
        <v>64</v>
      </c>
    </row>
    <row r="503" spans="2:2" hidden="1" x14ac:dyDescent="0.2">
      <c r="B503" t="s">
        <v>64</v>
      </c>
    </row>
    <row r="504" spans="2:2" hidden="1" x14ac:dyDescent="0.2">
      <c r="B504" t="s">
        <v>64</v>
      </c>
    </row>
    <row r="505" spans="2:2" hidden="1" x14ac:dyDescent="0.2">
      <c r="B505" t="s">
        <v>64</v>
      </c>
    </row>
    <row r="506" spans="2:2" hidden="1" x14ac:dyDescent="0.2">
      <c r="B506" t="s">
        <v>64</v>
      </c>
    </row>
    <row r="507" spans="2:2" hidden="1" x14ac:dyDescent="0.2">
      <c r="B507" t="s">
        <v>64</v>
      </c>
    </row>
    <row r="508" spans="2:2" hidden="1" x14ac:dyDescent="0.2">
      <c r="B508" t="s">
        <v>64</v>
      </c>
    </row>
    <row r="509" spans="2:2" hidden="1" x14ac:dyDescent="0.2">
      <c r="B509" t="s">
        <v>64</v>
      </c>
    </row>
    <row r="510" spans="2:2" hidden="1" x14ac:dyDescent="0.2">
      <c r="B510" t="s">
        <v>64</v>
      </c>
    </row>
    <row r="511" spans="2:2" hidden="1" x14ac:dyDescent="0.2">
      <c r="B511" t="s">
        <v>64</v>
      </c>
    </row>
    <row r="512" spans="2:2" hidden="1" x14ac:dyDescent="0.2">
      <c r="B512" t="s">
        <v>64</v>
      </c>
    </row>
    <row r="513" spans="2:2" hidden="1" x14ac:dyDescent="0.2">
      <c r="B513" t="s">
        <v>64</v>
      </c>
    </row>
    <row r="514" spans="2:2" hidden="1" x14ac:dyDescent="0.2">
      <c r="B514" t="s">
        <v>64</v>
      </c>
    </row>
    <row r="515" spans="2:2" hidden="1" x14ac:dyDescent="0.2">
      <c r="B515" t="s">
        <v>64</v>
      </c>
    </row>
    <row r="516" spans="2:2" hidden="1" x14ac:dyDescent="0.2">
      <c r="B516" t="s">
        <v>64</v>
      </c>
    </row>
    <row r="517" spans="2:2" hidden="1" x14ac:dyDescent="0.2">
      <c r="B517" t="s">
        <v>64</v>
      </c>
    </row>
    <row r="518" spans="2:2" hidden="1" x14ac:dyDescent="0.2">
      <c r="B518" t="s">
        <v>64</v>
      </c>
    </row>
    <row r="519" spans="2:2" hidden="1" x14ac:dyDescent="0.2">
      <c r="B519" t="s">
        <v>64</v>
      </c>
    </row>
    <row r="520" spans="2:2" hidden="1" x14ac:dyDescent="0.2">
      <c r="B520" t="s">
        <v>64</v>
      </c>
    </row>
    <row r="521" spans="2:2" hidden="1" x14ac:dyDescent="0.2">
      <c r="B521" t="s">
        <v>64</v>
      </c>
    </row>
    <row r="522" spans="2:2" hidden="1" x14ac:dyDescent="0.2">
      <c r="B522" t="s">
        <v>64</v>
      </c>
    </row>
    <row r="523" spans="2:2" hidden="1" x14ac:dyDescent="0.2">
      <c r="B523" t="s">
        <v>64</v>
      </c>
    </row>
    <row r="524" spans="2:2" hidden="1" x14ac:dyDescent="0.2">
      <c r="B524" t="s">
        <v>64</v>
      </c>
    </row>
    <row r="525" spans="2:2" hidden="1" x14ac:dyDescent="0.2">
      <c r="B525" t="s">
        <v>64</v>
      </c>
    </row>
    <row r="526" spans="2:2" hidden="1" x14ac:dyDescent="0.2">
      <c r="B526" t="s">
        <v>64</v>
      </c>
    </row>
    <row r="527" spans="2:2" hidden="1" x14ac:dyDescent="0.2">
      <c r="B527" t="s">
        <v>64</v>
      </c>
    </row>
    <row r="528" spans="2:2" hidden="1" x14ac:dyDescent="0.2">
      <c r="B528" t="s">
        <v>64</v>
      </c>
    </row>
    <row r="529" spans="2:2" hidden="1" x14ac:dyDescent="0.2">
      <c r="B529" t="s">
        <v>64</v>
      </c>
    </row>
    <row r="530" spans="2:2" hidden="1" x14ac:dyDescent="0.2">
      <c r="B530" t="s">
        <v>64</v>
      </c>
    </row>
    <row r="531" spans="2:2" hidden="1" x14ac:dyDescent="0.2">
      <c r="B531" t="s">
        <v>64</v>
      </c>
    </row>
    <row r="532" spans="2:2" hidden="1" x14ac:dyDescent="0.2">
      <c r="B532" t="s">
        <v>64</v>
      </c>
    </row>
    <row r="533" spans="2:2" hidden="1" x14ac:dyDescent="0.2">
      <c r="B533" t="s">
        <v>64</v>
      </c>
    </row>
    <row r="534" spans="2:2" hidden="1" x14ac:dyDescent="0.2">
      <c r="B534" t="s">
        <v>64</v>
      </c>
    </row>
    <row r="535" spans="2:2" hidden="1" x14ac:dyDescent="0.2">
      <c r="B535" t="s">
        <v>64</v>
      </c>
    </row>
    <row r="536" spans="2:2" hidden="1" x14ac:dyDescent="0.2">
      <c r="B536" t="s">
        <v>64</v>
      </c>
    </row>
    <row r="537" spans="2:2" hidden="1" x14ac:dyDescent="0.2">
      <c r="B537" t="s">
        <v>64</v>
      </c>
    </row>
    <row r="538" spans="2:2" hidden="1" x14ac:dyDescent="0.2">
      <c r="B538" t="s">
        <v>64</v>
      </c>
    </row>
    <row r="539" spans="2:2" hidden="1" x14ac:dyDescent="0.2">
      <c r="B539" t="s">
        <v>64</v>
      </c>
    </row>
    <row r="540" spans="2:2" hidden="1" x14ac:dyDescent="0.2">
      <c r="B540" t="s">
        <v>64</v>
      </c>
    </row>
    <row r="541" spans="2:2" hidden="1" x14ac:dyDescent="0.2">
      <c r="B541" t="s">
        <v>64</v>
      </c>
    </row>
    <row r="542" spans="2:2" hidden="1" x14ac:dyDescent="0.2">
      <c r="B542" t="s">
        <v>64</v>
      </c>
    </row>
    <row r="543" spans="2:2" hidden="1" x14ac:dyDescent="0.2">
      <c r="B543" t="s">
        <v>64</v>
      </c>
    </row>
    <row r="544" spans="2:2" hidden="1" x14ac:dyDescent="0.2">
      <c r="B544" t="s">
        <v>64</v>
      </c>
    </row>
    <row r="545" spans="2:2" hidden="1" x14ac:dyDescent="0.2">
      <c r="B545" t="s">
        <v>64</v>
      </c>
    </row>
    <row r="546" spans="2:2" hidden="1" x14ac:dyDescent="0.2">
      <c r="B546" t="s">
        <v>64</v>
      </c>
    </row>
    <row r="547" spans="2:2" hidden="1" x14ac:dyDescent="0.2">
      <c r="B547" t="s">
        <v>64</v>
      </c>
    </row>
    <row r="548" spans="2:2" hidden="1" x14ac:dyDescent="0.2">
      <c r="B548" t="s">
        <v>64</v>
      </c>
    </row>
    <row r="549" spans="2:2" hidden="1" x14ac:dyDescent="0.2">
      <c r="B549" t="s">
        <v>64</v>
      </c>
    </row>
    <row r="550" spans="2:2" hidden="1" x14ac:dyDescent="0.2">
      <c r="B550" t="s">
        <v>64</v>
      </c>
    </row>
    <row r="551" spans="2:2" hidden="1" x14ac:dyDescent="0.2">
      <c r="B551" t="s">
        <v>64</v>
      </c>
    </row>
    <row r="552" spans="2:2" hidden="1" x14ac:dyDescent="0.2">
      <c r="B552" t="s">
        <v>64</v>
      </c>
    </row>
    <row r="553" spans="2:2" hidden="1" x14ac:dyDescent="0.2">
      <c r="B553" t="s">
        <v>64</v>
      </c>
    </row>
    <row r="554" spans="2:2" hidden="1" x14ac:dyDescent="0.2">
      <c r="B554" t="s">
        <v>64</v>
      </c>
    </row>
    <row r="555" spans="2:2" hidden="1" x14ac:dyDescent="0.2">
      <c r="B555" t="s">
        <v>64</v>
      </c>
    </row>
    <row r="556" spans="2:2" hidden="1" x14ac:dyDescent="0.2">
      <c r="B556" t="s">
        <v>64</v>
      </c>
    </row>
    <row r="557" spans="2:2" hidden="1" x14ac:dyDescent="0.2">
      <c r="B557" t="s">
        <v>64</v>
      </c>
    </row>
    <row r="558" spans="2:2" hidden="1" x14ac:dyDescent="0.2">
      <c r="B558" t="s">
        <v>64</v>
      </c>
    </row>
    <row r="559" spans="2:2" hidden="1" x14ac:dyDescent="0.2">
      <c r="B559" t="s">
        <v>64</v>
      </c>
    </row>
    <row r="560" spans="2:2" hidden="1" x14ac:dyDescent="0.2">
      <c r="B560" t="s">
        <v>64</v>
      </c>
    </row>
    <row r="561" spans="2:2" hidden="1" x14ac:dyDescent="0.2">
      <c r="B561" t="s">
        <v>64</v>
      </c>
    </row>
    <row r="562" spans="2:2" hidden="1" x14ac:dyDescent="0.2">
      <c r="B562" t="s">
        <v>64</v>
      </c>
    </row>
    <row r="563" spans="2:2" hidden="1" x14ac:dyDescent="0.2">
      <c r="B563" t="s">
        <v>64</v>
      </c>
    </row>
    <row r="564" spans="2:2" hidden="1" x14ac:dyDescent="0.2">
      <c r="B564" t="s">
        <v>64</v>
      </c>
    </row>
    <row r="565" spans="2:2" hidden="1" x14ac:dyDescent="0.2">
      <c r="B565" t="s">
        <v>64</v>
      </c>
    </row>
    <row r="566" spans="2:2" hidden="1" x14ac:dyDescent="0.2">
      <c r="B566" t="s">
        <v>64</v>
      </c>
    </row>
    <row r="567" spans="2:2" hidden="1" x14ac:dyDescent="0.2">
      <c r="B567" t="s">
        <v>64</v>
      </c>
    </row>
    <row r="568" spans="2:2" hidden="1" x14ac:dyDescent="0.2">
      <c r="B568" t="s">
        <v>64</v>
      </c>
    </row>
    <row r="569" spans="2:2" hidden="1" x14ac:dyDescent="0.2">
      <c r="B569" t="s">
        <v>64</v>
      </c>
    </row>
    <row r="570" spans="2:2" hidden="1" x14ac:dyDescent="0.2">
      <c r="B570" t="s">
        <v>64</v>
      </c>
    </row>
    <row r="571" spans="2:2" hidden="1" x14ac:dyDescent="0.2">
      <c r="B571" t="s">
        <v>64</v>
      </c>
    </row>
    <row r="572" spans="2:2" hidden="1" x14ac:dyDescent="0.2">
      <c r="B572" t="s">
        <v>64</v>
      </c>
    </row>
    <row r="573" spans="2:2" hidden="1" x14ac:dyDescent="0.2">
      <c r="B573" t="s">
        <v>64</v>
      </c>
    </row>
    <row r="574" spans="2:2" hidden="1" x14ac:dyDescent="0.2">
      <c r="B574" t="s">
        <v>64</v>
      </c>
    </row>
    <row r="575" spans="2:2" hidden="1" x14ac:dyDescent="0.2">
      <c r="B575" t="s">
        <v>64</v>
      </c>
    </row>
    <row r="576" spans="2:2" hidden="1" x14ac:dyDescent="0.2">
      <c r="B576" t="s">
        <v>64</v>
      </c>
    </row>
    <row r="577" spans="2:2" hidden="1" x14ac:dyDescent="0.2">
      <c r="B577" t="s">
        <v>64</v>
      </c>
    </row>
    <row r="578" spans="2:2" hidden="1" x14ac:dyDescent="0.2">
      <c r="B578" t="s">
        <v>64</v>
      </c>
    </row>
    <row r="579" spans="2:2" hidden="1" x14ac:dyDescent="0.2">
      <c r="B579" t="s">
        <v>64</v>
      </c>
    </row>
    <row r="580" spans="2:2" hidden="1" x14ac:dyDescent="0.2">
      <c r="B580" t="s">
        <v>64</v>
      </c>
    </row>
    <row r="581" spans="2:2" hidden="1" x14ac:dyDescent="0.2">
      <c r="B581" t="s">
        <v>64</v>
      </c>
    </row>
    <row r="582" spans="2:2" hidden="1" x14ac:dyDescent="0.2">
      <c r="B582" t="s">
        <v>64</v>
      </c>
    </row>
    <row r="583" spans="2:2" hidden="1" x14ac:dyDescent="0.2">
      <c r="B583" t="s">
        <v>64</v>
      </c>
    </row>
    <row r="584" spans="2:2" hidden="1" x14ac:dyDescent="0.2">
      <c r="B584" t="s">
        <v>64</v>
      </c>
    </row>
    <row r="585" spans="2:2" hidden="1" x14ac:dyDescent="0.2">
      <c r="B585" t="s">
        <v>64</v>
      </c>
    </row>
    <row r="586" spans="2:2" hidden="1" x14ac:dyDescent="0.2">
      <c r="B586" t="s">
        <v>64</v>
      </c>
    </row>
    <row r="587" spans="2:2" hidden="1" x14ac:dyDescent="0.2">
      <c r="B587" t="s">
        <v>64</v>
      </c>
    </row>
    <row r="588" spans="2:2" hidden="1" x14ac:dyDescent="0.2">
      <c r="B588" t="s">
        <v>64</v>
      </c>
    </row>
    <row r="589" spans="2:2" hidden="1" x14ac:dyDescent="0.2">
      <c r="B589" t="s">
        <v>64</v>
      </c>
    </row>
    <row r="590" spans="2:2" hidden="1" x14ac:dyDescent="0.2">
      <c r="B590" t="s">
        <v>64</v>
      </c>
    </row>
    <row r="591" spans="2:2" hidden="1" x14ac:dyDescent="0.2">
      <c r="B591" t="s">
        <v>64</v>
      </c>
    </row>
    <row r="592" spans="2:2" hidden="1" x14ac:dyDescent="0.2">
      <c r="B592" t="s">
        <v>64</v>
      </c>
    </row>
    <row r="593" spans="2:2" hidden="1" x14ac:dyDescent="0.2">
      <c r="B593" t="s">
        <v>64</v>
      </c>
    </row>
    <row r="594" spans="2:2" hidden="1" x14ac:dyDescent="0.2">
      <c r="B594" t="s">
        <v>64</v>
      </c>
    </row>
    <row r="595" spans="2:2" hidden="1" x14ac:dyDescent="0.2">
      <c r="B595" t="s">
        <v>64</v>
      </c>
    </row>
    <row r="596" spans="2:2" hidden="1" x14ac:dyDescent="0.2">
      <c r="B596" t="s">
        <v>64</v>
      </c>
    </row>
    <row r="597" spans="2:2" hidden="1" x14ac:dyDescent="0.2">
      <c r="B597" t="s">
        <v>64</v>
      </c>
    </row>
    <row r="598" spans="2:2" hidden="1" x14ac:dyDescent="0.2">
      <c r="B598" t="s">
        <v>64</v>
      </c>
    </row>
    <row r="599" spans="2:2" hidden="1" x14ac:dyDescent="0.2">
      <c r="B599" t="s">
        <v>64</v>
      </c>
    </row>
    <row r="600" spans="2:2" hidden="1" x14ac:dyDescent="0.2">
      <c r="B600" t="s">
        <v>64</v>
      </c>
    </row>
    <row r="601" spans="2:2" hidden="1" x14ac:dyDescent="0.2">
      <c r="B601" t="s">
        <v>64</v>
      </c>
    </row>
    <row r="602" spans="2:2" hidden="1" x14ac:dyDescent="0.2">
      <c r="B602" t="s">
        <v>64</v>
      </c>
    </row>
    <row r="603" spans="2:2" hidden="1" x14ac:dyDescent="0.2">
      <c r="B603" t="s">
        <v>64</v>
      </c>
    </row>
    <row r="604" spans="2:2" hidden="1" x14ac:dyDescent="0.2">
      <c r="B604" t="s">
        <v>64</v>
      </c>
    </row>
    <row r="605" spans="2:2" hidden="1" x14ac:dyDescent="0.2">
      <c r="B605" t="s">
        <v>64</v>
      </c>
    </row>
    <row r="606" spans="2:2" hidden="1" x14ac:dyDescent="0.2">
      <c r="B606" t="s">
        <v>64</v>
      </c>
    </row>
    <row r="607" spans="2:2" hidden="1" x14ac:dyDescent="0.2">
      <c r="B607" t="s">
        <v>64</v>
      </c>
    </row>
    <row r="608" spans="2:2" hidden="1" x14ac:dyDescent="0.2">
      <c r="B608" t="s">
        <v>64</v>
      </c>
    </row>
    <row r="609" spans="2:2" hidden="1" x14ac:dyDescent="0.2">
      <c r="B609" t="s">
        <v>64</v>
      </c>
    </row>
    <row r="610" spans="2:2" hidden="1" x14ac:dyDescent="0.2">
      <c r="B610" t="s">
        <v>64</v>
      </c>
    </row>
    <row r="611" spans="2:2" hidden="1" x14ac:dyDescent="0.2">
      <c r="B611" t="s">
        <v>64</v>
      </c>
    </row>
    <row r="612" spans="2:2" hidden="1" x14ac:dyDescent="0.2">
      <c r="B612" t="s">
        <v>64</v>
      </c>
    </row>
    <row r="613" spans="2:2" hidden="1" x14ac:dyDescent="0.2">
      <c r="B613" t="s">
        <v>64</v>
      </c>
    </row>
    <row r="614" spans="2:2" hidden="1" x14ac:dyDescent="0.2">
      <c r="B614" t="s">
        <v>64</v>
      </c>
    </row>
    <row r="615" spans="2:2" hidden="1" x14ac:dyDescent="0.2">
      <c r="B615" t="s">
        <v>64</v>
      </c>
    </row>
    <row r="616" spans="2:2" hidden="1" x14ac:dyDescent="0.2">
      <c r="B616" t="s">
        <v>64</v>
      </c>
    </row>
    <row r="617" spans="2:2" hidden="1" x14ac:dyDescent="0.2">
      <c r="B617" t="s">
        <v>64</v>
      </c>
    </row>
    <row r="618" spans="2:2" hidden="1" x14ac:dyDescent="0.2">
      <c r="B618" t="s">
        <v>64</v>
      </c>
    </row>
    <row r="619" spans="2:2" hidden="1" x14ac:dyDescent="0.2">
      <c r="B619" t="s">
        <v>64</v>
      </c>
    </row>
    <row r="620" spans="2:2" hidden="1" x14ac:dyDescent="0.2">
      <c r="B620" t="s">
        <v>64</v>
      </c>
    </row>
    <row r="621" spans="2:2" hidden="1" x14ac:dyDescent="0.2">
      <c r="B621" t="s">
        <v>64</v>
      </c>
    </row>
    <row r="622" spans="2:2" hidden="1" x14ac:dyDescent="0.2">
      <c r="B622" t="s">
        <v>64</v>
      </c>
    </row>
    <row r="623" spans="2:2" hidden="1" x14ac:dyDescent="0.2">
      <c r="B623" t="s">
        <v>64</v>
      </c>
    </row>
    <row r="624" spans="2:2" hidden="1" x14ac:dyDescent="0.2">
      <c r="B624" t="s">
        <v>64</v>
      </c>
    </row>
    <row r="625" spans="2:2" hidden="1" x14ac:dyDescent="0.2">
      <c r="B625" t="s">
        <v>64</v>
      </c>
    </row>
    <row r="626" spans="2:2" hidden="1" x14ac:dyDescent="0.2">
      <c r="B626" t="s">
        <v>64</v>
      </c>
    </row>
    <row r="627" spans="2:2" hidden="1" x14ac:dyDescent="0.2">
      <c r="B627" t="s">
        <v>64</v>
      </c>
    </row>
    <row r="628" spans="2:2" hidden="1" x14ac:dyDescent="0.2">
      <c r="B628" t="s">
        <v>64</v>
      </c>
    </row>
    <row r="629" spans="2:2" hidden="1" x14ac:dyDescent="0.2">
      <c r="B629" t="s">
        <v>64</v>
      </c>
    </row>
    <row r="630" spans="2:2" hidden="1" x14ac:dyDescent="0.2">
      <c r="B630" t="s">
        <v>64</v>
      </c>
    </row>
    <row r="631" spans="2:2" hidden="1" x14ac:dyDescent="0.2">
      <c r="B631" t="s">
        <v>64</v>
      </c>
    </row>
    <row r="632" spans="2:2" hidden="1" x14ac:dyDescent="0.2">
      <c r="B632" t="s">
        <v>64</v>
      </c>
    </row>
    <row r="633" spans="2:2" hidden="1" x14ac:dyDescent="0.2">
      <c r="B633" t="s">
        <v>64</v>
      </c>
    </row>
    <row r="634" spans="2:2" hidden="1" x14ac:dyDescent="0.2">
      <c r="B634" t="s">
        <v>64</v>
      </c>
    </row>
    <row r="635" spans="2:2" hidden="1" x14ac:dyDescent="0.2">
      <c r="B635" t="s">
        <v>64</v>
      </c>
    </row>
    <row r="636" spans="2:2" hidden="1" x14ac:dyDescent="0.2">
      <c r="B636" t="s">
        <v>64</v>
      </c>
    </row>
    <row r="637" spans="2:2" hidden="1" x14ac:dyDescent="0.2">
      <c r="B637" t="s">
        <v>64</v>
      </c>
    </row>
    <row r="638" spans="2:2" hidden="1" x14ac:dyDescent="0.2">
      <c r="B638" t="s">
        <v>64</v>
      </c>
    </row>
    <row r="639" spans="2:2" hidden="1" x14ac:dyDescent="0.2">
      <c r="B639" t="s">
        <v>64</v>
      </c>
    </row>
    <row r="640" spans="2:2" hidden="1" x14ac:dyDescent="0.2">
      <c r="B640" t="s">
        <v>64</v>
      </c>
    </row>
    <row r="641" spans="2:2" hidden="1" x14ac:dyDescent="0.2">
      <c r="B641" t="s">
        <v>64</v>
      </c>
    </row>
    <row r="642" spans="2:2" hidden="1" x14ac:dyDescent="0.2">
      <c r="B642" t="s">
        <v>64</v>
      </c>
    </row>
    <row r="643" spans="2:2" hidden="1" x14ac:dyDescent="0.2">
      <c r="B643" t="s">
        <v>64</v>
      </c>
    </row>
    <row r="644" spans="2:2" hidden="1" x14ac:dyDescent="0.2">
      <c r="B644" t="s">
        <v>64</v>
      </c>
    </row>
    <row r="645" spans="2:2" hidden="1" x14ac:dyDescent="0.2">
      <c r="B645" t="s">
        <v>64</v>
      </c>
    </row>
    <row r="646" spans="2:2" hidden="1" x14ac:dyDescent="0.2">
      <c r="B646" t="s">
        <v>64</v>
      </c>
    </row>
    <row r="647" spans="2:2" hidden="1" x14ac:dyDescent="0.2">
      <c r="B647" t="s">
        <v>64</v>
      </c>
    </row>
    <row r="648" spans="2:2" hidden="1" x14ac:dyDescent="0.2">
      <c r="B648" t="s">
        <v>64</v>
      </c>
    </row>
    <row r="649" spans="2:2" hidden="1" x14ac:dyDescent="0.2">
      <c r="B649" t="s">
        <v>64</v>
      </c>
    </row>
    <row r="650" spans="2:2" hidden="1" x14ac:dyDescent="0.2">
      <c r="B650" t="s">
        <v>64</v>
      </c>
    </row>
    <row r="651" spans="2:2" hidden="1" x14ac:dyDescent="0.2">
      <c r="B651" t="s">
        <v>64</v>
      </c>
    </row>
    <row r="652" spans="2:2" hidden="1" x14ac:dyDescent="0.2">
      <c r="B652" t="s">
        <v>64</v>
      </c>
    </row>
    <row r="653" spans="2:2" hidden="1" x14ac:dyDescent="0.2">
      <c r="B653" t="s">
        <v>64</v>
      </c>
    </row>
    <row r="654" spans="2:2" hidden="1" x14ac:dyDescent="0.2">
      <c r="B654" t="s">
        <v>64</v>
      </c>
    </row>
    <row r="655" spans="2:2" hidden="1" x14ac:dyDescent="0.2">
      <c r="B655" t="s">
        <v>64</v>
      </c>
    </row>
    <row r="656" spans="2:2" hidden="1" x14ac:dyDescent="0.2">
      <c r="B656" t="s">
        <v>64</v>
      </c>
    </row>
    <row r="657" spans="2:2" hidden="1" x14ac:dyDescent="0.2">
      <c r="B657" t="s">
        <v>64</v>
      </c>
    </row>
    <row r="658" spans="2:2" hidden="1" x14ac:dyDescent="0.2">
      <c r="B658" t="s">
        <v>64</v>
      </c>
    </row>
    <row r="659" spans="2:2" hidden="1" x14ac:dyDescent="0.2">
      <c r="B659" t="s">
        <v>64</v>
      </c>
    </row>
    <row r="660" spans="2:2" hidden="1" x14ac:dyDescent="0.2">
      <c r="B660" t="s">
        <v>64</v>
      </c>
    </row>
    <row r="661" spans="2:2" hidden="1" x14ac:dyDescent="0.2">
      <c r="B661" t="s">
        <v>64</v>
      </c>
    </row>
    <row r="662" spans="2:2" hidden="1" x14ac:dyDescent="0.2">
      <c r="B662" t="s">
        <v>64</v>
      </c>
    </row>
    <row r="663" spans="2:2" hidden="1" x14ac:dyDescent="0.2">
      <c r="B663" t="s">
        <v>64</v>
      </c>
    </row>
    <row r="664" spans="2:2" hidden="1" x14ac:dyDescent="0.2">
      <c r="B664" t="s">
        <v>64</v>
      </c>
    </row>
    <row r="665" spans="2:2" hidden="1" x14ac:dyDescent="0.2">
      <c r="B665" t="s">
        <v>64</v>
      </c>
    </row>
    <row r="666" spans="2:2" hidden="1" x14ac:dyDescent="0.2">
      <c r="B666" t="s">
        <v>64</v>
      </c>
    </row>
    <row r="667" spans="2:2" hidden="1" x14ac:dyDescent="0.2">
      <c r="B667" t="s">
        <v>64</v>
      </c>
    </row>
    <row r="668" spans="2:2" hidden="1" x14ac:dyDescent="0.2">
      <c r="B668" t="s">
        <v>64</v>
      </c>
    </row>
    <row r="669" spans="2:2" hidden="1" x14ac:dyDescent="0.2">
      <c r="B669" t="s">
        <v>64</v>
      </c>
    </row>
    <row r="670" spans="2:2" hidden="1" x14ac:dyDescent="0.2">
      <c r="B670" t="s">
        <v>64</v>
      </c>
    </row>
    <row r="671" spans="2:2" hidden="1" x14ac:dyDescent="0.2">
      <c r="B671" t="s">
        <v>64</v>
      </c>
    </row>
    <row r="672" spans="2:2" hidden="1" x14ac:dyDescent="0.2">
      <c r="B672" t="s">
        <v>64</v>
      </c>
    </row>
    <row r="673" spans="2:2" hidden="1" x14ac:dyDescent="0.2">
      <c r="B673" t="s">
        <v>64</v>
      </c>
    </row>
    <row r="674" spans="2:2" hidden="1" x14ac:dyDescent="0.2">
      <c r="B674" t="s">
        <v>64</v>
      </c>
    </row>
    <row r="675" spans="2:2" hidden="1" x14ac:dyDescent="0.2">
      <c r="B675" t="s">
        <v>64</v>
      </c>
    </row>
    <row r="676" spans="2:2" hidden="1" x14ac:dyDescent="0.2">
      <c r="B676" t="s">
        <v>64</v>
      </c>
    </row>
    <row r="677" spans="2:2" hidden="1" x14ac:dyDescent="0.2">
      <c r="B677" t="s">
        <v>64</v>
      </c>
    </row>
    <row r="678" spans="2:2" hidden="1" x14ac:dyDescent="0.2">
      <c r="B678" t="s">
        <v>64</v>
      </c>
    </row>
    <row r="679" spans="2:2" hidden="1" x14ac:dyDescent="0.2">
      <c r="B679" t="s">
        <v>64</v>
      </c>
    </row>
    <row r="680" spans="2:2" hidden="1" x14ac:dyDescent="0.2">
      <c r="B680" t="s">
        <v>64</v>
      </c>
    </row>
    <row r="681" spans="2:2" hidden="1" x14ac:dyDescent="0.2">
      <c r="B681" t="s">
        <v>64</v>
      </c>
    </row>
    <row r="682" spans="2:2" hidden="1" x14ac:dyDescent="0.2">
      <c r="B682" t="s">
        <v>64</v>
      </c>
    </row>
    <row r="683" spans="2:2" hidden="1" x14ac:dyDescent="0.2">
      <c r="B683" t="s">
        <v>64</v>
      </c>
    </row>
    <row r="684" spans="2:2" hidden="1" x14ac:dyDescent="0.2">
      <c r="B684" t="s">
        <v>64</v>
      </c>
    </row>
    <row r="685" spans="2:2" hidden="1" x14ac:dyDescent="0.2">
      <c r="B685" t="s">
        <v>64</v>
      </c>
    </row>
    <row r="686" spans="2:2" hidden="1" x14ac:dyDescent="0.2">
      <c r="B686" t="s">
        <v>64</v>
      </c>
    </row>
    <row r="687" spans="2:2" hidden="1" x14ac:dyDescent="0.2">
      <c r="B687" t="s">
        <v>64</v>
      </c>
    </row>
    <row r="688" spans="2:2" hidden="1" x14ac:dyDescent="0.2">
      <c r="B688" t="s">
        <v>64</v>
      </c>
    </row>
    <row r="689" spans="2:2" hidden="1" x14ac:dyDescent="0.2">
      <c r="B689" t="s">
        <v>64</v>
      </c>
    </row>
    <row r="690" spans="2:2" hidden="1" x14ac:dyDescent="0.2">
      <c r="B690" t="s">
        <v>64</v>
      </c>
    </row>
    <row r="691" spans="2:2" hidden="1" x14ac:dyDescent="0.2">
      <c r="B691" t="s">
        <v>64</v>
      </c>
    </row>
    <row r="692" spans="2:2" hidden="1" x14ac:dyDescent="0.2">
      <c r="B692" t="s">
        <v>64</v>
      </c>
    </row>
    <row r="693" spans="2:2" hidden="1" x14ac:dyDescent="0.2">
      <c r="B693" t="s">
        <v>64</v>
      </c>
    </row>
    <row r="694" spans="2:2" hidden="1" x14ac:dyDescent="0.2">
      <c r="B694" t="s">
        <v>64</v>
      </c>
    </row>
    <row r="695" spans="2:2" hidden="1" x14ac:dyDescent="0.2">
      <c r="B695" t="s">
        <v>64</v>
      </c>
    </row>
    <row r="696" spans="2:2" hidden="1" x14ac:dyDescent="0.2">
      <c r="B696" t="s">
        <v>64</v>
      </c>
    </row>
    <row r="697" spans="2:2" hidden="1" x14ac:dyDescent="0.2">
      <c r="B697" t="s">
        <v>64</v>
      </c>
    </row>
    <row r="698" spans="2:2" hidden="1" x14ac:dyDescent="0.2">
      <c r="B698" t="s">
        <v>64</v>
      </c>
    </row>
    <row r="699" spans="2:2" hidden="1" x14ac:dyDescent="0.2">
      <c r="B699" t="s">
        <v>64</v>
      </c>
    </row>
    <row r="700" spans="2:2" hidden="1" x14ac:dyDescent="0.2">
      <c r="B700" t="s">
        <v>64</v>
      </c>
    </row>
    <row r="701" spans="2:2" hidden="1" x14ac:dyDescent="0.2">
      <c r="B701" t="s">
        <v>64</v>
      </c>
    </row>
    <row r="702" spans="2:2" hidden="1" x14ac:dyDescent="0.2">
      <c r="B702" t="s">
        <v>64</v>
      </c>
    </row>
    <row r="703" spans="2:2" hidden="1" x14ac:dyDescent="0.2">
      <c r="B703" t="s">
        <v>64</v>
      </c>
    </row>
    <row r="704" spans="2:2" hidden="1" x14ac:dyDescent="0.2">
      <c r="B704" t="s">
        <v>64</v>
      </c>
    </row>
    <row r="705" spans="2:2" hidden="1" x14ac:dyDescent="0.2">
      <c r="B705" t="s">
        <v>64</v>
      </c>
    </row>
    <row r="706" spans="2:2" hidden="1" x14ac:dyDescent="0.2">
      <c r="B706" t="s">
        <v>64</v>
      </c>
    </row>
    <row r="707" spans="2:2" hidden="1" x14ac:dyDescent="0.2">
      <c r="B707" t="s">
        <v>64</v>
      </c>
    </row>
    <row r="708" spans="2:2" hidden="1" x14ac:dyDescent="0.2">
      <c r="B708" t="s">
        <v>64</v>
      </c>
    </row>
    <row r="709" spans="2:2" hidden="1" x14ac:dyDescent="0.2">
      <c r="B709" t="s">
        <v>64</v>
      </c>
    </row>
    <row r="710" spans="2:2" hidden="1" x14ac:dyDescent="0.2">
      <c r="B710" t="s">
        <v>64</v>
      </c>
    </row>
    <row r="711" spans="2:2" hidden="1" x14ac:dyDescent="0.2">
      <c r="B711" t="s">
        <v>64</v>
      </c>
    </row>
    <row r="712" spans="2:2" hidden="1" x14ac:dyDescent="0.2">
      <c r="B712" t="s">
        <v>64</v>
      </c>
    </row>
    <row r="713" spans="2:2" hidden="1" x14ac:dyDescent="0.2">
      <c r="B713" t="s">
        <v>64</v>
      </c>
    </row>
    <row r="714" spans="2:2" hidden="1" x14ac:dyDescent="0.2">
      <c r="B714" t="s">
        <v>64</v>
      </c>
    </row>
    <row r="715" spans="2:2" hidden="1" x14ac:dyDescent="0.2">
      <c r="B715" t="s">
        <v>64</v>
      </c>
    </row>
    <row r="716" spans="2:2" hidden="1" x14ac:dyDescent="0.2">
      <c r="B716" t="s">
        <v>64</v>
      </c>
    </row>
    <row r="717" spans="2:2" hidden="1" x14ac:dyDescent="0.2">
      <c r="B717" t="s">
        <v>64</v>
      </c>
    </row>
    <row r="718" spans="2:2" hidden="1" x14ac:dyDescent="0.2">
      <c r="B718" t="s">
        <v>64</v>
      </c>
    </row>
    <row r="719" spans="2:2" hidden="1" x14ac:dyDescent="0.2">
      <c r="B719" t="s">
        <v>64</v>
      </c>
    </row>
    <row r="720" spans="2:2" hidden="1" x14ac:dyDescent="0.2">
      <c r="B720" t="s">
        <v>64</v>
      </c>
    </row>
    <row r="721" spans="2:2" hidden="1" x14ac:dyDescent="0.2">
      <c r="B721" t="s">
        <v>64</v>
      </c>
    </row>
    <row r="722" spans="2:2" hidden="1" x14ac:dyDescent="0.2">
      <c r="B722" t="s">
        <v>64</v>
      </c>
    </row>
    <row r="723" spans="2:2" hidden="1" x14ac:dyDescent="0.2">
      <c r="B723" t="s">
        <v>64</v>
      </c>
    </row>
    <row r="724" spans="2:2" hidden="1" x14ac:dyDescent="0.2">
      <c r="B724" t="s">
        <v>64</v>
      </c>
    </row>
    <row r="725" spans="2:2" hidden="1" x14ac:dyDescent="0.2">
      <c r="B725" t="s">
        <v>64</v>
      </c>
    </row>
    <row r="726" spans="2:2" hidden="1" x14ac:dyDescent="0.2">
      <c r="B726" t="s">
        <v>64</v>
      </c>
    </row>
    <row r="727" spans="2:2" hidden="1" x14ac:dyDescent="0.2">
      <c r="B727" t="s">
        <v>64</v>
      </c>
    </row>
    <row r="728" spans="2:2" hidden="1" x14ac:dyDescent="0.2">
      <c r="B728" t="s">
        <v>64</v>
      </c>
    </row>
    <row r="729" spans="2:2" hidden="1" x14ac:dyDescent="0.2">
      <c r="B729" t="s">
        <v>64</v>
      </c>
    </row>
    <row r="730" spans="2:2" hidden="1" x14ac:dyDescent="0.2">
      <c r="B730" t="s">
        <v>64</v>
      </c>
    </row>
    <row r="731" spans="2:2" hidden="1" x14ac:dyDescent="0.2">
      <c r="B731" t="s">
        <v>64</v>
      </c>
    </row>
    <row r="732" spans="2:2" hidden="1" x14ac:dyDescent="0.2">
      <c r="B732" t="s">
        <v>64</v>
      </c>
    </row>
    <row r="733" spans="2:2" hidden="1" x14ac:dyDescent="0.2">
      <c r="B733" t="s">
        <v>64</v>
      </c>
    </row>
    <row r="734" spans="2:2" hidden="1" x14ac:dyDescent="0.2">
      <c r="B734" t="s">
        <v>64</v>
      </c>
    </row>
    <row r="735" spans="2:2" hidden="1" x14ac:dyDescent="0.2">
      <c r="B735" t="s">
        <v>64</v>
      </c>
    </row>
    <row r="736" spans="2:2" hidden="1" x14ac:dyDescent="0.2">
      <c r="B736" t="s">
        <v>64</v>
      </c>
    </row>
    <row r="737" spans="2:2" hidden="1" x14ac:dyDescent="0.2">
      <c r="B737" t="s">
        <v>64</v>
      </c>
    </row>
    <row r="738" spans="2:2" hidden="1" x14ac:dyDescent="0.2">
      <c r="B738" t="s">
        <v>64</v>
      </c>
    </row>
    <row r="739" spans="2:2" hidden="1" x14ac:dyDescent="0.2">
      <c r="B739" t="s">
        <v>64</v>
      </c>
    </row>
    <row r="740" spans="2:2" hidden="1" x14ac:dyDescent="0.2">
      <c r="B740" t="s">
        <v>64</v>
      </c>
    </row>
    <row r="741" spans="2:2" hidden="1" x14ac:dyDescent="0.2">
      <c r="B741" t="s">
        <v>64</v>
      </c>
    </row>
    <row r="742" spans="2:2" hidden="1" x14ac:dyDescent="0.2">
      <c r="B742" t="s">
        <v>64</v>
      </c>
    </row>
    <row r="743" spans="2:2" hidden="1" x14ac:dyDescent="0.2">
      <c r="B743" t="s">
        <v>64</v>
      </c>
    </row>
    <row r="744" spans="2:2" hidden="1" x14ac:dyDescent="0.2">
      <c r="B744" t="s">
        <v>64</v>
      </c>
    </row>
    <row r="745" spans="2:2" hidden="1" x14ac:dyDescent="0.2">
      <c r="B745" t="s">
        <v>64</v>
      </c>
    </row>
    <row r="746" spans="2:2" hidden="1" x14ac:dyDescent="0.2">
      <c r="B746" t="s">
        <v>64</v>
      </c>
    </row>
    <row r="747" spans="2:2" hidden="1" x14ac:dyDescent="0.2">
      <c r="B747" t="s">
        <v>64</v>
      </c>
    </row>
    <row r="748" spans="2:2" hidden="1" x14ac:dyDescent="0.2">
      <c r="B748" t="s">
        <v>64</v>
      </c>
    </row>
    <row r="749" spans="2:2" hidden="1" x14ac:dyDescent="0.2">
      <c r="B749" t="s">
        <v>64</v>
      </c>
    </row>
    <row r="750" spans="2:2" hidden="1" x14ac:dyDescent="0.2">
      <c r="B750" t="s">
        <v>64</v>
      </c>
    </row>
    <row r="751" spans="2:2" hidden="1" x14ac:dyDescent="0.2">
      <c r="B751" t="s">
        <v>64</v>
      </c>
    </row>
    <row r="752" spans="2:2" hidden="1" x14ac:dyDescent="0.2">
      <c r="B752" t="s">
        <v>64</v>
      </c>
    </row>
    <row r="753" spans="2:2" hidden="1" x14ac:dyDescent="0.2">
      <c r="B753" t="s">
        <v>64</v>
      </c>
    </row>
    <row r="754" spans="2:2" hidden="1" x14ac:dyDescent="0.2">
      <c r="B754" t="s">
        <v>64</v>
      </c>
    </row>
    <row r="755" spans="2:2" hidden="1" x14ac:dyDescent="0.2">
      <c r="B755" t="s">
        <v>64</v>
      </c>
    </row>
    <row r="756" spans="2:2" hidden="1" x14ac:dyDescent="0.2">
      <c r="B756" t="s">
        <v>64</v>
      </c>
    </row>
    <row r="757" spans="2:2" hidden="1" x14ac:dyDescent="0.2">
      <c r="B757" t="s">
        <v>64</v>
      </c>
    </row>
    <row r="758" spans="2:2" hidden="1" x14ac:dyDescent="0.2">
      <c r="B758" t="s">
        <v>64</v>
      </c>
    </row>
    <row r="759" spans="2:2" hidden="1" x14ac:dyDescent="0.2">
      <c r="B759" t="s">
        <v>64</v>
      </c>
    </row>
    <row r="760" spans="2:2" hidden="1" x14ac:dyDescent="0.2">
      <c r="B760" t="s">
        <v>64</v>
      </c>
    </row>
    <row r="761" spans="2:2" hidden="1" x14ac:dyDescent="0.2">
      <c r="B761" t="s">
        <v>64</v>
      </c>
    </row>
    <row r="762" spans="2:2" hidden="1" x14ac:dyDescent="0.2">
      <c r="B762" t="s">
        <v>64</v>
      </c>
    </row>
    <row r="763" spans="2:2" hidden="1" x14ac:dyDescent="0.2">
      <c r="B763" t="s">
        <v>64</v>
      </c>
    </row>
    <row r="764" spans="2:2" hidden="1" x14ac:dyDescent="0.2">
      <c r="B764" t="s">
        <v>64</v>
      </c>
    </row>
    <row r="765" spans="2:2" hidden="1" x14ac:dyDescent="0.2">
      <c r="B765" t="s">
        <v>64</v>
      </c>
    </row>
    <row r="766" spans="2:2" hidden="1" x14ac:dyDescent="0.2">
      <c r="B766" t="s">
        <v>64</v>
      </c>
    </row>
    <row r="767" spans="2:2" hidden="1" x14ac:dyDescent="0.2">
      <c r="B767" t="s">
        <v>64</v>
      </c>
    </row>
    <row r="768" spans="2:2" hidden="1" x14ac:dyDescent="0.2">
      <c r="B768" t="s">
        <v>64</v>
      </c>
    </row>
    <row r="769" spans="2:2" hidden="1" x14ac:dyDescent="0.2">
      <c r="B769" t="s">
        <v>64</v>
      </c>
    </row>
    <row r="770" spans="2:2" hidden="1" x14ac:dyDescent="0.2">
      <c r="B770" t="s">
        <v>64</v>
      </c>
    </row>
    <row r="771" spans="2:2" hidden="1" x14ac:dyDescent="0.2">
      <c r="B771" t="s">
        <v>64</v>
      </c>
    </row>
    <row r="772" spans="2:2" hidden="1" x14ac:dyDescent="0.2">
      <c r="B772" t="s">
        <v>64</v>
      </c>
    </row>
    <row r="773" spans="2:2" hidden="1" x14ac:dyDescent="0.2">
      <c r="B773" t="s">
        <v>64</v>
      </c>
    </row>
    <row r="774" spans="2:2" hidden="1" x14ac:dyDescent="0.2">
      <c r="B774" t="s">
        <v>64</v>
      </c>
    </row>
    <row r="775" spans="2:2" hidden="1" x14ac:dyDescent="0.2">
      <c r="B775" t="s">
        <v>64</v>
      </c>
    </row>
    <row r="776" spans="2:2" hidden="1" x14ac:dyDescent="0.2">
      <c r="B776" t="s">
        <v>64</v>
      </c>
    </row>
    <row r="777" spans="2:2" hidden="1" x14ac:dyDescent="0.2">
      <c r="B777" t="s">
        <v>64</v>
      </c>
    </row>
    <row r="778" spans="2:2" hidden="1" x14ac:dyDescent="0.2">
      <c r="B778" t="s">
        <v>64</v>
      </c>
    </row>
    <row r="779" spans="2:2" hidden="1" x14ac:dyDescent="0.2">
      <c r="B779" t="s">
        <v>64</v>
      </c>
    </row>
    <row r="780" spans="2:2" hidden="1" x14ac:dyDescent="0.2">
      <c r="B780" t="s">
        <v>64</v>
      </c>
    </row>
    <row r="781" spans="2:2" hidden="1" x14ac:dyDescent="0.2">
      <c r="B781" t="s">
        <v>64</v>
      </c>
    </row>
    <row r="782" spans="2:2" hidden="1" x14ac:dyDescent="0.2">
      <c r="B782" t="s">
        <v>64</v>
      </c>
    </row>
    <row r="783" spans="2:2" hidden="1" x14ac:dyDescent="0.2">
      <c r="B783" t="s">
        <v>64</v>
      </c>
    </row>
    <row r="784" spans="2:2" hidden="1" x14ac:dyDescent="0.2">
      <c r="B784" t="s">
        <v>64</v>
      </c>
    </row>
    <row r="785" spans="2:2" hidden="1" x14ac:dyDescent="0.2">
      <c r="B785" t="s">
        <v>64</v>
      </c>
    </row>
    <row r="786" spans="2:2" hidden="1" x14ac:dyDescent="0.2">
      <c r="B786" t="s">
        <v>64</v>
      </c>
    </row>
    <row r="787" spans="2:2" hidden="1" x14ac:dyDescent="0.2">
      <c r="B787" t="s">
        <v>64</v>
      </c>
    </row>
    <row r="788" spans="2:2" hidden="1" x14ac:dyDescent="0.2">
      <c r="B788" t="s">
        <v>64</v>
      </c>
    </row>
    <row r="789" spans="2:2" hidden="1" x14ac:dyDescent="0.2">
      <c r="B789" t="s">
        <v>64</v>
      </c>
    </row>
    <row r="790" spans="2:2" hidden="1" x14ac:dyDescent="0.2">
      <c r="B790" t="s">
        <v>64</v>
      </c>
    </row>
    <row r="791" spans="2:2" hidden="1" x14ac:dyDescent="0.2">
      <c r="B791" t="s">
        <v>64</v>
      </c>
    </row>
    <row r="792" spans="2:2" hidden="1" x14ac:dyDescent="0.2">
      <c r="B792" t="s">
        <v>64</v>
      </c>
    </row>
    <row r="793" spans="2:2" hidden="1" x14ac:dyDescent="0.2">
      <c r="B793" t="s">
        <v>64</v>
      </c>
    </row>
    <row r="794" spans="2:2" hidden="1" x14ac:dyDescent="0.2">
      <c r="B794" t="s">
        <v>64</v>
      </c>
    </row>
    <row r="795" spans="2:2" hidden="1" x14ac:dyDescent="0.2">
      <c r="B795" t="s">
        <v>64</v>
      </c>
    </row>
    <row r="796" spans="2:2" hidden="1" x14ac:dyDescent="0.2">
      <c r="B796" t="s">
        <v>64</v>
      </c>
    </row>
    <row r="797" spans="2:2" hidden="1" x14ac:dyDescent="0.2">
      <c r="B797" t="s">
        <v>64</v>
      </c>
    </row>
    <row r="798" spans="2:2" hidden="1" x14ac:dyDescent="0.2">
      <c r="B798" t="s">
        <v>64</v>
      </c>
    </row>
    <row r="799" spans="2:2" hidden="1" x14ac:dyDescent="0.2">
      <c r="B799" t="s">
        <v>64</v>
      </c>
    </row>
    <row r="800" spans="2:2" hidden="1" x14ac:dyDescent="0.2">
      <c r="B800" t="s">
        <v>64</v>
      </c>
    </row>
    <row r="801" spans="2:2" hidden="1" x14ac:dyDescent="0.2">
      <c r="B801" t="s">
        <v>64</v>
      </c>
    </row>
    <row r="802" spans="2:2" hidden="1" x14ac:dyDescent="0.2">
      <c r="B802" t="s">
        <v>64</v>
      </c>
    </row>
    <row r="803" spans="2:2" hidden="1" x14ac:dyDescent="0.2">
      <c r="B803" t="s">
        <v>64</v>
      </c>
    </row>
    <row r="804" spans="2:2" hidden="1" x14ac:dyDescent="0.2">
      <c r="B804" t="s">
        <v>64</v>
      </c>
    </row>
    <row r="805" spans="2:2" hidden="1" x14ac:dyDescent="0.2">
      <c r="B805" t="s">
        <v>64</v>
      </c>
    </row>
    <row r="806" spans="2:2" hidden="1" x14ac:dyDescent="0.2">
      <c r="B806" t="s">
        <v>64</v>
      </c>
    </row>
    <row r="807" spans="2:2" hidden="1" x14ac:dyDescent="0.2">
      <c r="B807" t="s">
        <v>64</v>
      </c>
    </row>
    <row r="808" spans="2:2" hidden="1" x14ac:dyDescent="0.2">
      <c r="B808" t="s">
        <v>64</v>
      </c>
    </row>
    <row r="809" spans="2:2" hidden="1" x14ac:dyDescent="0.2">
      <c r="B809" t="s">
        <v>64</v>
      </c>
    </row>
    <row r="810" spans="2:2" hidden="1" x14ac:dyDescent="0.2">
      <c r="B810" t="s">
        <v>64</v>
      </c>
    </row>
    <row r="811" spans="2:2" hidden="1" x14ac:dyDescent="0.2">
      <c r="B811" t="s">
        <v>64</v>
      </c>
    </row>
    <row r="812" spans="2:2" hidden="1" x14ac:dyDescent="0.2">
      <c r="B812" t="s">
        <v>64</v>
      </c>
    </row>
    <row r="813" spans="2:2" hidden="1" x14ac:dyDescent="0.2">
      <c r="B813" t="s">
        <v>64</v>
      </c>
    </row>
    <row r="814" spans="2:2" hidden="1" x14ac:dyDescent="0.2">
      <c r="B814" t="s">
        <v>64</v>
      </c>
    </row>
    <row r="815" spans="2:2" hidden="1" x14ac:dyDescent="0.2">
      <c r="B815" t="s">
        <v>64</v>
      </c>
    </row>
    <row r="816" spans="2:2" hidden="1" x14ac:dyDescent="0.2">
      <c r="B816" t="s">
        <v>64</v>
      </c>
    </row>
    <row r="817" spans="2:2" hidden="1" x14ac:dyDescent="0.2">
      <c r="B817" t="s">
        <v>64</v>
      </c>
    </row>
    <row r="818" spans="2:2" hidden="1" x14ac:dyDescent="0.2">
      <c r="B818" t="s">
        <v>64</v>
      </c>
    </row>
    <row r="819" spans="2:2" hidden="1" x14ac:dyDescent="0.2">
      <c r="B819" t="s">
        <v>64</v>
      </c>
    </row>
    <row r="820" spans="2:2" hidden="1" x14ac:dyDescent="0.2">
      <c r="B820" t="s">
        <v>64</v>
      </c>
    </row>
    <row r="821" spans="2:2" hidden="1" x14ac:dyDescent="0.2">
      <c r="B821" t="s">
        <v>64</v>
      </c>
    </row>
    <row r="822" spans="2:2" hidden="1" x14ac:dyDescent="0.2">
      <c r="B822" t="s">
        <v>64</v>
      </c>
    </row>
    <row r="823" spans="2:2" hidden="1" x14ac:dyDescent="0.2">
      <c r="B823" t="s">
        <v>64</v>
      </c>
    </row>
    <row r="824" spans="2:2" hidden="1" x14ac:dyDescent="0.2">
      <c r="B824" t="s">
        <v>64</v>
      </c>
    </row>
    <row r="825" spans="2:2" hidden="1" x14ac:dyDescent="0.2">
      <c r="B825" t="s">
        <v>64</v>
      </c>
    </row>
    <row r="826" spans="2:2" hidden="1" x14ac:dyDescent="0.2">
      <c r="B826" t="s">
        <v>64</v>
      </c>
    </row>
    <row r="827" spans="2:2" hidden="1" x14ac:dyDescent="0.2">
      <c r="B827" t="s">
        <v>64</v>
      </c>
    </row>
    <row r="828" spans="2:2" hidden="1" x14ac:dyDescent="0.2">
      <c r="B828" t="s">
        <v>64</v>
      </c>
    </row>
    <row r="829" spans="2:2" hidden="1" x14ac:dyDescent="0.2">
      <c r="B829" t="s">
        <v>64</v>
      </c>
    </row>
    <row r="830" spans="2:2" hidden="1" x14ac:dyDescent="0.2">
      <c r="B830" t="s">
        <v>64</v>
      </c>
    </row>
    <row r="831" spans="2:2" hidden="1" x14ac:dyDescent="0.2">
      <c r="B831" t="s">
        <v>64</v>
      </c>
    </row>
    <row r="832" spans="2:2" hidden="1" x14ac:dyDescent="0.2">
      <c r="B832" t="s">
        <v>64</v>
      </c>
    </row>
    <row r="833" spans="2:2" hidden="1" x14ac:dyDescent="0.2">
      <c r="B833" t="s">
        <v>64</v>
      </c>
    </row>
    <row r="834" spans="2:2" hidden="1" x14ac:dyDescent="0.2">
      <c r="B834" t="s">
        <v>64</v>
      </c>
    </row>
    <row r="835" spans="2:2" hidden="1" x14ac:dyDescent="0.2">
      <c r="B835" t="s">
        <v>64</v>
      </c>
    </row>
    <row r="836" spans="2:2" hidden="1" x14ac:dyDescent="0.2">
      <c r="B836" t="s">
        <v>64</v>
      </c>
    </row>
    <row r="837" spans="2:2" hidden="1" x14ac:dyDescent="0.2">
      <c r="B837" t="s">
        <v>64</v>
      </c>
    </row>
    <row r="838" spans="2:2" hidden="1" x14ac:dyDescent="0.2">
      <c r="B838" t="s">
        <v>64</v>
      </c>
    </row>
    <row r="839" spans="2:2" hidden="1" x14ac:dyDescent="0.2">
      <c r="B839" t="s">
        <v>64</v>
      </c>
    </row>
    <row r="840" spans="2:2" hidden="1" x14ac:dyDescent="0.2">
      <c r="B840" t="s">
        <v>64</v>
      </c>
    </row>
    <row r="841" spans="2:2" hidden="1" x14ac:dyDescent="0.2">
      <c r="B841" t="s">
        <v>64</v>
      </c>
    </row>
    <row r="842" spans="2:2" hidden="1" x14ac:dyDescent="0.2">
      <c r="B842" t="s">
        <v>64</v>
      </c>
    </row>
    <row r="843" spans="2:2" hidden="1" x14ac:dyDescent="0.2">
      <c r="B843" t="s">
        <v>64</v>
      </c>
    </row>
    <row r="844" spans="2:2" hidden="1" x14ac:dyDescent="0.2">
      <c r="B844" t="s">
        <v>64</v>
      </c>
    </row>
    <row r="845" spans="2:2" hidden="1" x14ac:dyDescent="0.2">
      <c r="B845" t="s">
        <v>64</v>
      </c>
    </row>
    <row r="846" spans="2:2" hidden="1" x14ac:dyDescent="0.2">
      <c r="B846" t="s">
        <v>64</v>
      </c>
    </row>
    <row r="847" spans="2:2" hidden="1" x14ac:dyDescent="0.2">
      <c r="B847" t="s">
        <v>64</v>
      </c>
    </row>
    <row r="848" spans="2:2" hidden="1" x14ac:dyDescent="0.2">
      <c r="B848" t="s">
        <v>64</v>
      </c>
    </row>
    <row r="849" spans="2:2" hidden="1" x14ac:dyDescent="0.2">
      <c r="B849" t="s">
        <v>64</v>
      </c>
    </row>
    <row r="850" spans="2:2" hidden="1" x14ac:dyDescent="0.2">
      <c r="B850" t="s">
        <v>64</v>
      </c>
    </row>
    <row r="851" spans="2:2" hidden="1" x14ac:dyDescent="0.2">
      <c r="B851" t="s">
        <v>64</v>
      </c>
    </row>
    <row r="852" spans="2:2" hidden="1" x14ac:dyDescent="0.2">
      <c r="B852" t="s">
        <v>64</v>
      </c>
    </row>
    <row r="853" spans="2:2" hidden="1" x14ac:dyDescent="0.2">
      <c r="B853" t="s">
        <v>64</v>
      </c>
    </row>
    <row r="854" spans="2:2" hidden="1" x14ac:dyDescent="0.2">
      <c r="B854" t="s">
        <v>64</v>
      </c>
    </row>
    <row r="855" spans="2:2" hidden="1" x14ac:dyDescent="0.2">
      <c r="B855" t="s">
        <v>64</v>
      </c>
    </row>
    <row r="856" spans="2:2" hidden="1" x14ac:dyDescent="0.2">
      <c r="B856" t="s">
        <v>64</v>
      </c>
    </row>
    <row r="857" spans="2:2" hidden="1" x14ac:dyDescent="0.2">
      <c r="B857" t="s">
        <v>64</v>
      </c>
    </row>
    <row r="858" spans="2:2" hidden="1" x14ac:dyDescent="0.2">
      <c r="B858" t="s">
        <v>64</v>
      </c>
    </row>
    <row r="859" spans="2:2" hidden="1" x14ac:dyDescent="0.2">
      <c r="B859" t="s">
        <v>64</v>
      </c>
    </row>
    <row r="860" spans="2:2" hidden="1" x14ac:dyDescent="0.2">
      <c r="B860" t="s">
        <v>64</v>
      </c>
    </row>
    <row r="861" spans="2:2" hidden="1" x14ac:dyDescent="0.2">
      <c r="B861" t="s">
        <v>64</v>
      </c>
    </row>
    <row r="862" spans="2:2" hidden="1" x14ac:dyDescent="0.2">
      <c r="B862" t="s">
        <v>64</v>
      </c>
    </row>
    <row r="863" spans="2:2" hidden="1" x14ac:dyDescent="0.2">
      <c r="B863" t="s">
        <v>64</v>
      </c>
    </row>
    <row r="864" spans="2:2" hidden="1" x14ac:dyDescent="0.2">
      <c r="B864" t="s">
        <v>64</v>
      </c>
    </row>
    <row r="865" spans="2:2" hidden="1" x14ac:dyDescent="0.2">
      <c r="B865" t="s">
        <v>64</v>
      </c>
    </row>
    <row r="866" spans="2:2" hidden="1" x14ac:dyDescent="0.2">
      <c r="B866" t="s">
        <v>64</v>
      </c>
    </row>
    <row r="867" spans="2:2" hidden="1" x14ac:dyDescent="0.2">
      <c r="B867" t="s">
        <v>64</v>
      </c>
    </row>
    <row r="868" spans="2:2" hidden="1" x14ac:dyDescent="0.2">
      <c r="B868" t="s">
        <v>64</v>
      </c>
    </row>
    <row r="869" spans="2:2" hidden="1" x14ac:dyDescent="0.2">
      <c r="B869" t="s">
        <v>64</v>
      </c>
    </row>
    <row r="870" spans="2:2" hidden="1" x14ac:dyDescent="0.2">
      <c r="B870" t="s">
        <v>64</v>
      </c>
    </row>
    <row r="871" spans="2:2" hidden="1" x14ac:dyDescent="0.2">
      <c r="B871" t="s">
        <v>64</v>
      </c>
    </row>
    <row r="872" spans="2:2" hidden="1" x14ac:dyDescent="0.2">
      <c r="B872" t="s">
        <v>64</v>
      </c>
    </row>
    <row r="873" spans="2:2" hidden="1" x14ac:dyDescent="0.2">
      <c r="B873" t="s">
        <v>64</v>
      </c>
    </row>
    <row r="874" spans="2:2" hidden="1" x14ac:dyDescent="0.2">
      <c r="B874" t="s">
        <v>64</v>
      </c>
    </row>
    <row r="875" spans="2:2" hidden="1" x14ac:dyDescent="0.2">
      <c r="B875" t="s">
        <v>64</v>
      </c>
    </row>
    <row r="876" spans="2:2" hidden="1" x14ac:dyDescent="0.2">
      <c r="B876" t="s">
        <v>64</v>
      </c>
    </row>
    <row r="877" spans="2:2" hidden="1" x14ac:dyDescent="0.2">
      <c r="B877" t="s">
        <v>64</v>
      </c>
    </row>
    <row r="878" spans="2:2" hidden="1" x14ac:dyDescent="0.2">
      <c r="B878" t="s">
        <v>64</v>
      </c>
    </row>
    <row r="879" spans="2:2" hidden="1" x14ac:dyDescent="0.2">
      <c r="B879" t="s">
        <v>64</v>
      </c>
    </row>
    <row r="880" spans="2:2" hidden="1" x14ac:dyDescent="0.2">
      <c r="B880" t="s">
        <v>64</v>
      </c>
    </row>
    <row r="881" spans="2:2" hidden="1" x14ac:dyDescent="0.2">
      <c r="B881" t="s">
        <v>64</v>
      </c>
    </row>
    <row r="882" spans="2:2" hidden="1" x14ac:dyDescent="0.2">
      <c r="B882" t="s">
        <v>64</v>
      </c>
    </row>
    <row r="883" spans="2:2" hidden="1" x14ac:dyDescent="0.2">
      <c r="B883" t="s">
        <v>64</v>
      </c>
    </row>
    <row r="884" spans="2:2" hidden="1" x14ac:dyDescent="0.2">
      <c r="B884" t="s">
        <v>64</v>
      </c>
    </row>
    <row r="885" spans="2:2" hidden="1" x14ac:dyDescent="0.2">
      <c r="B885" t="s">
        <v>64</v>
      </c>
    </row>
    <row r="886" spans="2:2" hidden="1" x14ac:dyDescent="0.2">
      <c r="B886" t="s">
        <v>64</v>
      </c>
    </row>
    <row r="887" spans="2:2" hidden="1" x14ac:dyDescent="0.2">
      <c r="B887" t="s">
        <v>64</v>
      </c>
    </row>
    <row r="888" spans="2:2" hidden="1" x14ac:dyDescent="0.2">
      <c r="B888" t="s">
        <v>64</v>
      </c>
    </row>
    <row r="889" spans="2:2" hidden="1" x14ac:dyDescent="0.2">
      <c r="B889" t="s">
        <v>64</v>
      </c>
    </row>
    <row r="890" spans="2:2" hidden="1" x14ac:dyDescent="0.2">
      <c r="B890" t="s">
        <v>64</v>
      </c>
    </row>
    <row r="891" spans="2:2" hidden="1" x14ac:dyDescent="0.2">
      <c r="B891" t="s">
        <v>64</v>
      </c>
    </row>
    <row r="892" spans="2:2" hidden="1" x14ac:dyDescent="0.2">
      <c r="B892" t="s">
        <v>64</v>
      </c>
    </row>
    <row r="893" spans="2:2" hidden="1" x14ac:dyDescent="0.2">
      <c r="B893" t="s">
        <v>64</v>
      </c>
    </row>
    <row r="894" spans="2:2" hidden="1" x14ac:dyDescent="0.2">
      <c r="B894" t="s">
        <v>64</v>
      </c>
    </row>
    <row r="895" spans="2:2" hidden="1" x14ac:dyDescent="0.2">
      <c r="B895" t="s">
        <v>64</v>
      </c>
    </row>
    <row r="896" spans="2:2" hidden="1" x14ac:dyDescent="0.2">
      <c r="B896" t="s">
        <v>64</v>
      </c>
    </row>
    <row r="897" spans="2:2" hidden="1" x14ac:dyDescent="0.2">
      <c r="B897" t="s">
        <v>64</v>
      </c>
    </row>
    <row r="898" spans="2:2" hidden="1" x14ac:dyDescent="0.2">
      <c r="B898" t="s">
        <v>64</v>
      </c>
    </row>
    <row r="899" spans="2:2" hidden="1" x14ac:dyDescent="0.2">
      <c r="B899" t="s">
        <v>64</v>
      </c>
    </row>
    <row r="900" spans="2:2" hidden="1" x14ac:dyDescent="0.2">
      <c r="B900" t="s">
        <v>64</v>
      </c>
    </row>
    <row r="901" spans="2:2" hidden="1" x14ac:dyDescent="0.2">
      <c r="B901" t="s">
        <v>64</v>
      </c>
    </row>
    <row r="902" spans="2:2" hidden="1" x14ac:dyDescent="0.2">
      <c r="B902" t="s">
        <v>64</v>
      </c>
    </row>
    <row r="903" spans="2:2" hidden="1" x14ac:dyDescent="0.2">
      <c r="B903" t="s">
        <v>64</v>
      </c>
    </row>
    <row r="904" spans="2:2" hidden="1" x14ac:dyDescent="0.2">
      <c r="B904" t="s">
        <v>64</v>
      </c>
    </row>
    <row r="905" spans="2:2" hidden="1" x14ac:dyDescent="0.2">
      <c r="B905" t="s">
        <v>64</v>
      </c>
    </row>
    <row r="906" spans="2:2" hidden="1" x14ac:dyDescent="0.2">
      <c r="B906" t="s">
        <v>64</v>
      </c>
    </row>
    <row r="907" spans="2:2" hidden="1" x14ac:dyDescent="0.2">
      <c r="B907" t="s">
        <v>64</v>
      </c>
    </row>
    <row r="908" spans="2:2" hidden="1" x14ac:dyDescent="0.2">
      <c r="B908" t="s">
        <v>64</v>
      </c>
    </row>
    <row r="909" spans="2:2" hidden="1" x14ac:dyDescent="0.2">
      <c r="B909" t="s">
        <v>64</v>
      </c>
    </row>
    <row r="910" spans="2:2" hidden="1" x14ac:dyDescent="0.2">
      <c r="B910" t="s">
        <v>64</v>
      </c>
    </row>
    <row r="911" spans="2:2" hidden="1" x14ac:dyDescent="0.2">
      <c r="B911" t="s">
        <v>64</v>
      </c>
    </row>
    <row r="912" spans="2:2" hidden="1" x14ac:dyDescent="0.2">
      <c r="B912" t="s">
        <v>64</v>
      </c>
    </row>
    <row r="913" spans="2:2" hidden="1" x14ac:dyDescent="0.2">
      <c r="B913" t="s">
        <v>64</v>
      </c>
    </row>
    <row r="914" spans="2:2" hidden="1" x14ac:dyDescent="0.2">
      <c r="B914" t="s">
        <v>64</v>
      </c>
    </row>
    <row r="915" spans="2:2" hidden="1" x14ac:dyDescent="0.2">
      <c r="B915" t="s">
        <v>64</v>
      </c>
    </row>
    <row r="916" spans="2:2" hidden="1" x14ac:dyDescent="0.2">
      <c r="B916" t="s">
        <v>64</v>
      </c>
    </row>
    <row r="917" spans="2:2" hidden="1" x14ac:dyDescent="0.2">
      <c r="B917" t="s">
        <v>64</v>
      </c>
    </row>
    <row r="918" spans="2:2" hidden="1" x14ac:dyDescent="0.2">
      <c r="B918" t="s">
        <v>64</v>
      </c>
    </row>
    <row r="919" spans="2:2" hidden="1" x14ac:dyDescent="0.2">
      <c r="B919" t="s">
        <v>64</v>
      </c>
    </row>
    <row r="920" spans="2:2" hidden="1" x14ac:dyDescent="0.2">
      <c r="B920" t="s">
        <v>64</v>
      </c>
    </row>
    <row r="921" spans="2:2" hidden="1" x14ac:dyDescent="0.2">
      <c r="B921" t="s">
        <v>64</v>
      </c>
    </row>
    <row r="922" spans="2:2" hidden="1" x14ac:dyDescent="0.2">
      <c r="B922" t="s">
        <v>64</v>
      </c>
    </row>
    <row r="923" spans="2:2" hidden="1" x14ac:dyDescent="0.2">
      <c r="B923" t="s">
        <v>64</v>
      </c>
    </row>
    <row r="924" spans="2:2" hidden="1" x14ac:dyDescent="0.2">
      <c r="B924" t="s">
        <v>64</v>
      </c>
    </row>
    <row r="925" spans="2:2" hidden="1" x14ac:dyDescent="0.2">
      <c r="B925" t="s">
        <v>64</v>
      </c>
    </row>
    <row r="926" spans="2:2" hidden="1" x14ac:dyDescent="0.2">
      <c r="B926" t="s">
        <v>64</v>
      </c>
    </row>
    <row r="927" spans="2:2" hidden="1" x14ac:dyDescent="0.2">
      <c r="B927" t="s">
        <v>64</v>
      </c>
    </row>
    <row r="928" spans="2:2" hidden="1" x14ac:dyDescent="0.2">
      <c r="B928" t="s">
        <v>64</v>
      </c>
    </row>
    <row r="929" spans="2:2" hidden="1" x14ac:dyDescent="0.2">
      <c r="B929" t="s">
        <v>64</v>
      </c>
    </row>
    <row r="930" spans="2:2" hidden="1" x14ac:dyDescent="0.2">
      <c r="B930" t="s">
        <v>64</v>
      </c>
    </row>
    <row r="931" spans="2:2" hidden="1" x14ac:dyDescent="0.2">
      <c r="B931" t="s">
        <v>64</v>
      </c>
    </row>
    <row r="932" spans="2:2" hidden="1" x14ac:dyDescent="0.2">
      <c r="B932" t="s">
        <v>64</v>
      </c>
    </row>
    <row r="933" spans="2:2" hidden="1" x14ac:dyDescent="0.2">
      <c r="B933" t="s">
        <v>64</v>
      </c>
    </row>
    <row r="934" spans="2:2" hidden="1" x14ac:dyDescent="0.2">
      <c r="B934" t="s">
        <v>64</v>
      </c>
    </row>
    <row r="935" spans="2:2" hidden="1" x14ac:dyDescent="0.2">
      <c r="B935" t="s">
        <v>64</v>
      </c>
    </row>
    <row r="936" spans="2:2" hidden="1" x14ac:dyDescent="0.2">
      <c r="B936" t="s">
        <v>64</v>
      </c>
    </row>
    <row r="937" spans="2:2" hidden="1" x14ac:dyDescent="0.2">
      <c r="B937" t="s">
        <v>64</v>
      </c>
    </row>
    <row r="938" spans="2:2" hidden="1" x14ac:dyDescent="0.2">
      <c r="B938" t="s">
        <v>64</v>
      </c>
    </row>
    <row r="939" spans="2:2" hidden="1" x14ac:dyDescent="0.2">
      <c r="B939" t="s">
        <v>64</v>
      </c>
    </row>
    <row r="940" spans="2:2" hidden="1" x14ac:dyDescent="0.2">
      <c r="B940" t="s">
        <v>64</v>
      </c>
    </row>
    <row r="941" spans="2:2" hidden="1" x14ac:dyDescent="0.2">
      <c r="B941" t="s">
        <v>64</v>
      </c>
    </row>
    <row r="942" spans="2:2" hidden="1" x14ac:dyDescent="0.2">
      <c r="B942" t="s">
        <v>64</v>
      </c>
    </row>
    <row r="943" spans="2:2" hidden="1" x14ac:dyDescent="0.2">
      <c r="B943" t="s">
        <v>64</v>
      </c>
    </row>
    <row r="944" spans="2:2" hidden="1" x14ac:dyDescent="0.2">
      <c r="B944" t="s">
        <v>64</v>
      </c>
    </row>
    <row r="945" spans="2:2" hidden="1" x14ac:dyDescent="0.2">
      <c r="B945" t="s">
        <v>64</v>
      </c>
    </row>
    <row r="946" spans="2:2" hidden="1" x14ac:dyDescent="0.2">
      <c r="B946" t="s">
        <v>64</v>
      </c>
    </row>
    <row r="947" spans="2:2" hidden="1" x14ac:dyDescent="0.2">
      <c r="B947" t="s">
        <v>64</v>
      </c>
    </row>
    <row r="948" spans="2:2" hidden="1" x14ac:dyDescent="0.2">
      <c r="B948" t="s">
        <v>64</v>
      </c>
    </row>
    <row r="949" spans="2:2" hidden="1" x14ac:dyDescent="0.2">
      <c r="B949" t="s">
        <v>64</v>
      </c>
    </row>
    <row r="950" spans="2:2" hidden="1" x14ac:dyDescent="0.2">
      <c r="B950" t="s">
        <v>64</v>
      </c>
    </row>
    <row r="951" spans="2:2" hidden="1" x14ac:dyDescent="0.2">
      <c r="B951" t="s">
        <v>64</v>
      </c>
    </row>
    <row r="952" spans="2:2" hidden="1" x14ac:dyDescent="0.2">
      <c r="B952" t="s">
        <v>64</v>
      </c>
    </row>
    <row r="953" spans="2:2" hidden="1" x14ac:dyDescent="0.2">
      <c r="B953" t="s">
        <v>64</v>
      </c>
    </row>
    <row r="954" spans="2:2" hidden="1" x14ac:dyDescent="0.2">
      <c r="B954" t="s">
        <v>64</v>
      </c>
    </row>
    <row r="955" spans="2:2" hidden="1" x14ac:dyDescent="0.2">
      <c r="B955" t="s">
        <v>64</v>
      </c>
    </row>
    <row r="956" spans="2:2" hidden="1" x14ac:dyDescent="0.2">
      <c r="B956" t="s">
        <v>64</v>
      </c>
    </row>
    <row r="957" spans="2:2" hidden="1" x14ac:dyDescent="0.2">
      <c r="B957" t="s">
        <v>64</v>
      </c>
    </row>
    <row r="958" spans="2:2" hidden="1" x14ac:dyDescent="0.2">
      <c r="B958" t="s">
        <v>64</v>
      </c>
    </row>
    <row r="959" spans="2:2" hidden="1" x14ac:dyDescent="0.2">
      <c r="B959" t="s">
        <v>64</v>
      </c>
    </row>
    <row r="960" spans="2:2" hidden="1" x14ac:dyDescent="0.2">
      <c r="B960" t="s">
        <v>64</v>
      </c>
    </row>
    <row r="961" spans="2:2" hidden="1" x14ac:dyDescent="0.2">
      <c r="B961" t="s">
        <v>64</v>
      </c>
    </row>
    <row r="962" spans="2:2" hidden="1" x14ac:dyDescent="0.2">
      <c r="B962" t="s">
        <v>64</v>
      </c>
    </row>
    <row r="963" spans="2:2" hidden="1" x14ac:dyDescent="0.2">
      <c r="B963" t="s">
        <v>64</v>
      </c>
    </row>
    <row r="964" spans="2:2" hidden="1" x14ac:dyDescent="0.2">
      <c r="B964" t="s">
        <v>64</v>
      </c>
    </row>
    <row r="965" spans="2:2" hidden="1" x14ac:dyDescent="0.2">
      <c r="B965" t="s">
        <v>64</v>
      </c>
    </row>
    <row r="966" spans="2:2" hidden="1" x14ac:dyDescent="0.2">
      <c r="B966" t="s">
        <v>64</v>
      </c>
    </row>
    <row r="967" spans="2:2" hidden="1" x14ac:dyDescent="0.2">
      <c r="B967" t="s">
        <v>64</v>
      </c>
    </row>
    <row r="968" spans="2:2" hidden="1" x14ac:dyDescent="0.2">
      <c r="B968" t="s">
        <v>64</v>
      </c>
    </row>
    <row r="969" spans="2:2" hidden="1" x14ac:dyDescent="0.2">
      <c r="B969" t="s">
        <v>64</v>
      </c>
    </row>
    <row r="970" spans="2:2" hidden="1" x14ac:dyDescent="0.2">
      <c r="B970" t="s">
        <v>64</v>
      </c>
    </row>
    <row r="971" spans="2:2" hidden="1" x14ac:dyDescent="0.2">
      <c r="B971" t="s">
        <v>64</v>
      </c>
    </row>
    <row r="972" spans="2:2" hidden="1" x14ac:dyDescent="0.2">
      <c r="B972" t="s">
        <v>64</v>
      </c>
    </row>
    <row r="973" spans="2:2" hidden="1" x14ac:dyDescent="0.2">
      <c r="B973" t="s">
        <v>64</v>
      </c>
    </row>
    <row r="974" spans="2:2" hidden="1" x14ac:dyDescent="0.2">
      <c r="B974" t="s">
        <v>64</v>
      </c>
    </row>
    <row r="975" spans="2:2" hidden="1" x14ac:dyDescent="0.2">
      <c r="B975" t="s">
        <v>64</v>
      </c>
    </row>
    <row r="976" spans="2:2" hidden="1" x14ac:dyDescent="0.2">
      <c r="B976" t="s">
        <v>64</v>
      </c>
    </row>
    <row r="977" spans="2:2" hidden="1" x14ac:dyDescent="0.2">
      <c r="B977" t="s">
        <v>64</v>
      </c>
    </row>
    <row r="978" spans="2:2" hidden="1" x14ac:dyDescent="0.2">
      <c r="B978" t="s">
        <v>64</v>
      </c>
    </row>
    <row r="979" spans="2:2" hidden="1" x14ac:dyDescent="0.2">
      <c r="B979" t="s">
        <v>64</v>
      </c>
    </row>
    <row r="980" spans="2:2" hidden="1" x14ac:dyDescent="0.2">
      <c r="B980" t="s">
        <v>64</v>
      </c>
    </row>
    <row r="981" spans="2:2" hidden="1" x14ac:dyDescent="0.2">
      <c r="B981" t="s">
        <v>64</v>
      </c>
    </row>
    <row r="982" spans="2:2" hidden="1" x14ac:dyDescent="0.2">
      <c r="B982" t="s">
        <v>64</v>
      </c>
    </row>
    <row r="983" spans="2:2" hidden="1" x14ac:dyDescent="0.2">
      <c r="B983" t="s">
        <v>64</v>
      </c>
    </row>
    <row r="984" spans="2:2" hidden="1" x14ac:dyDescent="0.2">
      <c r="B984" t="s">
        <v>64</v>
      </c>
    </row>
    <row r="985" spans="2:2" hidden="1" x14ac:dyDescent="0.2">
      <c r="B985" t="s">
        <v>64</v>
      </c>
    </row>
    <row r="986" spans="2:2" hidden="1" x14ac:dyDescent="0.2">
      <c r="B986" t="s">
        <v>64</v>
      </c>
    </row>
    <row r="987" spans="2:2" hidden="1" x14ac:dyDescent="0.2">
      <c r="B987" t="s">
        <v>64</v>
      </c>
    </row>
    <row r="988" spans="2:2" hidden="1" x14ac:dyDescent="0.2">
      <c r="B988" t="s">
        <v>64</v>
      </c>
    </row>
    <row r="989" spans="2:2" hidden="1" x14ac:dyDescent="0.2">
      <c r="B989" t="s">
        <v>64</v>
      </c>
    </row>
    <row r="990" spans="2:2" hidden="1" x14ac:dyDescent="0.2">
      <c r="B990" t="s">
        <v>64</v>
      </c>
    </row>
    <row r="991" spans="2:2" hidden="1" x14ac:dyDescent="0.2">
      <c r="B991" t="s">
        <v>64</v>
      </c>
    </row>
    <row r="992" spans="2:2" hidden="1" x14ac:dyDescent="0.2">
      <c r="B992" t="s">
        <v>64</v>
      </c>
    </row>
    <row r="993" spans="2:2" hidden="1" x14ac:dyDescent="0.2">
      <c r="B993" t="s">
        <v>64</v>
      </c>
    </row>
    <row r="994" spans="2:2" hidden="1" x14ac:dyDescent="0.2">
      <c r="B994" t="s">
        <v>64</v>
      </c>
    </row>
    <row r="995" spans="2:2" hidden="1" x14ac:dyDescent="0.2">
      <c r="B995" t="s">
        <v>64</v>
      </c>
    </row>
    <row r="996" spans="2:2" hidden="1" x14ac:dyDescent="0.2">
      <c r="B996" t="s">
        <v>64</v>
      </c>
    </row>
    <row r="997" spans="2:2" hidden="1" x14ac:dyDescent="0.2">
      <c r="B997" t="s">
        <v>64</v>
      </c>
    </row>
    <row r="998" spans="2:2" hidden="1" x14ac:dyDescent="0.2">
      <c r="B998" t="s">
        <v>64</v>
      </c>
    </row>
    <row r="999" spans="2:2" hidden="1" x14ac:dyDescent="0.2">
      <c r="B999" t="s">
        <v>64</v>
      </c>
    </row>
  </sheetData>
  <autoFilter ref="B1:H999" xr:uid="{46E0E6C5-8702-44A8-9A1C-5E108E8FD252}">
    <filterColumn colId="4">
      <filters>
        <filter val="C25F3TM250C"/>
      </filters>
    </filterColumn>
  </autoFilter>
  <conditionalFormatting sqref="F1:F1048576">
    <cfRule type="duplicateValues" dxfId="0" priority="1"/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9146-7370-47D8-B1F9-0F17F1D4F3ED}">
  <sheetPr codeName="Sheet3"/>
  <dimension ref="A1:E1000"/>
  <sheetViews>
    <sheetView workbookViewId="0"/>
  </sheetViews>
  <sheetFormatPr baseColWidth="10" defaultColWidth="8.83203125" defaultRowHeight="15" x14ac:dyDescent="0.2"/>
  <cols>
    <col min="1" max="3" width="19" customWidth="1"/>
    <col min="4" max="4" width="19" style="4" customWidth="1"/>
    <col min="5" max="5" width="19" customWidth="1"/>
  </cols>
  <sheetData>
    <row r="1" spans="1:5" x14ac:dyDescent="0.2">
      <c r="A1" s="5" t="s">
        <v>5</v>
      </c>
      <c r="B1" s="5" t="s">
        <v>1</v>
      </c>
      <c r="C1" s="5" t="s">
        <v>2</v>
      </c>
      <c r="D1" s="6" t="s">
        <v>6</v>
      </c>
      <c r="E1" s="5" t="s">
        <v>7</v>
      </c>
    </row>
    <row r="2" spans="1:5" x14ac:dyDescent="0.2">
      <c r="A2" s="3"/>
    </row>
    <row r="3" spans="1:5" x14ac:dyDescent="0.2">
      <c r="A3" s="3"/>
    </row>
    <row r="4" spans="1:5" x14ac:dyDescent="0.2">
      <c r="A4" s="3"/>
    </row>
    <row r="5" spans="1:5" x14ac:dyDescent="0.2">
      <c r="A5" s="3"/>
    </row>
    <row r="6" spans="1:5" x14ac:dyDescent="0.2">
      <c r="A6" s="3"/>
      <c r="D6"/>
    </row>
    <row r="7" spans="1:5" x14ac:dyDescent="0.2">
      <c r="A7" s="3"/>
    </row>
    <row r="8" spans="1:5" x14ac:dyDescent="0.2">
      <c r="A8" s="3"/>
    </row>
    <row r="9" spans="1:5" x14ac:dyDescent="0.2">
      <c r="A9" s="3"/>
    </row>
    <row r="10" spans="1:5" x14ac:dyDescent="0.2">
      <c r="A10" s="3"/>
    </row>
    <row r="11" spans="1:5" x14ac:dyDescent="0.2">
      <c r="A11" s="3"/>
    </row>
    <row r="12" spans="1:5" x14ac:dyDescent="0.2">
      <c r="A12" s="3"/>
    </row>
    <row r="13" spans="1:5" x14ac:dyDescent="0.2">
      <c r="A13" s="3"/>
    </row>
    <row r="14" spans="1:5" x14ac:dyDescent="0.2">
      <c r="A14" s="3"/>
    </row>
    <row r="15" spans="1:5" x14ac:dyDescent="0.2">
      <c r="A15" s="3"/>
    </row>
    <row r="16" spans="1:5" x14ac:dyDescent="0.2">
      <c r="A16" s="3"/>
    </row>
    <row r="17" spans="1:1" x14ac:dyDescent="0.2">
      <c r="A17" s="3"/>
    </row>
    <row r="18" spans="1:1" x14ac:dyDescent="0.2">
      <c r="A18" s="3"/>
    </row>
    <row r="19" spans="1:1" x14ac:dyDescent="0.2">
      <c r="A19" s="3"/>
    </row>
    <row r="20" spans="1:1" x14ac:dyDescent="0.2">
      <c r="A20" s="3"/>
    </row>
    <row r="21" spans="1:1" x14ac:dyDescent="0.2">
      <c r="A21" s="3"/>
    </row>
    <row r="22" spans="1:1" x14ac:dyDescent="0.2">
      <c r="A22" s="3"/>
    </row>
    <row r="23" spans="1:1" x14ac:dyDescent="0.2">
      <c r="A23" s="3"/>
    </row>
    <row r="24" spans="1:1" x14ac:dyDescent="0.2">
      <c r="A24" s="3"/>
    </row>
    <row r="25" spans="1:1" x14ac:dyDescent="0.2">
      <c r="A25" s="3"/>
    </row>
    <row r="26" spans="1:1" x14ac:dyDescent="0.2">
      <c r="A26" s="3"/>
    </row>
    <row r="27" spans="1:1" x14ac:dyDescent="0.2">
      <c r="A27" s="3"/>
    </row>
    <row r="28" spans="1:1" x14ac:dyDescent="0.2">
      <c r="A28" s="3"/>
    </row>
    <row r="29" spans="1:1" x14ac:dyDescent="0.2">
      <c r="A29" s="3"/>
    </row>
    <row r="30" spans="1:1" x14ac:dyDescent="0.2">
      <c r="A30" s="3"/>
    </row>
    <row r="31" spans="1:1" x14ac:dyDescent="0.2">
      <c r="A31" s="3"/>
    </row>
    <row r="32" spans="1:1" x14ac:dyDescent="0.2">
      <c r="A32" s="3"/>
    </row>
    <row r="33" spans="1:1" x14ac:dyDescent="0.2">
      <c r="A33" s="3"/>
    </row>
    <row r="34" spans="1:1" x14ac:dyDescent="0.2">
      <c r="A34" s="3"/>
    </row>
    <row r="35" spans="1:1" x14ac:dyDescent="0.2">
      <c r="A35" s="3"/>
    </row>
    <row r="36" spans="1:1" x14ac:dyDescent="0.2">
      <c r="A36" s="3"/>
    </row>
    <row r="37" spans="1:1" x14ac:dyDescent="0.2">
      <c r="A37" s="3"/>
    </row>
    <row r="38" spans="1:1" x14ac:dyDescent="0.2">
      <c r="A38" s="3"/>
    </row>
    <row r="39" spans="1:1" x14ac:dyDescent="0.2">
      <c r="A39" s="3"/>
    </row>
    <row r="40" spans="1:1" x14ac:dyDescent="0.2">
      <c r="A40" s="3"/>
    </row>
    <row r="41" spans="1:1" x14ac:dyDescent="0.2">
      <c r="A41" s="3"/>
    </row>
    <row r="42" spans="1:1" x14ac:dyDescent="0.2">
      <c r="A42" s="3"/>
    </row>
    <row r="43" spans="1:1" x14ac:dyDescent="0.2">
      <c r="A43" s="3"/>
    </row>
    <row r="44" spans="1:1" x14ac:dyDescent="0.2">
      <c r="A44" s="3"/>
    </row>
    <row r="45" spans="1:1" x14ac:dyDescent="0.2">
      <c r="A45" s="3"/>
    </row>
    <row r="46" spans="1:1" x14ac:dyDescent="0.2">
      <c r="A46" s="3"/>
    </row>
    <row r="47" spans="1:1" x14ac:dyDescent="0.2">
      <c r="A47" s="3"/>
    </row>
    <row r="48" spans="1:1" x14ac:dyDescent="0.2">
      <c r="A48" s="3"/>
    </row>
    <row r="49" spans="1:1" x14ac:dyDescent="0.2">
      <c r="A49" s="3"/>
    </row>
    <row r="50" spans="1:1" x14ac:dyDescent="0.2">
      <c r="A50" s="3"/>
    </row>
    <row r="51" spans="1:1" x14ac:dyDescent="0.2">
      <c r="A51" s="3"/>
    </row>
    <row r="52" spans="1:1" x14ac:dyDescent="0.2">
      <c r="A52" s="3"/>
    </row>
    <row r="53" spans="1:1" x14ac:dyDescent="0.2">
      <c r="A53" s="3"/>
    </row>
    <row r="54" spans="1:1" x14ac:dyDescent="0.2">
      <c r="A54" s="3"/>
    </row>
    <row r="55" spans="1:1" x14ac:dyDescent="0.2">
      <c r="A55" s="3"/>
    </row>
    <row r="56" spans="1:1" x14ac:dyDescent="0.2">
      <c r="A56" s="3"/>
    </row>
    <row r="57" spans="1:1" x14ac:dyDescent="0.2">
      <c r="A57" s="3"/>
    </row>
    <row r="58" spans="1:1" x14ac:dyDescent="0.2">
      <c r="A58" s="3"/>
    </row>
    <row r="59" spans="1:1" x14ac:dyDescent="0.2">
      <c r="A59" s="3"/>
    </row>
    <row r="60" spans="1:1" x14ac:dyDescent="0.2">
      <c r="A60" s="3"/>
    </row>
    <row r="61" spans="1:1" x14ac:dyDescent="0.2">
      <c r="A61" s="3"/>
    </row>
    <row r="62" spans="1:1" x14ac:dyDescent="0.2">
      <c r="A62" s="3"/>
    </row>
    <row r="63" spans="1:1" x14ac:dyDescent="0.2">
      <c r="A63" s="3"/>
    </row>
    <row r="64" spans="1:1" x14ac:dyDescent="0.2">
      <c r="A64" s="3"/>
    </row>
    <row r="65" spans="1:1" x14ac:dyDescent="0.2">
      <c r="A65" s="3"/>
    </row>
    <row r="66" spans="1:1" x14ac:dyDescent="0.2">
      <c r="A66" s="3"/>
    </row>
    <row r="67" spans="1:1" x14ac:dyDescent="0.2">
      <c r="A67" s="3"/>
    </row>
    <row r="68" spans="1:1" x14ac:dyDescent="0.2">
      <c r="A68" s="3"/>
    </row>
    <row r="69" spans="1:1" x14ac:dyDescent="0.2">
      <c r="A69" s="3"/>
    </row>
    <row r="70" spans="1:1" x14ac:dyDescent="0.2">
      <c r="A70" s="3"/>
    </row>
    <row r="71" spans="1:1" x14ac:dyDescent="0.2">
      <c r="A71" s="3"/>
    </row>
    <row r="72" spans="1:1" x14ac:dyDescent="0.2">
      <c r="A72" s="3"/>
    </row>
    <row r="73" spans="1:1" x14ac:dyDescent="0.2">
      <c r="A73" s="3"/>
    </row>
    <row r="74" spans="1:1" x14ac:dyDescent="0.2">
      <c r="A74" s="3"/>
    </row>
    <row r="75" spans="1:1" x14ac:dyDescent="0.2">
      <c r="A75" s="3"/>
    </row>
    <row r="76" spans="1:1" x14ac:dyDescent="0.2">
      <c r="A76" s="3"/>
    </row>
    <row r="77" spans="1:1" x14ac:dyDescent="0.2">
      <c r="A77" s="3"/>
    </row>
    <row r="78" spans="1:1" x14ac:dyDescent="0.2">
      <c r="A78" s="3"/>
    </row>
    <row r="79" spans="1:1" x14ac:dyDescent="0.2">
      <c r="A79" s="3"/>
    </row>
    <row r="80" spans="1:1" x14ac:dyDescent="0.2">
      <c r="A80" s="3"/>
    </row>
    <row r="81" spans="1:1" x14ac:dyDescent="0.2">
      <c r="A81" s="3"/>
    </row>
    <row r="82" spans="1:1" x14ac:dyDescent="0.2">
      <c r="A82" s="3"/>
    </row>
    <row r="83" spans="1:1" x14ac:dyDescent="0.2">
      <c r="A83" s="3"/>
    </row>
    <row r="84" spans="1:1" x14ac:dyDescent="0.2">
      <c r="A84" s="3"/>
    </row>
    <row r="85" spans="1:1" x14ac:dyDescent="0.2">
      <c r="A85" s="3"/>
    </row>
    <row r="86" spans="1:1" x14ac:dyDescent="0.2">
      <c r="A86" s="3"/>
    </row>
    <row r="87" spans="1:1" x14ac:dyDescent="0.2">
      <c r="A87" s="3"/>
    </row>
    <row r="88" spans="1:1" x14ac:dyDescent="0.2">
      <c r="A88" s="3"/>
    </row>
    <row r="89" spans="1:1" x14ac:dyDescent="0.2">
      <c r="A89" s="3"/>
    </row>
    <row r="90" spans="1:1" x14ac:dyDescent="0.2">
      <c r="A90" s="3"/>
    </row>
    <row r="91" spans="1:1" x14ac:dyDescent="0.2">
      <c r="A91" s="3"/>
    </row>
    <row r="92" spans="1:1" x14ac:dyDescent="0.2">
      <c r="A92" s="3"/>
    </row>
    <row r="93" spans="1:1" x14ac:dyDescent="0.2">
      <c r="A93" s="3"/>
    </row>
    <row r="94" spans="1:1" x14ac:dyDescent="0.2">
      <c r="A94" s="3"/>
    </row>
    <row r="95" spans="1:1" x14ac:dyDescent="0.2">
      <c r="A95" s="3"/>
    </row>
    <row r="96" spans="1:1" x14ac:dyDescent="0.2">
      <c r="A96" s="3"/>
    </row>
    <row r="97" spans="1:1" x14ac:dyDescent="0.2">
      <c r="A97" s="3"/>
    </row>
    <row r="98" spans="1:1" x14ac:dyDescent="0.2">
      <c r="A98" s="3"/>
    </row>
    <row r="99" spans="1:1" x14ac:dyDescent="0.2">
      <c r="A99" s="3"/>
    </row>
    <row r="100" spans="1:1" x14ac:dyDescent="0.2">
      <c r="A100" s="3"/>
    </row>
    <row r="101" spans="1:1" x14ac:dyDescent="0.2">
      <c r="A101" s="3"/>
    </row>
    <row r="102" spans="1:1" x14ac:dyDescent="0.2">
      <c r="A102" s="3"/>
    </row>
    <row r="103" spans="1:1" x14ac:dyDescent="0.2">
      <c r="A103" s="3"/>
    </row>
    <row r="104" spans="1:1" x14ac:dyDescent="0.2">
      <c r="A104" s="3"/>
    </row>
    <row r="105" spans="1:1" x14ac:dyDescent="0.2">
      <c r="A105" s="3"/>
    </row>
    <row r="106" spans="1:1" x14ac:dyDescent="0.2">
      <c r="A106" s="3"/>
    </row>
    <row r="107" spans="1:1" x14ac:dyDescent="0.2">
      <c r="A107" s="3"/>
    </row>
    <row r="108" spans="1:1" x14ac:dyDescent="0.2">
      <c r="A108" s="3"/>
    </row>
    <row r="109" spans="1:1" x14ac:dyDescent="0.2">
      <c r="A109" s="3"/>
    </row>
    <row r="110" spans="1:1" x14ac:dyDescent="0.2">
      <c r="A110" s="3"/>
    </row>
    <row r="111" spans="1:1" x14ac:dyDescent="0.2">
      <c r="A111" s="3"/>
    </row>
    <row r="112" spans="1:1" x14ac:dyDescent="0.2">
      <c r="A112" s="3"/>
    </row>
    <row r="113" spans="1:1" x14ac:dyDescent="0.2">
      <c r="A113" s="3"/>
    </row>
    <row r="114" spans="1:1" x14ac:dyDescent="0.2">
      <c r="A114" s="3"/>
    </row>
    <row r="115" spans="1:1" x14ac:dyDescent="0.2">
      <c r="A115" s="3"/>
    </row>
    <row r="116" spans="1:1" x14ac:dyDescent="0.2">
      <c r="A116" s="3"/>
    </row>
    <row r="117" spans="1:1" x14ac:dyDescent="0.2">
      <c r="A117" s="3"/>
    </row>
    <row r="118" spans="1:1" x14ac:dyDescent="0.2">
      <c r="A118" s="3"/>
    </row>
    <row r="119" spans="1:1" x14ac:dyDescent="0.2">
      <c r="A119" s="3"/>
    </row>
    <row r="120" spans="1:1" x14ac:dyDescent="0.2">
      <c r="A120" s="3"/>
    </row>
    <row r="121" spans="1:1" x14ac:dyDescent="0.2">
      <c r="A121" s="3"/>
    </row>
    <row r="122" spans="1:1" x14ac:dyDescent="0.2">
      <c r="A122" s="3"/>
    </row>
    <row r="123" spans="1:1" x14ac:dyDescent="0.2">
      <c r="A123" s="3"/>
    </row>
    <row r="124" spans="1:1" x14ac:dyDescent="0.2">
      <c r="A124" s="3"/>
    </row>
    <row r="125" spans="1:1" x14ac:dyDescent="0.2">
      <c r="A125" s="3"/>
    </row>
    <row r="126" spans="1:1" x14ac:dyDescent="0.2">
      <c r="A126" s="3"/>
    </row>
    <row r="127" spans="1:1" x14ac:dyDescent="0.2">
      <c r="A127" s="3"/>
    </row>
    <row r="128" spans="1:1" x14ac:dyDescent="0.2">
      <c r="A128" s="3"/>
    </row>
    <row r="129" spans="1:1" x14ac:dyDescent="0.2">
      <c r="A129" s="3"/>
    </row>
    <row r="130" spans="1:1" x14ac:dyDescent="0.2">
      <c r="A130" s="3"/>
    </row>
    <row r="131" spans="1:1" x14ac:dyDescent="0.2">
      <c r="A131" s="3"/>
    </row>
    <row r="132" spans="1:1" x14ac:dyDescent="0.2">
      <c r="A132" s="3"/>
    </row>
    <row r="133" spans="1:1" x14ac:dyDescent="0.2">
      <c r="A133" s="3"/>
    </row>
    <row r="134" spans="1:1" x14ac:dyDescent="0.2">
      <c r="A134" s="3"/>
    </row>
    <row r="135" spans="1:1" x14ac:dyDescent="0.2">
      <c r="A135" s="3"/>
    </row>
    <row r="136" spans="1:1" x14ac:dyDescent="0.2">
      <c r="A136" s="3"/>
    </row>
    <row r="137" spans="1:1" x14ac:dyDescent="0.2">
      <c r="A137" s="3"/>
    </row>
    <row r="138" spans="1:1" x14ac:dyDescent="0.2">
      <c r="A138" s="3"/>
    </row>
    <row r="139" spans="1:1" x14ac:dyDescent="0.2">
      <c r="A139" s="3"/>
    </row>
    <row r="140" spans="1:1" x14ac:dyDescent="0.2">
      <c r="A140" s="3"/>
    </row>
    <row r="141" spans="1:1" x14ac:dyDescent="0.2">
      <c r="A141" s="3"/>
    </row>
    <row r="142" spans="1:1" x14ac:dyDescent="0.2">
      <c r="A142" s="3"/>
    </row>
    <row r="143" spans="1:1" x14ac:dyDescent="0.2">
      <c r="A143" s="3"/>
    </row>
    <row r="144" spans="1:1" x14ac:dyDescent="0.2">
      <c r="A144" s="3"/>
    </row>
    <row r="145" spans="1:1" x14ac:dyDescent="0.2">
      <c r="A145" s="3"/>
    </row>
    <row r="146" spans="1:1" x14ac:dyDescent="0.2">
      <c r="A146" s="3"/>
    </row>
    <row r="147" spans="1:1" x14ac:dyDescent="0.2">
      <c r="A147" s="3"/>
    </row>
    <row r="148" spans="1:1" x14ac:dyDescent="0.2">
      <c r="A148" s="3"/>
    </row>
    <row r="149" spans="1:1" x14ac:dyDescent="0.2">
      <c r="A149" s="3"/>
    </row>
    <row r="150" spans="1:1" x14ac:dyDescent="0.2">
      <c r="A150" s="3"/>
    </row>
    <row r="151" spans="1:1" x14ac:dyDescent="0.2">
      <c r="A151" s="3"/>
    </row>
    <row r="152" spans="1:1" x14ac:dyDescent="0.2">
      <c r="A152" s="3"/>
    </row>
    <row r="153" spans="1:1" x14ac:dyDescent="0.2">
      <c r="A153" s="3"/>
    </row>
    <row r="154" spans="1:1" x14ac:dyDescent="0.2">
      <c r="A154" s="3"/>
    </row>
    <row r="155" spans="1:1" x14ac:dyDescent="0.2">
      <c r="A155" s="3"/>
    </row>
    <row r="156" spans="1:1" x14ac:dyDescent="0.2">
      <c r="A156" s="3"/>
    </row>
    <row r="157" spans="1:1" x14ac:dyDescent="0.2">
      <c r="A157" s="3"/>
    </row>
    <row r="158" spans="1:1" x14ac:dyDescent="0.2">
      <c r="A158" s="3"/>
    </row>
    <row r="159" spans="1:1" x14ac:dyDescent="0.2">
      <c r="A159" s="3"/>
    </row>
    <row r="160" spans="1:1" x14ac:dyDescent="0.2">
      <c r="A160" s="3"/>
    </row>
    <row r="161" spans="1:1" x14ac:dyDescent="0.2">
      <c r="A161" s="3"/>
    </row>
    <row r="162" spans="1:1" x14ac:dyDescent="0.2">
      <c r="A162" s="3"/>
    </row>
    <row r="163" spans="1:1" x14ac:dyDescent="0.2">
      <c r="A163" s="3"/>
    </row>
    <row r="164" spans="1:1" x14ac:dyDescent="0.2">
      <c r="A164" s="3"/>
    </row>
    <row r="165" spans="1:1" x14ac:dyDescent="0.2">
      <c r="A165" s="3"/>
    </row>
    <row r="166" spans="1:1" x14ac:dyDescent="0.2">
      <c r="A166" s="3"/>
    </row>
    <row r="167" spans="1:1" x14ac:dyDescent="0.2">
      <c r="A167" s="3"/>
    </row>
    <row r="168" spans="1:1" x14ac:dyDescent="0.2">
      <c r="A168" s="3"/>
    </row>
    <row r="169" spans="1:1" x14ac:dyDescent="0.2">
      <c r="A169" s="3"/>
    </row>
    <row r="170" spans="1:1" x14ac:dyDescent="0.2">
      <c r="A170" s="3"/>
    </row>
    <row r="171" spans="1:1" x14ac:dyDescent="0.2">
      <c r="A171" s="3"/>
    </row>
    <row r="172" spans="1:1" x14ac:dyDescent="0.2">
      <c r="A172" s="3"/>
    </row>
    <row r="173" spans="1:1" x14ac:dyDescent="0.2">
      <c r="A173" s="3"/>
    </row>
    <row r="174" spans="1:1" x14ac:dyDescent="0.2">
      <c r="A174" s="3"/>
    </row>
    <row r="175" spans="1:1" x14ac:dyDescent="0.2">
      <c r="A175" s="3"/>
    </row>
    <row r="176" spans="1:1" x14ac:dyDescent="0.2">
      <c r="A176" s="3"/>
    </row>
    <row r="177" spans="1:1" x14ac:dyDescent="0.2">
      <c r="A177" s="3"/>
    </row>
    <row r="178" spans="1:1" x14ac:dyDescent="0.2">
      <c r="A178" s="3"/>
    </row>
    <row r="179" spans="1:1" x14ac:dyDescent="0.2">
      <c r="A179" s="3"/>
    </row>
    <row r="180" spans="1:1" x14ac:dyDescent="0.2">
      <c r="A180" s="3"/>
    </row>
    <row r="181" spans="1:1" x14ac:dyDescent="0.2">
      <c r="A181" s="3"/>
    </row>
    <row r="182" spans="1:1" x14ac:dyDescent="0.2">
      <c r="A182" s="3"/>
    </row>
    <row r="183" spans="1:1" x14ac:dyDescent="0.2">
      <c r="A183" s="3"/>
    </row>
    <row r="184" spans="1:1" x14ac:dyDescent="0.2">
      <c r="A184" s="3"/>
    </row>
    <row r="185" spans="1:1" x14ac:dyDescent="0.2">
      <c r="A185" s="3"/>
    </row>
    <row r="186" spans="1:1" x14ac:dyDescent="0.2">
      <c r="A186" s="3"/>
    </row>
    <row r="187" spans="1:1" x14ac:dyDescent="0.2">
      <c r="A187" s="3"/>
    </row>
    <row r="188" spans="1:1" x14ac:dyDescent="0.2">
      <c r="A188" s="3"/>
    </row>
    <row r="189" spans="1:1" x14ac:dyDescent="0.2">
      <c r="A189" s="3"/>
    </row>
    <row r="190" spans="1:1" x14ac:dyDescent="0.2">
      <c r="A190" s="3"/>
    </row>
    <row r="191" spans="1:1" x14ac:dyDescent="0.2">
      <c r="A191" s="3"/>
    </row>
    <row r="192" spans="1:1" x14ac:dyDescent="0.2">
      <c r="A192" s="3"/>
    </row>
    <row r="193" spans="1:1" x14ac:dyDescent="0.2">
      <c r="A193" s="3"/>
    </row>
    <row r="194" spans="1:1" x14ac:dyDescent="0.2">
      <c r="A194" s="3"/>
    </row>
    <row r="195" spans="1:1" x14ac:dyDescent="0.2">
      <c r="A195" s="3"/>
    </row>
    <row r="196" spans="1:1" x14ac:dyDescent="0.2">
      <c r="A196" s="3"/>
    </row>
    <row r="197" spans="1:1" x14ac:dyDescent="0.2">
      <c r="A197" s="3"/>
    </row>
    <row r="198" spans="1:1" x14ac:dyDescent="0.2">
      <c r="A198" s="3"/>
    </row>
    <row r="199" spans="1:1" x14ac:dyDescent="0.2">
      <c r="A199" s="3"/>
    </row>
    <row r="200" spans="1:1" x14ac:dyDescent="0.2">
      <c r="A200" s="3"/>
    </row>
    <row r="201" spans="1:1" x14ac:dyDescent="0.2">
      <c r="A201" s="3"/>
    </row>
    <row r="202" spans="1:1" x14ac:dyDescent="0.2">
      <c r="A202" s="3"/>
    </row>
    <row r="203" spans="1:1" x14ac:dyDescent="0.2">
      <c r="A203" s="3"/>
    </row>
    <row r="204" spans="1:1" x14ac:dyDescent="0.2">
      <c r="A204" s="3"/>
    </row>
    <row r="205" spans="1:1" x14ac:dyDescent="0.2">
      <c r="A205" s="3"/>
    </row>
    <row r="206" spans="1:1" x14ac:dyDescent="0.2">
      <c r="A206" s="3"/>
    </row>
    <row r="207" spans="1:1" x14ac:dyDescent="0.2">
      <c r="A207" s="3"/>
    </row>
    <row r="208" spans="1:1" x14ac:dyDescent="0.2">
      <c r="A208" s="3"/>
    </row>
    <row r="209" spans="1:1" x14ac:dyDescent="0.2">
      <c r="A209" s="3"/>
    </row>
    <row r="210" spans="1:1" x14ac:dyDescent="0.2">
      <c r="A210" s="3"/>
    </row>
    <row r="211" spans="1:1" x14ac:dyDescent="0.2">
      <c r="A211" s="3"/>
    </row>
    <row r="212" spans="1:1" x14ac:dyDescent="0.2">
      <c r="A212" s="3"/>
    </row>
    <row r="213" spans="1:1" x14ac:dyDescent="0.2">
      <c r="A213" s="3"/>
    </row>
    <row r="214" spans="1:1" x14ac:dyDescent="0.2">
      <c r="A214" s="3"/>
    </row>
    <row r="215" spans="1:1" x14ac:dyDescent="0.2">
      <c r="A215" s="3"/>
    </row>
    <row r="216" spans="1:1" x14ac:dyDescent="0.2">
      <c r="A216" s="3"/>
    </row>
    <row r="217" spans="1:1" x14ac:dyDescent="0.2">
      <c r="A217" s="3"/>
    </row>
    <row r="218" spans="1:1" x14ac:dyDescent="0.2">
      <c r="A218" s="3"/>
    </row>
    <row r="219" spans="1:1" x14ac:dyDescent="0.2">
      <c r="A219" s="3"/>
    </row>
    <row r="220" spans="1:1" x14ac:dyDescent="0.2">
      <c r="A220" s="3"/>
    </row>
    <row r="221" spans="1:1" x14ac:dyDescent="0.2">
      <c r="A221" s="3"/>
    </row>
    <row r="222" spans="1:1" x14ac:dyDescent="0.2">
      <c r="A222" s="3"/>
    </row>
    <row r="223" spans="1:1" x14ac:dyDescent="0.2">
      <c r="A223" s="3"/>
    </row>
    <row r="224" spans="1:1" x14ac:dyDescent="0.2">
      <c r="A224" s="3"/>
    </row>
    <row r="225" spans="1:1" x14ac:dyDescent="0.2">
      <c r="A225" s="3"/>
    </row>
    <row r="226" spans="1:1" x14ac:dyDescent="0.2">
      <c r="A226" s="3"/>
    </row>
    <row r="227" spans="1:1" x14ac:dyDescent="0.2">
      <c r="A227" s="3"/>
    </row>
    <row r="228" spans="1:1" x14ac:dyDescent="0.2">
      <c r="A228" s="3"/>
    </row>
    <row r="229" spans="1:1" x14ac:dyDescent="0.2">
      <c r="A229" s="3"/>
    </row>
    <row r="230" spans="1:1" x14ac:dyDescent="0.2">
      <c r="A230" s="3"/>
    </row>
    <row r="231" spans="1:1" x14ac:dyDescent="0.2">
      <c r="A231" s="3"/>
    </row>
    <row r="232" spans="1:1" x14ac:dyDescent="0.2">
      <c r="A232" s="3"/>
    </row>
    <row r="233" spans="1:1" x14ac:dyDescent="0.2">
      <c r="A233" s="3"/>
    </row>
    <row r="234" spans="1:1" x14ac:dyDescent="0.2">
      <c r="A234" s="3"/>
    </row>
    <row r="235" spans="1:1" x14ac:dyDescent="0.2">
      <c r="A235" s="3"/>
    </row>
    <row r="236" spans="1:1" x14ac:dyDescent="0.2">
      <c r="A236" s="3"/>
    </row>
    <row r="237" spans="1:1" x14ac:dyDescent="0.2">
      <c r="A237" s="3"/>
    </row>
    <row r="238" spans="1:1" x14ac:dyDescent="0.2">
      <c r="A238" s="3"/>
    </row>
    <row r="239" spans="1:1" x14ac:dyDescent="0.2">
      <c r="A239" s="3"/>
    </row>
    <row r="240" spans="1:1" x14ac:dyDescent="0.2">
      <c r="A240" s="3"/>
    </row>
    <row r="241" spans="1:1" x14ac:dyDescent="0.2">
      <c r="A241" s="3"/>
    </row>
    <row r="242" spans="1:1" x14ac:dyDescent="0.2">
      <c r="A242" s="3"/>
    </row>
    <row r="243" spans="1:1" x14ac:dyDescent="0.2">
      <c r="A243" s="3"/>
    </row>
    <row r="244" spans="1:1" x14ac:dyDescent="0.2">
      <c r="A244" s="3"/>
    </row>
    <row r="245" spans="1:1" x14ac:dyDescent="0.2">
      <c r="A245" s="3"/>
    </row>
    <row r="246" spans="1:1" x14ac:dyDescent="0.2">
      <c r="A246" s="3"/>
    </row>
    <row r="247" spans="1:1" x14ac:dyDescent="0.2">
      <c r="A247" s="3"/>
    </row>
    <row r="248" spans="1:1" x14ac:dyDescent="0.2">
      <c r="A248" s="3"/>
    </row>
    <row r="249" spans="1:1" x14ac:dyDescent="0.2">
      <c r="A249" s="3"/>
    </row>
    <row r="250" spans="1:1" x14ac:dyDescent="0.2">
      <c r="A250" s="3"/>
    </row>
    <row r="251" spans="1:1" x14ac:dyDescent="0.2">
      <c r="A251" s="3"/>
    </row>
    <row r="252" spans="1:1" x14ac:dyDescent="0.2">
      <c r="A252" s="3"/>
    </row>
    <row r="253" spans="1:1" x14ac:dyDescent="0.2">
      <c r="A253" s="3"/>
    </row>
    <row r="254" spans="1:1" x14ac:dyDescent="0.2">
      <c r="A254" s="3"/>
    </row>
    <row r="255" spans="1:1" x14ac:dyDescent="0.2">
      <c r="A255" s="3"/>
    </row>
    <row r="256" spans="1:1" x14ac:dyDescent="0.2">
      <c r="A256" s="3"/>
    </row>
    <row r="257" spans="1:1" x14ac:dyDescent="0.2">
      <c r="A257" s="3"/>
    </row>
    <row r="258" spans="1:1" x14ac:dyDescent="0.2">
      <c r="A258" s="3"/>
    </row>
    <row r="259" spans="1:1" x14ac:dyDescent="0.2">
      <c r="A259" s="3"/>
    </row>
    <row r="260" spans="1:1" x14ac:dyDescent="0.2">
      <c r="A260" s="3"/>
    </row>
    <row r="261" spans="1:1" x14ac:dyDescent="0.2">
      <c r="A261" s="3"/>
    </row>
    <row r="262" spans="1:1" x14ac:dyDescent="0.2">
      <c r="A262" s="3"/>
    </row>
    <row r="263" spans="1:1" x14ac:dyDescent="0.2">
      <c r="A263" s="3"/>
    </row>
    <row r="264" spans="1:1" x14ac:dyDescent="0.2">
      <c r="A264" s="3"/>
    </row>
    <row r="265" spans="1:1" x14ac:dyDescent="0.2">
      <c r="A265" s="3"/>
    </row>
    <row r="266" spans="1:1" x14ac:dyDescent="0.2">
      <c r="A266" s="3"/>
    </row>
    <row r="267" spans="1:1" x14ac:dyDescent="0.2">
      <c r="A267" s="3"/>
    </row>
    <row r="268" spans="1:1" x14ac:dyDescent="0.2">
      <c r="A268" s="3"/>
    </row>
    <row r="269" spans="1:1" x14ac:dyDescent="0.2">
      <c r="A269" s="3"/>
    </row>
    <row r="270" spans="1:1" x14ac:dyDescent="0.2">
      <c r="A270" s="3"/>
    </row>
    <row r="271" spans="1:1" x14ac:dyDescent="0.2">
      <c r="A271" s="3"/>
    </row>
    <row r="272" spans="1:1" x14ac:dyDescent="0.2">
      <c r="A272" s="3"/>
    </row>
    <row r="273" spans="1:1" x14ac:dyDescent="0.2">
      <c r="A273" s="3"/>
    </row>
    <row r="274" spans="1:1" x14ac:dyDescent="0.2">
      <c r="A274" s="3"/>
    </row>
    <row r="275" spans="1:1" x14ac:dyDescent="0.2">
      <c r="A275" s="3"/>
    </row>
    <row r="276" spans="1:1" x14ac:dyDescent="0.2">
      <c r="A276" s="3"/>
    </row>
    <row r="277" spans="1:1" x14ac:dyDescent="0.2">
      <c r="A277" s="3"/>
    </row>
    <row r="278" spans="1:1" x14ac:dyDescent="0.2">
      <c r="A278" s="3"/>
    </row>
    <row r="279" spans="1:1" x14ac:dyDescent="0.2">
      <c r="A279" s="3"/>
    </row>
    <row r="280" spans="1:1" x14ac:dyDescent="0.2">
      <c r="A280" s="3"/>
    </row>
    <row r="281" spans="1:1" x14ac:dyDescent="0.2">
      <c r="A281" s="3"/>
    </row>
    <row r="282" spans="1:1" x14ac:dyDescent="0.2">
      <c r="A282" s="3"/>
    </row>
    <row r="283" spans="1:1" x14ac:dyDescent="0.2">
      <c r="A283" s="3"/>
    </row>
    <row r="284" spans="1:1" x14ac:dyDescent="0.2">
      <c r="A284" s="3"/>
    </row>
    <row r="285" spans="1:1" x14ac:dyDescent="0.2">
      <c r="A285" s="3"/>
    </row>
    <row r="286" spans="1:1" x14ac:dyDescent="0.2">
      <c r="A286" s="3"/>
    </row>
    <row r="287" spans="1:1" x14ac:dyDescent="0.2">
      <c r="A287" s="3"/>
    </row>
    <row r="288" spans="1:1" x14ac:dyDescent="0.2">
      <c r="A288" s="3"/>
    </row>
    <row r="289" spans="1:1" x14ac:dyDescent="0.2">
      <c r="A289" s="3"/>
    </row>
    <row r="290" spans="1:1" x14ac:dyDescent="0.2">
      <c r="A290" s="3"/>
    </row>
    <row r="291" spans="1:1" x14ac:dyDescent="0.2">
      <c r="A291" s="3"/>
    </row>
    <row r="292" spans="1:1" x14ac:dyDescent="0.2">
      <c r="A292" s="3"/>
    </row>
    <row r="293" spans="1:1" x14ac:dyDescent="0.2">
      <c r="A293" s="3"/>
    </row>
    <row r="294" spans="1:1" x14ac:dyDescent="0.2">
      <c r="A294" s="3"/>
    </row>
    <row r="295" spans="1:1" x14ac:dyDescent="0.2">
      <c r="A295" s="3"/>
    </row>
    <row r="296" spans="1:1" x14ac:dyDescent="0.2">
      <c r="A296" s="3"/>
    </row>
    <row r="297" spans="1:1" x14ac:dyDescent="0.2">
      <c r="A297" s="3"/>
    </row>
    <row r="298" spans="1:1" x14ac:dyDescent="0.2">
      <c r="A298" s="3"/>
    </row>
    <row r="299" spans="1:1" x14ac:dyDescent="0.2">
      <c r="A299" s="3"/>
    </row>
    <row r="300" spans="1:1" x14ac:dyDescent="0.2">
      <c r="A300" s="3"/>
    </row>
    <row r="301" spans="1:1" x14ac:dyDescent="0.2">
      <c r="A301" s="3"/>
    </row>
    <row r="302" spans="1:1" x14ac:dyDescent="0.2">
      <c r="A302" s="3"/>
    </row>
    <row r="303" spans="1:1" x14ac:dyDescent="0.2">
      <c r="A303" s="3"/>
    </row>
    <row r="304" spans="1:1" x14ac:dyDescent="0.2">
      <c r="A304" s="3"/>
    </row>
    <row r="305" spans="1:1" x14ac:dyDescent="0.2">
      <c r="A305" s="3"/>
    </row>
    <row r="306" spans="1:1" x14ac:dyDescent="0.2">
      <c r="A306" s="3"/>
    </row>
    <row r="307" spans="1:1" x14ac:dyDescent="0.2">
      <c r="A307" s="3"/>
    </row>
    <row r="308" spans="1:1" x14ac:dyDescent="0.2">
      <c r="A308" s="3"/>
    </row>
    <row r="309" spans="1:1" x14ac:dyDescent="0.2">
      <c r="A309" s="3"/>
    </row>
    <row r="310" spans="1:1" x14ac:dyDescent="0.2">
      <c r="A310" s="3"/>
    </row>
    <row r="311" spans="1:1" x14ac:dyDescent="0.2">
      <c r="A311" s="3"/>
    </row>
    <row r="312" spans="1:1" x14ac:dyDescent="0.2">
      <c r="A312" s="3"/>
    </row>
    <row r="313" spans="1:1" x14ac:dyDescent="0.2">
      <c r="A313" s="3"/>
    </row>
    <row r="314" spans="1:1" x14ac:dyDescent="0.2">
      <c r="A314" s="3"/>
    </row>
    <row r="315" spans="1:1" x14ac:dyDescent="0.2">
      <c r="A315" s="3"/>
    </row>
    <row r="316" spans="1:1" x14ac:dyDescent="0.2">
      <c r="A316" s="3"/>
    </row>
    <row r="317" spans="1:1" x14ac:dyDescent="0.2">
      <c r="A317" s="3"/>
    </row>
    <row r="318" spans="1:1" x14ac:dyDescent="0.2">
      <c r="A318" s="3"/>
    </row>
    <row r="319" spans="1:1" x14ac:dyDescent="0.2">
      <c r="A319" s="3"/>
    </row>
    <row r="320" spans="1:1" x14ac:dyDescent="0.2">
      <c r="A320" s="3"/>
    </row>
    <row r="321" spans="1:1" x14ac:dyDescent="0.2">
      <c r="A321" s="3"/>
    </row>
    <row r="322" spans="1:1" x14ac:dyDescent="0.2">
      <c r="A322" s="3"/>
    </row>
    <row r="323" spans="1:1" x14ac:dyDescent="0.2">
      <c r="A323" s="3"/>
    </row>
    <row r="324" spans="1:1" x14ac:dyDescent="0.2">
      <c r="A324" s="3"/>
    </row>
    <row r="325" spans="1:1" x14ac:dyDescent="0.2">
      <c r="A325" s="3"/>
    </row>
    <row r="326" spans="1:1" x14ac:dyDescent="0.2">
      <c r="A326" s="3"/>
    </row>
    <row r="327" spans="1:1" x14ac:dyDescent="0.2">
      <c r="A327" s="3"/>
    </row>
    <row r="328" spans="1:1" x14ac:dyDescent="0.2">
      <c r="A328" s="3"/>
    </row>
    <row r="329" spans="1:1" x14ac:dyDescent="0.2">
      <c r="A329" s="3"/>
    </row>
    <row r="330" spans="1:1" x14ac:dyDescent="0.2">
      <c r="A330" s="3"/>
    </row>
    <row r="331" spans="1:1" x14ac:dyDescent="0.2">
      <c r="A331" s="3"/>
    </row>
    <row r="332" spans="1:1" x14ac:dyDescent="0.2">
      <c r="A332" s="3"/>
    </row>
    <row r="333" spans="1:1" x14ac:dyDescent="0.2">
      <c r="A333" s="3"/>
    </row>
    <row r="334" spans="1:1" x14ac:dyDescent="0.2">
      <c r="A334" s="3"/>
    </row>
    <row r="335" spans="1:1" x14ac:dyDescent="0.2">
      <c r="A335" s="3"/>
    </row>
    <row r="336" spans="1:1" x14ac:dyDescent="0.2">
      <c r="A336" s="3"/>
    </row>
    <row r="337" spans="1:1" x14ac:dyDescent="0.2">
      <c r="A337" s="3"/>
    </row>
    <row r="338" spans="1:1" x14ac:dyDescent="0.2">
      <c r="A338" s="3"/>
    </row>
    <row r="339" spans="1:1" x14ac:dyDescent="0.2">
      <c r="A339" s="3"/>
    </row>
    <row r="340" spans="1:1" x14ac:dyDescent="0.2">
      <c r="A340" s="3"/>
    </row>
    <row r="341" spans="1:1" x14ac:dyDescent="0.2">
      <c r="A341" s="3"/>
    </row>
    <row r="342" spans="1:1" x14ac:dyDescent="0.2">
      <c r="A342" s="3"/>
    </row>
    <row r="343" spans="1:1" x14ac:dyDescent="0.2">
      <c r="A343" s="3"/>
    </row>
    <row r="344" spans="1:1" x14ac:dyDescent="0.2">
      <c r="A344" s="3"/>
    </row>
    <row r="345" spans="1:1" x14ac:dyDescent="0.2">
      <c r="A345" s="3"/>
    </row>
    <row r="346" spans="1:1" x14ac:dyDescent="0.2">
      <c r="A346" s="3"/>
    </row>
    <row r="347" spans="1:1" x14ac:dyDescent="0.2">
      <c r="A347" s="3"/>
    </row>
    <row r="348" spans="1:1" x14ac:dyDescent="0.2">
      <c r="A348" s="3"/>
    </row>
    <row r="349" spans="1:1" x14ac:dyDescent="0.2">
      <c r="A349" s="3"/>
    </row>
    <row r="350" spans="1:1" x14ac:dyDescent="0.2">
      <c r="A350" s="3"/>
    </row>
    <row r="351" spans="1:1" x14ac:dyDescent="0.2">
      <c r="A351" s="3"/>
    </row>
    <row r="352" spans="1:1" x14ac:dyDescent="0.2">
      <c r="A352" s="3"/>
    </row>
    <row r="353" spans="1:1" x14ac:dyDescent="0.2">
      <c r="A353" s="3"/>
    </row>
    <row r="354" spans="1:1" x14ac:dyDescent="0.2">
      <c r="A354" s="3"/>
    </row>
    <row r="355" spans="1:1" x14ac:dyDescent="0.2">
      <c r="A355" s="3"/>
    </row>
    <row r="356" spans="1:1" x14ac:dyDescent="0.2">
      <c r="A356" s="3"/>
    </row>
    <row r="357" spans="1:1" x14ac:dyDescent="0.2">
      <c r="A357" s="3"/>
    </row>
    <row r="358" spans="1:1" x14ac:dyDescent="0.2">
      <c r="A358" s="3"/>
    </row>
    <row r="359" spans="1:1" x14ac:dyDescent="0.2">
      <c r="A359" s="3"/>
    </row>
    <row r="360" spans="1:1" x14ac:dyDescent="0.2">
      <c r="A360" s="3"/>
    </row>
    <row r="361" spans="1:1" x14ac:dyDescent="0.2">
      <c r="A361" s="3"/>
    </row>
    <row r="362" spans="1:1" x14ac:dyDescent="0.2">
      <c r="A362" s="3"/>
    </row>
    <row r="363" spans="1:1" x14ac:dyDescent="0.2">
      <c r="A363" s="3"/>
    </row>
    <row r="364" spans="1:1" x14ac:dyDescent="0.2">
      <c r="A364" s="3"/>
    </row>
    <row r="365" spans="1:1" x14ac:dyDescent="0.2">
      <c r="A365" s="3"/>
    </row>
    <row r="366" spans="1:1" x14ac:dyDescent="0.2">
      <c r="A366" s="3"/>
    </row>
    <row r="367" spans="1:1" x14ac:dyDescent="0.2">
      <c r="A367" s="3"/>
    </row>
    <row r="368" spans="1:1" x14ac:dyDescent="0.2">
      <c r="A368" s="3"/>
    </row>
    <row r="369" spans="1:1" x14ac:dyDescent="0.2">
      <c r="A369" s="3"/>
    </row>
    <row r="370" spans="1:1" x14ac:dyDescent="0.2">
      <c r="A370" s="3"/>
    </row>
    <row r="371" spans="1:1" x14ac:dyDescent="0.2">
      <c r="A371" s="3"/>
    </row>
    <row r="372" spans="1:1" x14ac:dyDescent="0.2">
      <c r="A372" s="3"/>
    </row>
    <row r="373" spans="1:1" x14ac:dyDescent="0.2">
      <c r="A373" s="3"/>
    </row>
    <row r="374" spans="1:1" x14ac:dyDescent="0.2">
      <c r="A374" s="3"/>
    </row>
    <row r="375" spans="1:1" x14ac:dyDescent="0.2">
      <c r="A375" s="3"/>
    </row>
    <row r="376" spans="1:1" x14ac:dyDescent="0.2">
      <c r="A376" s="3"/>
    </row>
    <row r="377" spans="1:1" x14ac:dyDescent="0.2">
      <c r="A377" s="3"/>
    </row>
    <row r="378" spans="1:1" x14ac:dyDescent="0.2">
      <c r="A378" s="3"/>
    </row>
    <row r="379" spans="1:1" x14ac:dyDescent="0.2">
      <c r="A379" s="3"/>
    </row>
    <row r="380" spans="1:1" x14ac:dyDescent="0.2">
      <c r="A380" s="3"/>
    </row>
    <row r="381" spans="1:1" x14ac:dyDescent="0.2">
      <c r="A381" s="3"/>
    </row>
    <row r="382" spans="1:1" x14ac:dyDescent="0.2">
      <c r="A382" s="3"/>
    </row>
    <row r="383" spans="1:1" x14ac:dyDescent="0.2">
      <c r="A383" s="3"/>
    </row>
    <row r="384" spans="1:1" x14ac:dyDescent="0.2">
      <c r="A384" s="3"/>
    </row>
    <row r="385" spans="1:1" x14ac:dyDescent="0.2">
      <c r="A385" s="3"/>
    </row>
    <row r="386" spans="1:1" x14ac:dyDescent="0.2">
      <c r="A386" s="3"/>
    </row>
    <row r="387" spans="1:1" x14ac:dyDescent="0.2">
      <c r="A387" s="3"/>
    </row>
    <row r="388" spans="1:1" x14ac:dyDescent="0.2">
      <c r="A388" s="3"/>
    </row>
    <row r="389" spans="1:1" x14ac:dyDescent="0.2">
      <c r="A389" s="3"/>
    </row>
    <row r="390" spans="1:1" x14ac:dyDescent="0.2">
      <c r="A390" s="3"/>
    </row>
    <row r="391" spans="1:1" x14ac:dyDescent="0.2">
      <c r="A391" s="3"/>
    </row>
    <row r="392" spans="1:1" x14ac:dyDescent="0.2">
      <c r="A392" s="3"/>
    </row>
    <row r="393" spans="1:1" x14ac:dyDescent="0.2">
      <c r="A393" s="3"/>
    </row>
    <row r="394" spans="1:1" x14ac:dyDescent="0.2">
      <c r="A394" s="3"/>
    </row>
    <row r="395" spans="1:1" x14ac:dyDescent="0.2">
      <c r="A395" s="3"/>
    </row>
    <row r="396" spans="1:1" x14ac:dyDescent="0.2">
      <c r="A396" s="3"/>
    </row>
    <row r="397" spans="1:1" x14ac:dyDescent="0.2">
      <c r="A397" s="3"/>
    </row>
    <row r="398" spans="1:1" x14ac:dyDescent="0.2">
      <c r="A398" s="3"/>
    </row>
    <row r="399" spans="1:1" x14ac:dyDescent="0.2">
      <c r="A399" s="3"/>
    </row>
    <row r="400" spans="1:1" x14ac:dyDescent="0.2">
      <c r="A400" s="3"/>
    </row>
    <row r="401" spans="1:1" x14ac:dyDescent="0.2">
      <c r="A401" s="3"/>
    </row>
    <row r="402" spans="1:1" x14ac:dyDescent="0.2">
      <c r="A402" s="3"/>
    </row>
    <row r="403" spans="1:1" x14ac:dyDescent="0.2">
      <c r="A403" s="3"/>
    </row>
    <row r="404" spans="1:1" x14ac:dyDescent="0.2">
      <c r="A404" s="3"/>
    </row>
    <row r="405" spans="1:1" x14ac:dyDescent="0.2">
      <c r="A405" s="3"/>
    </row>
    <row r="406" spans="1:1" x14ac:dyDescent="0.2">
      <c r="A406" s="3"/>
    </row>
    <row r="407" spans="1:1" x14ac:dyDescent="0.2">
      <c r="A407" s="3"/>
    </row>
    <row r="408" spans="1:1" x14ac:dyDescent="0.2">
      <c r="A408" s="3"/>
    </row>
    <row r="409" spans="1:1" x14ac:dyDescent="0.2">
      <c r="A409" s="3"/>
    </row>
    <row r="410" spans="1:1" x14ac:dyDescent="0.2">
      <c r="A410" s="3"/>
    </row>
    <row r="411" spans="1:1" x14ac:dyDescent="0.2">
      <c r="A411" s="3"/>
    </row>
    <row r="412" spans="1:1" x14ac:dyDescent="0.2">
      <c r="A412" s="3"/>
    </row>
    <row r="413" spans="1:1" x14ac:dyDescent="0.2">
      <c r="A413" s="3"/>
    </row>
    <row r="414" spans="1:1" x14ac:dyDescent="0.2">
      <c r="A414" s="3"/>
    </row>
    <row r="415" spans="1:1" x14ac:dyDescent="0.2">
      <c r="A415" s="3"/>
    </row>
    <row r="416" spans="1:1" x14ac:dyDescent="0.2">
      <c r="A416" s="3"/>
    </row>
    <row r="417" spans="1:1" x14ac:dyDescent="0.2">
      <c r="A417" s="3"/>
    </row>
    <row r="418" spans="1:1" x14ac:dyDescent="0.2">
      <c r="A418" s="3"/>
    </row>
    <row r="419" spans="1:1" x14ac:dyDescent="0.2">
      <c r="A419" s="3"/>
    </row>
    <row r="420" spans="1:1" x14ac:dyDescent="0.2">
      <c r="A420" s="3"/>
    </row>
    <row r="421" spans="1:1" x14ac:dyDescent="0.2">
      <c r="A421" s="3"/>
    </row>
    <row r="422" spans="1:1" x14ac:dyDescent="0.2">
      <c r="A422" s="3"/>
    </row>
    <row r="423" spans="1:1" x14ac:dyDescent="0.2">
      <c r="A423" s="3"/>
    </row>
    <row r="424" spans="1:1" x14ac:dyDescent="0.2">
      <c r="A424" s="3"/>
    </row>
    <row r="425" spans="1:1" x14ac:dyDescent="0.2">
      <c r="A425" s="3"/>
    </row>
    <row r="426" spans="1:1" x14ac:dyDescent="0.2">
      <c r="A426" s="3"/>
    </row>
    <row r="427" spans="1:1" x14ac:dyDescent="0.2">
      <c r="A427" s="3"/>
    </row>
    <row r="428" spans="1:1" x14ac:dyDescent="0.2">
      <c r="A428" s="3"/>
    </row>
    <row r="429" spans="1:1" x14ac:dyDescent="0.2">
      <c r="A429" s="3"/>
    </row>
    <row r="430" spans="1:1" x14ac:dyDescent="0.2">
      <c r="A430" s="3"/>
    </row>
    <row r="431" spans="1:1" x14ac:dyDescent="0.2">
      <c r="A431" s="3"/>
    </row>
    <row r="432" spans="1:1" x14ac:dyDescent="0.2">
      <c r="A432" s="3"/>
    </row>
    <row r="433" spans="1:1" x14ac:dyDescent="0.2">
      <c r="A433" s="3"/>
    </row>
    <row r="434" spans="1:1" x14ac:dyDescent="0.2">
      <c r="A434" s="3"/>
    </row>
    <row r="435" spans="1:1" x14ac:dyDescent="0.2">
      <c r="A435" s="3"/>
    </row>
    <row r="436" spans="1:1" x14ac:dyDescent="0.2">
      <c r="A436" s="3"/>
    </row>
    <row r="437" spans="1:1" x14ac:dyDescent="0.2">
      <c r="A437" s="3"/>
    </row>
    <row r="438" spans="1:1" x14ac:dyDescent="0.2">
      <c r="A438" s="3"/>
    </row>
    <row r="439" spans="1:1" x14ac:dyDescent="0.2">
      <c r="A439" s="3"/>
    </row>
    <row r="440" spans="1:1" x14ac:dyDescent="0.2">
      <c r="A440" s="3"/>
    </row>
    <row r="441" spans="1:1" x14ac:dyDescent="0.2">
      <c r="A441" s="3"/>
    </row>
    <row r="442" spans="1:1" x14ac:dyDescent="0.2">
      <c r="A442" s="3"/>
    </row>
    <row r="443" spans="1:1" x14ac:dyDescent="0.2">
      <c r="A443" s="3"/>
    </row>
    <row r="444" spans="1:1" x14ac:dyDescent="0.2">
      <c r="A444" s="3"/>
    </row>
    <row r="445" spans="1:1" x14ac:dyDescent="0.2">
      <c r="A445" s="3"/>
    </row>
    <row r="446" spans="1:1" x14ac:dyDescent="0.2">
      <c r="A446" s="3"/>
    </row>
    <row r="447" spans="1:1" x14ac:dyDescent="0.2">
      <c r="A447" s="3"/>
    </row>
    <row r="448" spans="1:1" x14ac:dyDescent="0.2">
      <c r="A448" s="3"/>
    </row>
    <row r="449" spans="1:1" x14ac:dyDescent="0.2">
      <c r="A449" s="3"/>
    </row>
    <row r="450" spans="1:1" x14ac:dyDescent="0.2">
      <c r="A450" s="3"/>
    </row>
    <row r="451" spans="1:1" x14ac:dyDescent="0.2">
      <c r="A451" s="3"/>
    </row>
    <row r="452" spans="1:1" x14ac:dyDescent="0.2">
      <c r="A452" s="3"/>
    </row>
    <row r="453" spans="1:1" x14ac:dyDescent="0.2">
      <c r="A453" s="3"/>
    </row>
    <row r="454" spans="1:1" x14ac:dyDescent="0.2">
      <c r="A454" s="3"/>
    </row>
    <row r="455" spans="1:1" x14ac:dyDescent="0.2">
      <c r="A455" s="3"/>
    </row>
    <row r="456" spans="1:1" x14ac:dyDescent="0.2">
      <c r="A456" s="3"/>
    </row>
    <row r="457" spans="1:1" x14ac:dyDescent="0.2">
      <c r="A457" s="3"/>
    </row>
    <row r="458" spans="1:1" x14ac:dyDescent="0.2">
      <c r="A458" s="3"/>
    </row>
    <row r="459" spans="1:1" x14ac:dyDescent="0.2">
      <c r="A459" s="3"/>
    </row>
    <row r="460" spans="1:1" x14ac:dyDescent="0.2">
      <c r="A460" s="3"/>
    </row>
    <row r="461" spans="1:1" x14ac:dyDescent="0.2">
      <c r="A461" s="3"/>
    </row>
    <row r="462" spans="1:1" x14ac:dyDescent="0.2">
      <c r="A462" s="3"/>
    </row>
    <row r="463" spans="1:1" x14ac:dyDescent="0.2">
      <c r="A463" s="3"/>
    </row>
    <row r="464" spans="1:1" x14ac:dyDescent="0.2">
      <c r="A464" s="3"/>
    </row>
    <row r="465" spans="1:1" x14ac:dyDescent="0.2">
      <c r="A465" s="3"/>
    </row>
    <row r="466" spans="1:1" x14ac:dyDescent="0.2">
      <c r="A466" s="3"/>
    </row>
    <row r="467" spans="1:1" x14ac:dyDescent="0.2">
      <c r="A467" s="3"/>
    </row>
    <row r="468" spans="1:1" x14ac:dyDescent="0.2">
      <c r="A468" s="3"/>
    </row>
    <row r="469" spans="1:1" x14ac:dyDescent="0.2">
      <c r="A469" s="3"/>
    </row>
    <row r="470" spans="1:1" x14ac:dyDescent="0.2">
      <c r="A470" s="3"/>
    </row>
    <row r="471" spans="1:1" x14ac:dyDescent="0.2">
      <c r="A471" s="3"/>
    </row>
    <row r="472" spans="1:1" x14ac:dyDescent="0.2">
      <c r="A472" s="3"/>
    </row>
    <row r="473" spans="1:1" x14ac:dyDescent="0.2">
      <c r="A473" s="3"/>
    </row>
    <row r="474" spans="1:1" x14ac:dyDescent="0.2">
      <c r="A474" s="3"/>
    </row>
    <row r="475" spans="1:1" x14ac:dyDescent="0.2">
      <c r="A475" s="3"/>
    </row>
    <row r="476" spans="1:1" x14ac:dyDescent="0.2">
      <c r="A476" s="3"/>
    </row>
    <row r="477" spans="1:1" x14ac:dyDescent="0.2">
      <c r="A477" s="3"/>
    </row>
    <row r="478" spans="1:1" x14ac:dyDescent="0.2">
      <c r="A478" s="3"/>
    </row>
    <row r="479" spans="1:1" x14ac:dyDescent="0.2">
      <c r="A479" s="3"/>
    </row>
    <row r="480" spans="1:1" x14ac:dyDescent="0.2">
      <c r="A480" s="3"/>
    </row>
    <row r="481" spans="1:1" x14ac:dyDescent="0.2">
      <c r="A481" s="3"/>
    </row>
    <row r="482" spans="1:1" x14ac:dyDescent="0.2">
      <c r="A482" s="3"/>
    </row>
    <row r="483" spans="1:1" x14ac:dyDescent="0.2">
      <c r="A483" s="3"/>
    </row>
    <row r="484" spans="1:1" x14ac:dyDescent="0.2">
      <c r="A484" s="3"/>
    </row>
    <row r="485" spans="1:1" x14ac:dyDescent="0.2">
      <c r="A485" s="3"/>
    </row>
    <row r="486" spans="1:1" x14ac:dyDescent="0.2">
      <c r="A486" s="3"/>
    </row>
    <row r="487" spans="1:1" x14ac:dyDescent="0.2">
      <c r="A487" s="3"/>
    </row>
    <row r="488" spans="1:1" x14ac:dyDescent="0.2">
      <c r="A488" s="3"/>
    </row>
    <row r="489" spans="1:1" x14ac:dyDescent="0.2">
      <c r="A489" s="3"/>
    </row>
    <row r="490" spans="1:1" x14ac:dyDescent="0.2">
      <c r="A490" s="3"/>
    </row>
    <row r="491" spans="1:1" x14ac:dyDescent="0.2">
      <c r="A491" s="3"/>
    </row>
    <row r="492" spans="1:1" x14ac:dyDescent="0.2">
      <c r="A492" s="3"/>
    </row>
    <row r="493" spans="1:1" x14ac:dyDescent="0.2">
      <c r="A493" s="3"/>
    </row>
    <row r="494" spans="1:1" x14ac:dyDescent="0.2">
      <c r="A494" s="3"/>
    </row>
    <row r="495" spans="1:1" x14ac:dyDescent="0.2">
      <c r="A495" s="3"/>
    </row>
    <row r="496" spans="1:1" x14ac:dyDescent="0.2">
      <c r="A496" s="3"/>
    </row>
    <row r="497" spans="1:1" x14ac:dyDescent="0.2">
      <c r="A497" s="3"/>
    </row>
    <row r="498" spans="1:1" x14ac:dyDescent="0.2">
      <c r="A498" s="3"/>
    </row>
    <row r="499" spans="1:1" x14ac:dyDescent="0.2">
      <c r="A499" s="3"/>
    </row>
    <row r="500" spans="1:1" x14ac:dyDescent="0.2">
      <c r="A500" s="3"/>
    </row>
    <row r="501" spans="1:1" x14ac:dyDescent="0.2">
      <c r="A501" s="3"/>
    </row>
    <row r="502" spans="1:1" x14ac:dyDescent="0.2">
      <c r="A502" s="3"/>
    </row>
    <row r="503" spans="1:1" x14ac:dyDescent="0.2">
      <c r="A503" s="3"/>
    </row>
    <row r="504" spans="1:1" x14ac:dyDescent="0.2">
      <c r="A504" s="3"/>
    </row>
    <row r="505" spans="1:1" x14ac:dyDescent="0.2">
      <c r="A505" s="3"/>
    </row>
    <row r="506" spans="1:1" x14ac:dyDescent="0.2">
      <c r="A506" s="3"/>
    </row>
    <row r="507" spans="1:1" x14ac:dyDescent="0.2">
      <c r="A507" s="3"/>
    </row>
    <row r="508" spans="1:1" x14ac:dyDescent="0.2">
      <c r="A508" s="3"/>
    </row>
    <row r="509" spans="1:1" x14ac:dyDescent="0.2">
      <c r="A509" s="3"/>
    </row>
    <row r="510" spans="1:1" x14ac:dyDescent="0.2">
      <c r="A510" s="3"/>
    </row>
    <row r="511" spans="1:1" x14ac:dyDescent="0.2">
      <c r="A511" s="3"/>
    </row>
    <row r="512" spans="1:1" x14ac:dyDescent="0.2">
      <c r="A512" s="3"/>
    </row>
    <row r="513" spans="1:1" x14ac:dyDescent="0.2">
      <c r="A513" s="3"/>
    </row>
    <row r="514" spans="1:1" x14ac:dyDescent="0.2">
      <c r="A514" s="3"/>
    </row>
    <row r="515" spans="1:1" x14ac:dyDescent="0.2">
      <c r="A515" s="3"/>
    </row>
    <row r="516" spans="1:1" x14ac:dyDescent="0.2">
      <c r="A516" s="3"/>
    </row>
    <row r="517" spans="1:1" x14ac:dyDescent="0.2">
      <c r="A517" s="3"/>
    </row>
    <row r="518" spans="1:1" x14ac:dyDescent="0.2">
      <c r="A518" s="3"/>
    </row>
    <row r="519" spans="1:1" x14ac:dyDescent="0.2">
      <c r="A519" s="3"/>
    </row>
    <row r="520" spans="1:1" x14ac:dyDescent="0.2">
      <c r="A520" s="3"/>
    </row>
    <row r="521" spans="1:1" x14ac:dyDescent="0.2">
      <c r="A521" s="3"/>
    </row>
    <row r="522" spans="1:1" x14ac:dyDescent="0.2">
      <c r="A522" s="3"/>
    </row>
    <row r="523" spans="1:1" x14ac:dyDescent="0.2">
      <c r="A523" s="3"/>
    </row>
    <row r="524" spans="1:1" x14ac:dyDescent="0.2">
      <c r="A524" s="3"/>
    </row>
    <row r="525" spans="1:1" x14ac:dyDescent="0.2">
      <c r="A525" s="3"/>
    </row>
    <row r="526" spans="1:1" x14ac:dyDescent="0.2">
      <c r="A526" s="3"/>
    </row>
    <row r="527" spans="1:1" x14ac:dyDescent="0.2">
      <c r="A527" s="3"/>
    </row>
    <row r="528" spans="1:1" x14ac:dyDescent="0.2">
      <c r="A528" s="3"/>
    </row>
    <row r="529" spans="1:1" x14ac:dyDescent="0.2">
      <c r="A529" s="3"/>
    </row>
    <row r="530" spans="1:1" x14ac:dyDescent="0.2">
      <c r="A530" s="3"/>
    </row>
    <row r="531" spans="1:1" x14ac:dyDescent="0.2">
      <c r="A531" s="3"/>
    </row>
    <row r="532" spans="1:1" x14ac:dyDescent="0.2">
      <c r="A532" s="3"/>
    </row>
    <row r="533" spans="1:1" x14ac:dyDescent="0.2">
      <c r="A533" s="3"/>
    </row>
    <row r="534" spans="1:1" x14ac:dyDescent="0.2">
      <c r="A534" s="3"/>
    </row>
    <row r="535" spans="1:1" x14ac:dyDescent="0.2">
      <c r="A535" s="3"/>
    </row>
    <row r="536" spans="1:1" x14ac:dyDescent="0.2">
      <c r="A536" s="3"/>
    </row>
    <row r="537" spans="1:1" x14ac:dyDescent="0.2">
      <c r="A537" s="3"/>
    </row>
    <row r="538" spans="1:1" x14ac:dyDescent="0.2">
      <c r="A538" s="3"/>
    </row>
    <row r="539" spans="1:1" x14ac:dyDescent="0.2">
      <c r="A539" s="3"/>
    </row>
    <row r="540" spans="1:1" x14ac:dyDescent="0.2">
      <c r="A540" s="3"/>
    </row>
    <row r="541" spans="1:1" x14ac:dyDescent="0.2">
      <c r="A541" s="3"/>
    </row>
    <row r="542" spans="1:1" x14ac:dyDescent="0.2">
      <c r="A542" s="3"/>
    </row>
    <row r="543" spans="1:1" x14ac:dyDescent="0.2">
      <c r="A543" s="3"/>
    </row>
    <row r="544" spans="1:1" x14ac:dyDescent="0.2">
      <c r="A544" s="3"/>
    </row>
    <row r="545" spans="1:1" x14ac:dyDescent="0.2">
      <c r="A545" s="3"/>
    </row>
    <row r="546" spans="1:1" x14ac:dyDescent="0.2">
      <c r="A546" s="3"/>
    </row>
    <row r="547" spans="1:1" x14ac:dyDescent="0.2">
      <c r="A547" s="3"/>
    </row>
    <row r="548" spans="1:1" x14ac:dyDescent="0.2">
      <c r="A548" s="3"/>
    </row>
    <row r="549" spans="1:1" x14ac:dyDescent="0.2">
      <c r="A549" s="3"/>
    </row>
    <row r="550" spans="1:1" x14ac:dyDescent="0.2">
      <c r="A550" s="3"/>
    </row>
    <row r="551" spans="1:1" x14ac:dyDescent="0.2">
      <c r="A551" s="3"/>
    </row>
    <row r="552" spans="1:1" x14ac:dyDescent="0.2">
      <c r="A552" s="3"/>
    </row>
    <row r="553" spans="1:1" x14ac:dyDescent="0.2">
      <c r="A553" s="3"/>
    </row>
    <row r="554" spans="1:1" x14ac:dyDescent="0.2">
      <c r="A554" s="3"/>
    </row>
    <row r="555" spans="1:1" x14ac:dyDescent="0.2">
      <c r="A555" s="3"/>
    </row>
    <row r="556" spans="1:1" x14ac:dyDescent="0.2">
      <c r="A556" s="3"/>
    </row>
    <row r="557" spans="1:1" x14ac:dyDescent="0.2">
      <c r="A557" s="3"/>
    </row>
    <row r="558" spans="1:1" x14ac:dyDescent="0.2">
      <c r="A558" s="3"/>
    </row>
    <row r="559" spans="1:1" x14ac:dyDescent="0.2">
      <c r="A559" s="3"/>
    </row>
    <row r="560" spans="1:1" x14ac:dyDescent="0.2">
      <c r="A560" s="3"/>
    </row>
    <row r="561" spans="1:1" x14ac:dyDescent="0.2">
      <c r="A561" s="3"/>
    </row>
    <row r="562" spans="1:1" x14ac:dyDescent="0.2">
      <c r="A562" s="3"/>
    </row>
    <row r="563" spans="1:1" x14ac:dyDescent="0.2">
      <c r="A563" s="3"/>
    </row>
    <row r="564" spans="1:1" x14ac:dyDescent="0.2">
      <c r="A564" s="3"/>
    </row>
    <row r="565" spans="1:1" x14ac:dyDescent="0.2">
      <c r="A565" s="3"/>
    </row>
    <row r="566" spans="1:1" x14ac:dyDescent="0.2">
      <c r="A566" s="3"/>
    </row>
    <row r="567" spans="1:1" x14ac:dyDescent="0.2">
      <c r="A567" s="3"/>
    </row>
    <row r="568" spans="1:1" x14ac:dyDescent="0.2">
      <c r="A568" s="3"/>
    </row>
    <row r="569" spans="1:1" x14ac:dyDescent="0.2">
      <c r="A569" s="3"/>
    </row>
    <row r="570" spans="1:1" x14ac:dyDescent="0.2">
      <c r="A570" s="3"/>
    </row>
    <row r="571" spans="1:1" x14ac:dyDescent="0.2">
      <c r="A571" s="3"/>
    </row>
    <row r="572" spans="1:1" x14ac:dyDescent="0.2">
      <c r="A572" s="3"/>
    </row>
    <row r="573" spans="1:1" x14ac:dyDescent="0.2">
      <c r="A573" s="3"/>
    </row>
    <row r="574" spans="1:1" x14ac:dyDescent="0.2">
      <c r="A574" s="3"/>
    </row>
    <row r="575" spans="1:1" x14ac:dyDescent="0.2">
      <c r="A575" s="3"/>
    </row>
    <row r="576" spans="1:1" x14ac:dyDescent="0.2">
      <c r="A576" s="3"/>
    </row>
    <row r="577" spans="1:1" x14ac:dyDescent="0.2">
      <c r="A577" s="3"/>
    </row>
    <row r="578" spans="1:1" x14ac:dyDescent="0.2">
      <c r="A578" s="3"/>
    </row>
    <row r="579" spans="1:1" x14ac:dyDescent="0.2">
      <c r="A579" s="3"/>
    </row>
    <row r="580" spans="1:1" x14ac:dyDescent="0.2">
      <c r="A580" s="3"/>
    </row>
    <row r="581" spans="1:1" x14ac:dyDescent="0.2">
      <c r="A581" s="3"/>
    </row>
    <row r="582" spans="1:1" x14ac:dyDescent="0.2">
      <c r="A582" s="3"/>
    </row>
    <row r="583" spans="1:1" x14ac:dyDescent="0.2">
      <c r="A583" s="3"/>
    </row>
    <row r="584" spans="1:1" x14ac:dyDescent="0.2">
      <c r="A584" s="3"/>
    </row>
    <row r="585" spans="1:1" x14ac:dyDescent="0.2">
      <c r="A585" s="3"/>
    </row>
    <row r="586" spans="1:1" x14ac:dyDescent="0.2">
      <c r="A586" s="3"/>
    </row>
    <row r="587" spans="1:1" x14ac:dyDescent="0.2">
      <c r="A587" s="3"/>
    </row>
    <row r="588" spans="1:1" x14ac:dyDescent="0.2">
      <c r="A588" s="3"/>
    </row>
    <row r="589" spans="1:1" x14ac:dyDescent="0.2">
      <c r="A589" s="3"/>
    </row>
    <row r="590" spans="1:1" x14ac:dyDescent="0.2">
      <c r="A590" s="3"/>
    </row>
    <row r="591" spans="1:1" x14ac:dyDescent="0.2">
      <c r="A591" s="3"/>
    </row>
    <row r="592" spans="1:1" x14ac:dyDescent="0.2">
      <c r="A592" s="3"/>
    </row>
    <row r="593" spans="1:1" x14ac:dyDescent="0.2">
      <c r="A593" s="3"/>
    </row>
    <row r="594" spans="1:1" x14ac:dyDescent="0.2">
      <c r="A594" s="3"/>
    </row>
    <row r="595" spans="1:1" x14ac:dyDescent="0.2">
      <c r="A595" s="3"/>
    </row>
    <row r="596" spans="1:1" x14ac:dyDescent="0.2">
      <c r="A596" s="3"/>
    </row>
    <row r="597" spans="1:1" x14ac:dyDescent="0.2">
      <c r="A597" s="3"/>
    </row>
    <row r="598" spans="1:1" x14ac:dyDescent="0.2">
      <c r="A598" s="3"/>
    </row>
    <row r="599" spans="1:1" x14ac:dyDescent="0.2">
      <c r="A599" s="3"/>
    </row>
    <row r="600" spans="1:1" x14ac:dyDescent="0.2">
      <c r="A600" s="3"/>
    </row>
    <row r="601" spans="1:1" x14ac:dyDescent="0.2">
      <c r="A601" s="3"/>
    </row>
    <row r="602" spans="1:1" x14ac:dyDescent="0.2">
      <c r="A602" s="3"/>
    </row>
    <row r="603" spans="1:1" x14ac:dyDescent="0.2">
      <c r="A603" s="3"/>
    </row>
    <row r="604" spans="1:1" x14ac:dyDescent="0.2">
      <c r="A604" s="3"/>
    </row>
    <row r="605" spans="1:1" x14ac:dyDescent="0.2">
      <c r="A605" s="3"/>
    </row>
    <row r="606" spans="1:1" x14ac:dyDescent="0.2">
      <c r="A606" s="3"/>
    </row>
    <row r="607" spans="1:1" x14ac:dyDescent="0.2">
      <c r="A607" s="3"/>
    </row>
    <row r="608" spans="1:1" x14ac:dyDescent="0.2">
      <c r="A608" s="3"/>
    </row>
    <row r="609" spans="1:1" x14ac:dyDescent="0.2">
      <c r="A609" s="3"/>
    </row>
    <row r="610" spans="1:1" x14ac:dyDescent="0.2">
      <c r="A610" s="3"/>
    </row>
    <row r="611" spans="1:1" x14ac:dyDescent="0.2">
      <c r="A611" s="3"/>
    </row>
    <row r="612" spans="1:1" x14ac:dyDescent="0.2">
      <c r="A612" s="3"/>
    </row>
    <row r="613" spans="1:1" x14ac:dyDescent="0.2">
      <c r="A613" s="3"/>
    </row>
    <row r="614" spans="1:1" x14ac:dyDescent="0.2">
      <c r="A614" s="3"/>
    </row>
    <row r="615" spans="1:1" x14ac:dyDescent="0.2">
      <c r="A615" s="3"/>
    </row>
    <row r="616" spans="1:1" x14ac:dyDescent="0.2">
      <c r="A616" s="3"/>
    </row>
    <row r="617" spans="1:1" x14ac:dyDescent="0.2">
      <c r="A617" s="3"/>
    </row>
    <row r="618" spans="1:1" x14ac:dyDescent="0.2">
      <c r="A618" s="3"/>
    </row>
    <row r="619" spans="1:1" x14ac:dyDescent="0.2">
      <c r="A619" s="3"/>
    </row>
    <row r="620" spans="1:1" x14ac:dyDescent="0.2">
      <c r="A620" s="3"/>
    </row>
    <row r="621" spans="1:1" x14ac:dyDescent="0.2">
      <c r="A621" s="3"/>
    </row>
    <row r="622" spans="1:1" x14ac:dyDescent="0.2">
      <c r="A622" s="3"/>
    </row>
    <row r="623" spans="1:1" x14ac:dyDescent="0.2">
      <c r="A623" s="3"/>
    </row>
    <row r="624" spans="1:1" x14ac:dyDescent="0.2">
      <c r="A624" s="3"/>
    </row>
    <row r="625" spans="1:1" x14ac:dyDescent="0.2">
      <c r="A625" s="3"/>
    </row>
    <row r="626" spans="1:1" x14ac:dyDescent="0.2">
      <c r="A626" s="3"/>
    </row>
    <row r="627" spans="1:1" x14ac:dyDescent="0.2">
      <c r="A627" s="3"/>
    </row>
    <row r="628" spans="1:1" x14ac:dyDescent="0.2">
      <c r="A628" s="3"/>
    </row>
    <row r="629" spans="1:1" x14ac:dyDescent="0.2">
      <c r="A629" s="3"/>
    </row>
    <row r="630" spans="1:1" x14ac:dyDescent="0.2">
      <c r="A630" s="3"/>
    </row>
    <row r="631" spans="1:1" x14ac:dyDescent="0.2">
      <c r="A631" s="3"/>
    </row>
    <row r="632" spans="1:1" x14ac:dyDescent="0.2">
      <c r="A632" s="3"/>
    </row>
    <row r="633" spans="1:1" x14ac:dyDescent="0.2">
      <c r="A633" s="3"/>
    </row>
    <row r="634" spans="1:1" x14ac:dyDescent="0.2">
      <c r="A634" s="3"/>
    </row>
    <row r="635" spans="1:1" x14ac:dyDescent="0.2">
      <c r="A635" s="3"/>
    </row>
    <row r="636" spans="1:1" x14ac:dyDescent="0.2">
      <c r="A636" s="3"/>
    </row>
    <row r="637" spans="1:1" x14ac:dyDescent="0.2">
      <c r="A637" s="3"/>
    </row>
    <row r="638" spans="1:1" x14ac:dyDescent="0.2">
      <c r="A638" s="3"/>
    </row>
    <row r="639" spans="1:1" x14ac:dyDescent="0.2">
      <c r="A639" s="3"/>
    </row>
    <row r="640" spans="1:1" x14ac:dyDescent="0.2">
      <c r="A640" s="3"/>
    </row>
    <row r="641" spans="1:1" x14ac:dyDescent="0.2">
      <c r="A641" s="3"/>
    </row>
    <row r="642" spans="1:1" x14ac:dyDescent="0.2">
      <c r="A642" s="3"/>
    </row>
    <row r="643" spans="1:1" x14ac:dyDescent="0.2">
      <c r="A643" s="3"/>
    </row>
    <row r="644" spans="1:1" x14ac:dyDescent="0.2">
      <c r="A644" s="3"/>
    </row>
    <row r="645" spans="1:1" x14ac:dyDescent="0.2">
      <c r="A645" s="3"/>
    </row>
    <row r="646" spans="1:1" x14ac:dyDescent="0.2">
      <c r="A646" s="3"/>
    </row>
    <row r="647" spans="1:1" x14ac:dyDescent="0.2">
      <c r="A647" s="3"/>
    </row>
    <row r="648" spans="1:1" x14ac:dyDescent="0.2">
      <c r="A648" s="3"/>
    </row>
    <row r="649" spans="1:1" x14ac:dyDescent="0.2">
      <c r="A649" s="3"/>
    </row>
    <row r="650" spans="1:1" x14ac:dyDescent="0.2">
      <c r="A650" s="3"/>
    </row>
    <row r="651" spans="1:1" x14ac:dyDescent="0.2">
      <c r="A651" s="3"/>
    </row>
    <row r="652" spans="1:1" x14ac:dyDescent="0.2">
      <c r="A652" s="3"/>
    </row>
    <row r="653" spans="1:1" x14ac:dyDescent="0.2">
      <c r="A653" s="3"/>
    </row>
    <row r="654" spans="1:1" x14ac:dyDescent="0.2">
      <c r="A654" s="3"/>
    </row>
    <row r="655" spans="1:1" x14ac:dyDescent="0.2">
      <c r="A655" s="3"/>
    </row>
    <row r="656" spans="1:1" x14ac:dyDescent="0.2">
      <c r="A656" s="3"/>
    </row>
    <row r="657" spans="1:1" x14ac:dyDescent="0.2">
      <c r="A657" s="3"/>
    </row>
    <row r="658" spans="1:1" x14ac:dyDescent="0.2">
      <c r="A658" s="3"/>
    </row>
    <row r="659" spans="1:1" x14ac:dyDescent="0.2">
      <c r="A659" s="3"/>
    </row>
    <row r="660" spans="1:1" x14ac:dyDescent="0.2">
      <c r="A660" s="3"/>
    </row>
    <row r="661" spans="1:1" x14ac:dyDescent="0.2">
      <c r="A661" s="3"/>
    </row>
    <row r="662" spans="1:1" x14ac:dyDescent="0.2">
      <c r="A662" s="3"/>
    </row>
    <row r="663" spans="1:1" x14ac:dyDescent="0.2">
      <c r="A663" s="3"/>
    </row>
    <row r="664" spans="1:1" x14ac:dyDescent="0.2">
      <c r="A664" s="3"/>
    </row>
    <row r="665" spans="1:1" x14ac:dyDescent="0.2">
      <c r="A665" s="3"/>
    </row>
    <row r="666" spans="1:1" x14ac:dyDescent="0.2">
      <c r="A666" s="3"/>
    </row>
    <row r="667" spans="1:1" x14ac:dyDescent="0.2">
      <c r="A667" s="3"/>
    </row>
    <row r="668" spans="1:1" x14ac:dyDescent="0.2">
      <c r="A668" s="3"/>
    </row>
    <row r="669" spans="1:1" x14ac:dyDescent="0.2">
      <c r="A669" s="3"/>
    </row>
    <row r="670" spans="1:1" x14ac:dyDescent="0.2">
      <c r="A670" s="3"/>
    </row>
    <row r="671" spans="1:1" x14ac:dyDescent="0.2">
      <c r="A671" s="3"/>
    </row>
    <row r="672" spans="1:1" x14ac:dyDescent="0.2">
      <c r="A672" s="3"/>
    </row>
    <row r="673" spans="1:1" x14ac:dyDescent="0.2">
      <c r="A673" s="3"/>
    </row>
    <row r="674" spans="1:1" x14ac:dyDescent="0.2">
      <c r="A674" s="3"/>
    </row>
    <row r="675" spans="1:1" x14ac:dyDescent="0.2">
      <c r="A675" s="3"/>
    </row>
    <row r="676" spans="1:1" x14ac:dyDescent="0.2">
      <c r="A676" s="3"/>
    </row>
    <row r="677" spans="1:1" x14ac:dyDescent="0.2">
      <c r="A677" s="3"/>
    </row>
    <row r="678" spans="1:1" x14ac:dyDescent="0.2">
      <c r="A678" s="3"/>
    </row>
    <row r="679" spans="1:1" x14ac:dyDescent="0.2">
      <c r="A679" s="3"/>
    </row>
    <row r="680" spans="1:1" x14ac:dyDescent="0.2">
      <c r="A680" s="3"/>
    </row>
    <row r="681" spans="1:1" x14ac:dyDescent="0.2">
      <c r="A681" s="3"/>
    </row>
    <row r="682" spans="1:1" x14ac:dyDescent="0.2">
      <c r="A682" s="3"/>
    </row>
    <row r="683" spans="1:1" x14ac:dyDescent="0.2">
      <c r="A683" s="3"/>
    </row>
    <row r="684" spans="1:1" x14ac:dyDescent="0.2">
      <c r="A684" s="3"/>
    </row>
    <row r="685" spans="1:1" x14ac:dyDescent="0.2">
      <c r="A685" s="3"/>
    </row>
    <row r="686" spans="1:1" x14ac:dyDescent="0.2">
      <c r="A686" s="3"/>
    </row>
    <row r="687" spans="1:1" x14ac:dyDescent="0.2">
      <c r="A687" s="3"/>
    </row>
    <row r="688" spans="1:1" x14ac:dyDescent="0.2">
      <c r="A688" s="3"/>
    </row>
    <row r="689" spans="1:1" x14ac:dyDescent="0.2">
      <c r="A689" s="3"/>
    </row>
    <row r="690" spans="1:1" x14ac:dyDescent="0.2">
      <c r="A690" s="3"/>
    </row>
    <row r="691" spans="1:1" x14ac:dyDescent="0.2">
      <c r="A691" s="3"/>
    </row>
    <row r="692" spans="1:1" x14ac:dyDescent="0.2">
      <c r="A692" s="3"/>
    </row>
    <row r="693" spans="1:1" x14ac:dyDescent="0.2">
      <c r="A693" s="3"/>
    </row>
    <row r="694" spans="1:1" x14ac:dyDescent="0.2">
      <c r="A694" s="3"/>
    </row>
    <row r="695" spans="1:1" x14ac:dyDescent="0.2">
      <c r="A695" s="3"/>
    </row>
    <row r="696" spans="1:1" x14ac:dyDescent="0.2">
      <c r="A696" s="3"/>
    </row>
    <row r="697" spans="1:1" x14ac:dyDescent="0.2">
      <c r="A697" s="3"/>
    </row>
    <row r="698" spans="1:1" x14ac:dyDescent="0.2">
      <c r="A698" s="3"/>
    </row>
    <row r="699" spans="1:1" x14ac:dyDescent="0.2">
      <c r="A699" s="3"/>
    </row>
    <row r="700" spans="1:1" x14ac:dyDescent="0.2">
      <c r="A700" s="3"/>
    </row>
    <row r="701" spans="1:1" x14ac:dyDescent="0.2">
      <c r="A701" s="3"/>
    </row>
    <row r="702" spans="1:1" x14ac:dyDescent="0.2">
      <c r="A702" s="3"/>
    </row>
    <row r="703" spans="1:1" x14ac:dyDescent="0.2">
      <c r="A703" s="3"/>
    </row>
    <row r="704" spans="1:1" x14ac:dyDescent="0.2">
      <c r="A704" s="3"/>
    </row>
    <row r="705" spans="1:1" x14ac:dyDescent="0.2">
      <c r="A705" s="3"/>
    </row>
    <row r="706" spans="1:1" x14ac:dyDescent="0.2">
      <c r="A706" s="3"/>
    </row>
    <row r="707" spans="1:1" x14ac:dyDescent="0.2">
      <c r="A707" s="3"/>
    </row>
    <row r="708" spans="1:1" x14ac:dyDescent="0.2">
      <c r="A708" s="3"/>
    </row>
    <row r="709" spans="1:1" x14ac:dyDescent="0.2">
      <c r="A709" s="3"/>
    </row>
    <row r="710" spans="1:1" x14ac:dyDescent="0.2">
      <c r="A710" s="3"/>
    </row>
    <row r="711" spans="1:1" x14ac:dyDescent="0.2">
      <c r="A711" s="3"/>
    </row>
    <row r="712" spans="1:1" x14ac:dyDescent="0.2">
      <c r="A712" s="3"/>
    </row>
    <row r="713" spans="1:1" x14ac:dyDescent="0.2">
      <c r="A713" s="3"/>
    </row>
    <row r="714" spans="1:1" x14ac:dyDescent="0.2">
      <c r="A714" s="3"/>
    </row>
    <row r="715" spans="1:1" x14ac:dyDescent="0.2">
      <c r="A715" s="3"/>
    </row>
    <row r="716" spans="1:1" x14ac:dyDescent="0.2">
      <c r="A716" s="3"/>
    </row>
    <row r="717" spans="1:1" x14ac:dyDescent="0.2">
      <c r="A717" s="3"/>
    </row>
    <row r="718" spans="1:1" x14ac:dyDescent="0.2">
      <c r="A718" s="3"/>
    </row>
    <row r="719" spans="1:1" x14ac:dyDescent="0.2">
      <c r="A719" s="3"/>
    </row>
    <row r="720" spans="1:1" x14ac:dyDescent="0.2">
      <c r="A720" s="3"/>
    </row>
    <row r="721" spans="1:1" x14ac:dyDescent="0.2">
      <c r="A721" s="3"/>
    </row>
    <row r="722" spans="1:1" x14ac:dyDescent="0.2">
      <c r="A722" s="3"/>
    </row>
    <row r="723" spans="1:1" x14ac:dyDescent="0.2">
      <c r="A723" s="3"/>
    </row>
    <row r="724" spans="1:1" x14ac:dyDescent="0.2">
      <c r="A724" s="3"/>
    </row>
    <row r="725" spans="1:1" x14ac:dyDescent="0.2">
      <c r="A725" s="3"/>
    </row>
    <row r="726" spans="1:1" x14ac:dyDescent="0.2">
      <c r="A726" s="3"/>
    </row>
    <row r="727" spans="1:1" x14ac:dyDescent="0.2">
      <c r="A727" s="3"/>
    </row>
    <row r="728" spans="1:1" x14ac:dyDescent="0.2">
      <c r="A728" s="3"/>
    </row>
    <row r="729" spans="1:1" x14ac:dyDescent="0.2">
      <c r="A729" s="3"/>
    </row>
    <row r="730" spans="1:1" x14ac:dyDescent="0.2">
      <c r="A730" s="3"/>
    </row>
    <row r="731" spans="1:1" x14ac:dyDescent="0.2">
      <c r="A731" s="3"/>
    </row>
    <row r="732" spans="1:1" x14ac:dyDescent="0.2">
      <c r="A732" s="3"/>
    </row>
    <row r="733" spans="1:1" x14ac:dyDescent="0.2">
      <c r="A733" s="3"/>
    </row>
    <row r="734" spans="1:1" x14ac:dyDescent="0.2">
      <c r="A734" s="3"/>
    </row>
    <row r="735" spans="1:1" x14ac:dyDescent="0.2">
      <c r="A735" s="3"/>
    </row>
    <row r="736" spans="1:1" x14ac:dyDescent="0.2">
      <c r="A736" s="3"/>
    </row>
    <row r="737" spans="1:1" x14ac:dyDescent="0.2">
      <c r="A737" s="3"/>
    </row>
    <row r="738" spans="1:1" x14ac:dyDescent="0.2">
      <c r="A738" s="3"/>
    </row>
    <row r="739" spans="1:1" x14ac:dyDescent="0.2">
      <c r="A739" s="3"/>
    </row>
    <row r="740" spans="1:1" x14ac:dyDescent="0.2">
      <c r="A740" s="3"/>
    </row>
    <row r="741" spans="1:1" x14ac:dyDescent="0.2">
      <c r="A741" s="3"/>
    </row>
    <row r="742" spans="1:1" x14ac:dyDescent="0.2">
      <c r="A742" s="3"/>
    </row>
    <row r="743" spans="1:1" x14ac:dyDescent="0.2">
      <c r="A743" s="3"/>
    </row>
    <row r="744" spans="1:1" x14ac:dyDescent="0.2">
      <c r="A744" s="3"/>
    </row>
    <row r="745" spans="1:1" x14ac:dyDescent="0.2">
      <c r="A745" s="3"/>
    </row>
    <row r="746" spans="1:1" x14ac:dyDescent="0.2">
      <c r="A746" s="3"/>
    </row>
    <row r="747" spans="1:1" x14ac:dyDescent="0.2">
      <c r="A747" s="3"/>
    </row>
    <row r="748" spans="1:1" x14ac:dyDescent="0.2">
      <c r="A748" s="3"/>
    </row>
    <row r="749" spans="1:1" x14ac:dyDescent="0.2">
      <c r="A749" s="3"/>
    </row>
    <row r="750" spans="1:1" x14ac:dyDescent="0.2">
      <c r="A750" s="3"/>
    </row>
    <row r="751" spans="1:1" x14ac:dyDescent="0.2">
      <c r="A751" s="3"/>
    </row>
    <row r="752" spans="1:1" x14ac:dyDescent="0.2">
      <c r="A752" s="3"/>
    </row>
    <row r="753" spans="1:1" x14ac:dyDescent="0.2">
      <c r="A753" s="3"/>
    </row>
    <row r="754" spans="1:1" x14ac:dyDescent="0.2">
      <c r="A754" s="3"/>
    </row>
    <row r="755" spans="1:1" x14ac:dyDescent="0.2">
      <c r="A755" s="3"/>
    </row>
    <row r="756" spans="1:1" x14ac:dyDescent="0.2">
      <c r="A756" s="3"/>
    </row>
    <row r="757" spans="1:1" x14ac:dyDescent="0.2">
      <c r="A757" s="3"/>
    </row>
    <row r="758" spans="1:1" x14ac:dyDescent="0.2">
      <c r="A758" s="3"/>
    </row>
    <row r="759" spans="1:1" x14ac:dyDescent="0.2">
      <c r="A759" s="3"/>
    </row>
    <row r="760" spans="1:1" x14ac:dyDescent="0.2">
      <c r="A760" s="3"/>
    </row>
    <row r="761" spans="1:1" x14ac:dyDescent="0.2">
      <c r="A761" s="3"/>
    </row>
    <row r="762" spans="1:1" x14ac:dyDescent="0.2">
      <c r="A762" s="3"/>
    </row>
    <row r="763" spans="1:1" x14ac:dyDescent="0.2">
      <c r="A763" s="3"/>
    </row>
    <row r="764" spans="1:1" x14ac:dyDescent="0.2">
      <c r="A764" s="3"/>
    </row>
    <row r="765" spans="1:1" x14ac:dyDescent="0.2">
      <c r="A765" s="3"/>
    </row>
    <row r="766" spans="1:1" x14ac:dyDescent="0.2">
      <c r="A766" s="3"/>
    </row>
    <row r="767" spans="1:1" x14ac:dyDescent="0.2">
      <c r="A767" s="3"/>
    </row>
    <row r="768" spans="1:1" x14ac:dyDescent="0.2">
      <c r="A768" s="3"/>
    </row>
    <row r="769" spans="1:1" x14ac:dyDescent="0.2">
      <c r="A769" s="3"/>
    </row>
    <row r="770" spans="1:1" x14ac:dyDescent="0.2">
      <c r="A770" s="3"/>
    </row>
    <row r="771" spans="1:1" x14ac:dyDescent="0.2">
      <c r="A771" s="3"/>
    </row>
    <row r="772" spans="1:1" x14ac:dyDescent="0.2">
      <c r="A772" s="3"/>
    </row>
    <row r="773" spans="1:1" x14ac:dyDescent="0.2">
      <c r="A773" s="3"/>
    </row>
    <row r="774" spans="1:1" x14ac:dyDescent="0.2">
      <c r="A774" s="3"/>
    </row>
    <row r="775" spans="1:1" x14ac:dyDescent="0.2">
      <c r="A775" s="3"/>
    </row>
    <row r="776" spans="1:1" x14ac:dyDescent="0.2">
      <c r="A776" s="3"/>
    </row>
    <row r="777" spans="1:1" x14ac:dyDescent="0.2">
      <c r="A777" s="3"/>
    </row>
    <row r="778" spans="1:1" x14ac:dyDescent="0.2">
      <c r="A778" s="3"/>
    </row>
    <row r="779" spans="1:1" x14ac:dyDescent="0.2">
      <c r="A779" s="3"/>
    </row>
    <row r="780" spans="1:1" x14ac:dyDescent="0.2">
      <c r="A780" s="3"/>
    </row>
    <row r="781" spans="1:1" x14ac:dyDescent="0.2">
      <c r="A781" s="3"/>
    </row>
    <row r="782" spans="1:1" x14ac:dyDescent="0.2">
      <c r="A782" s="3"/>
    </row>
    <row r="783" spans="1:1" x14ac:dyDescent="0.2">
      <c r="A783" s="3"/>
    </row>
    <row r="784" spans="1:1" x14ac:dyDescent="0.2">
      <c r="A784" s="3"/>
    </row>
    <row r="785" spans="1:1" x14ac:dyDescent="0.2">
      <c r="A785" s="3"/>
    </row>
    <row r="786" spans="1:1" x14ac:dyDescent="0.2">
      <c r="A786" s="3"/>
    </row>
    <row r="787" spans="1:1" x14ac:dyDescent="0.2">
      <c r="A787" s="3"/>
    </row>
    <row r="788" spans="1:1" x14ac:dyDescent="0.2">
      <c r="A788" s="3"/>
    </row>
    <row r="789" spans="1:1" x14ac:dyDescent="0.2">
      <c r="A789" s="3"/>
    </row>
    <row r="790" spans="1:1" x14ac:dyDescent="0.2">
      <c r="A790" s="3"/>
    </row>
    <row r="791" spans="1:1" x14ac:dyDescent="0.2">
      <c r="A791" s="3"/>
    </row>
    <row r="792" spans="1:1" x14ac:dyDescent="0.2">
      <c r="A792" s="3"/>
    </row>
    <row r="793" spans="1:1" x14ac:dyDescent="0.2">
      <c r="A793" s="3"/>
    </row>
    <row r="794" spans="1:1" x14ac:dyDescent="0.2">
      <c r="A794" s="3"/>
    </row>
    <row r="795" spans="1:1" x14ac:dyDescent="0.2">
      <c r="A795" s="3"/>
    </row>
    <row r="796" spans="1:1" x14ac:dyDescent="0.2">
      <c r="A796" s="3"/>
    </row>
    <row r="797" spans="1:1" x14ac:dyDescent="0.2">
      <c r="A797" s="3"/>
    </row>
    <row r="798" spans="1:1" x14ac:dyDescent="0.2">
      <c r="A798" s="3"/>
    </row>
    <row r="799" spans="1:1" x14ac:dyDescent="0.2">
      <c r="A799" s="3"/>
    </row>
    <row r="800" spans="1:1" x14ac:dyDescent="0.2">
      <c r="A800" s="3"/>
    </row>
    <row r="801" spans="1:1" x14ac:dyDescent="0.2">
      <c r="A801" s="3"/>
    </row>
    <row r="802" spans="1:1" x14ac:dyDescent="0.2">
      <c r="A802" s="3"/>
    </row>
    <row r="803" spans="1:1" x14ac:dyDescent="0.2">
      <c r="A803" s="3"/>
    </row>
    <row r="804" spans="1:1" x14ac:dyDescent="0.2">
      <c r="A804" s="3"/>
    </row>
    <row r="805" spans="1:1" x14ac:dyDescent="0.2">
      <c r="A805" s="3"/>
    </row>
    <row r="806" spans="1:1" x14ac:dyDescent="0.2">
      <c r="A806" s="3"/>
    </row>
    <row r="807" spans="1:1" x14ac:dyDescent="0.2">
      <c r="A807" s="3"/>
    </row>
    <row r="808" spans="1:1" x14ac:dyDescent="0.2">
      <c r="A808" s="3"/>
    </row>
    <row r="809" spans="1:1" x14ac:dyDescent="0.2">
      <c r="A809" s="3"/>
    </row>
    <row r="810" spans="1:1" x14ac:dyDescent="0.2">
      <c r="A810" s="3"/>
    </row>
    <row r="811" spans="1:1" x14ac:dyDescent="0.2">
      <c r="A811" s="3"/>
    </row>
    <row r="812" spans="1:1" x14ac:dyDescent="0.2">
      <c r="A812" s="3"/>
    </row>
    <row r="813" spans="1:1" x14ac:dyDescent="0.2">
      <c r="A813" s="3"/>
    </row>
    <row r="814" spans="1:1" x14ac:dyDescent="0.2">
      <c r="A814" s="3"/>
    </row>
    <row r="815" spans="1:1" x14ac:dyDescent="0.2">
      <c r="A815" s="3"/>
    </row>
    <row r="816" spans="1:1" x14ac:dyDescent="0.2">
      <c r="A816" s="3"/>
    </row>
    <row r="817" spans="1:1" x14ac:dyDescent="0.2">
      <c r="A817" s="3"/>
    </row>
    <row r="818" spans="1:1" x14ac:dyDescent="0.2">
      <c r="A818" s="3"/>
    </row>
    <row r="819" spans="1:1" x14ac:dyDescent="0.2">
      <c r="A819" s="3"/>
    </row>
    <row r="820" spans="1:1" x14ac:dyDescent="0.2">
      <c r="A820" s="3"/>
    </row>
    <row r="821" spans="1:1" x14ac:dyDescent="0.2">
      <c r="A821" s="3"/>
    </row>
    <row r="822" spans="1:1" x14ac:dyDescent="0.2">
      <c r="A822" s="3"/>
    </row>
    <row r="823" spans="1:1" x14ac:dyDescent="0.2">
      <c r="A823" s="3"/>
    </row>
    <row r="824" spans="1:1" x14ac:dyDescent="0.2">
      <c r="A824" s="3"/>
    </row>
    <row r="825" spans="1:1" x14ac:dyDescent="0.2">
      <c r="A825" s="3"/>
    </row>
    <row r="826" spans="1:1" x14ac:dyDescent="0.2">
      <c r="A826" s="3"/>
    </row>
    <row r="827" spans="1:1" x14ac:dyDescent="0.2">
      <c r="A827" s="3"/>
    </row>
    <row r="828" spans="1:1" x14ac:dyDescent="0.2">
      <c r="A828" s="3"/>
    </row>
    <row r="829" spans="1:1" x14ac:dyDescent="0.2">
      <c r="A829" s="3"/>
    </row>
    <row r="830" spans="1:1" x14ac:dyDescent="0.2">
      <c r="A830" s="3"/>
    </row>
    <row r="831" spans="1:1" x14ac:dyDescent="0.2">
      <c r="A831" s="3"/>
    </row>
    <row r="832" spans="1:1" x14ac:dyDescent="0.2">
      <c r="A832" s="3"/>
    </row>
    <row r="833" spans="1:1" x14ac:dyDescent="0.2">
      <c r="A833" s="3"/>
    </row>
    <row r="834" spans="1:1" x14ac:dyDescent="0.2">
      <c r="A834" s="3"/>
    </row>
    <row r="835" spans="1:1" x14ac:dyDescent="0.2">
      <c r="A835" s="3"/>
    </row>
    <row r="836" spans="1:1" x14ac:dyDescent="0.2">
      <c r="A836" s="3"/>
    </row>
    <row r="837" spans="1:1" x14ac:dyDescent="0.2">
      <c r="A837" s="3"/>
    </row>
    <row r="838" spans="1:1" x14ac:dyDescent="0.2">
      <c r="A838" s="3"/>
    </row>
    <row r="839" spans="1:1" x14ac:dyDescent="0.2">
      <c r="A839" s="3"/>
    </row>
    <row r="840" spans="1:1" x14ac:dyDescent="0.2">
      <c r="A840" s="3"/>
    </row>
    <row r="841" spans="1:1" x14ac:dyDescent="0.2">
      <c r="A841" s="3"/>
    </row>
    <row r="842" spans="1:1" x14ac:dyDescent="0.2">
      <c r="A842" s="3"/>
    </row>
    <row r="843" spans="1:1" x14ac:dyDescent="0.2">
      <c r="A843" s="3"/>
    </row>
    <row r="844" spans="1:1" x14ac:dyDescent="0.2">
      <c r="A844" s="3"/>
    </row>
    <row r="845" spans="1:1" x14ac:dyDescent="0.2">
      <c r="A845" s="3"/>
    </row>
    <row r="846" spans="1:1" x14ac:dyDescent="0.2">
      <c r="A846" s="3"/>
    </row>
    <row r="847" spans="1:1" x14ac:dyDescent="0.2">
      <c r="A847" s="3"/>
    </row>
    <row r="848" spans="1:1" x14ac:dyDescent="0.2">
      <c r="A848" s="3"/>
    </row>
    <row r="849" spans="1:1" x14ac:dyDescent="0.2">
      <c r="A849" s="3"/>
    </row>
    <row r="850" spans="1:1" x14ac:dyDescent="0.2">
      <c r="A850" s="3"/>
    </row>
    <row r="851" spans="1:1" x14ac:dyDescent="0.2">
      <c r="A851" s="3"/>
    </row>
    <row r="852" spans="1:1" x14ac:dyDescent="0.2">
      <c r="A852" s="3"/>
    </row>
    <row r="853" spans="1:1" x14ac:dyDescent="0.2">
      <c r="A853" s="3"/>
    </row>
    <row r="854" spans="1:1" x14ac:dyDescent="0.2">
      <c r="A854" s="3"/>
    </row>
    <row r="855" spans="1:1" x14ac:dyDescent="0.2">
      <c r="A855" s="3"/>
    </row>
    <row r="856" spans="1:1" x14ac:dyDescent="0.2">
      <c r="A856" s="3"/>
    </row>
    <row r="857" spans="1:1" x14ac:dyDescent="0.2">
      <c r="A857" s="3"/>
    </row>
    <row r="858" spans="1:1" x14ac:dyDescent="0.2">
      <c r="A858" s="3"/>
    </row>
    <row r="859" spans="1:1" x14ac:dyDescent="0.2">
      <c r="A859" s="3"/>
    </row>
    <row r="860" spans="1:1" x14ac:dyDescent="0.2">
      <c r="A860" s="3"/>
    </row>
    <row r="861" spans="1:1" x14ac:dyDescent="0.2">
      <c r="A861" s="3"/>
    </row>
    <row r="862" spans="1:1" x14ac:dyDescent="0.2">
      <c r="A862" s="3"/>
    </row>
    <row r="863" spans="1:1" x14ac:dyDescent="0.2">
      <c r="A863" s="3"/>
    </row>
    <row r="864" spans="1:1" x14ac:dyDescent="0.2">
      <c r="A864" s="3"/>
    </row>
    <row r="865" spans="1:1" x14ac:dyDescent="0.2">
      <c r="A865" s="3"/>
    </row>
    <row r="866" spans="1:1" x14ac:dyDescent="0.2">
      <c r="A866" s="3"/>
    </row>
    <row r="867" spans="1:1" x14ac:dyDescent="0.2">
      <c r="A867" s="3"/>
    </row>
    <row r="868" spans="1:1" x14ac:dyDescent="0.2">
      <c r="A868" s="3"/>
    </row>
    <row r="869" spans="1:1" x14ac:dyDescent="0.2">
      <c r="A869" s="3"/>
    </row>
    <row r="870" spans="1:1" x14ac:dyDescent="0.2">
      <c r="A870" s="3"/>
    </row>
    <row r="871" spans="1:1" x14ac:dyDescent="0.2">
      <c r="A871" s="3"/>
    </row>
    <row r="872" spans="1:1" x14ac:dyDescent="0.2">
      <c r="A872" s="3"/>
    </row>
    <row r="873" spans="1:1" x14ac:dyDescent="0.2">
      <c r="A873" s="3"/>
    </row>
    <row r="874" spans="1:1" x14ac:dyDescent="0.2">
      <c r="A874" s="3"/>
    </row>
    <row r="875" spans="1:1" x14ac:dyDescent="0.2">
      <c r="A875" s="3"/>
    </row>
    <row r="876" spans="1:1" x14ac:dyDescent="0.2">
      <c r="A876" s="3"/>
    </row>
    <row r="877" spans="1:1" x14ac:dyDescent="0.2">
      <c r="A877" s="3"/>
    </row>
    <row r="878" spans="1:1" x14ac:dyDescent="0.2">
      <c r="A878" s="3"/>
    </row>
    <row r="879" spans="1:1" x14ac:dyDescent="0.2">
      <c r="A879" s="3"/>
    </row>
    <row r="880" spans="1:1" x14ac:dyDescent="0.2">
      <c r="A880" s="3"/>
    </row>
    <row r="881" spans="1:1" x14ac:dyDescent="0.2">
      <c r="A881" s="3"/>
    </row>
    <row r="882" spans="1:1" x14ac:dyDescent="0.2">
      <c r="A882" s="3"/>
    </row>
    <row r="883" spans="1:1" x14ac:dyDescent="0.2">
      <c r="A883" s="3"/>
    </row>
    <row r="884" spans="1:1" x14ac:dyDescent="0.2">
      <c r="A884" s="3"/>
    </row>
    <row r="885" spans="1:1" x14ac:dyDescent="0.2">
      <c r="A885" s="3"/>
    </row>
    <row r="886" spans="1:1" x14ac:dyDescent="0.2">
      <c r="A886" s="3"/>
    </row>
    <row r="887" spans="1:1" x14ac:dyDescent="0.2">
      <c r="A887" s="3"/>
    </row>
    <row r="888" spans="1:1" x14ac:dyDescent="0.2">
      <c r="A888" s="3"/>
    </row>
    <row r="889" spans="1:1" x14ac:dyDescent="0.2">
      <c r="A889" s="3"/>
    </row>
    <row r="890" spans="1:1" x14ac:dyDescent="0.2">
      <c r="A890" s="3"/>
    </row>
    <row r="891" spans="1:1" x14ac:dyDescent="0.2">
      <c r="A891" s="3"/>
    </row>
    <row r="892" spans="1:1" x14ac:dyDescent="0.2">
      <c r="A892" s="3"/>
    </row>
    <row r="893" spans="1:1" x14ac:dyDescent="0.2">
      <c r="A893" s="3"/>
    </row>
    <row r="894" spans="1:1" x14ac:dyDescent="0.2">
      <c r="A894" s="3"/>
    </row>
    <row r="895" spans="1:1" x14ac:dyDescent="0.2">
      <c r="A895" s="3"/>
    </row>
    <row r="896" spans="1:1" x14ac:dyDescent="0.2">
      <c r="A896" s="3"/>
    </row>
    <row r="897" spans="1:1" x14ac:dyDescent="0.2">
      <c r="A897" s="3"/>
    </row>
    <row r="898" spans="1:1" x14ac:dyDescent="0.2">
      <c r="A898" s="3"/>
    </row>
    <row r="899" spans="1:1" x14ac:dyDescent="0.2">
      <c r="A899" s="3"/>
    </row>
    <row r="900" spans="1:1" x14ac:dyDescent="0.2">
      <c r="A900" s="3"/>
    </row>
    <row r="901" spans="1:1" x14ac:dyDescent="0.2">
      <c r="A901" s="3"/>
    </row>
    <row r="902" spans="1:1" x14ac:dyDescent="0.2">
      <c r="A902" s="3"/>
    </row>
    <row r="903" spans="1:1" x14ac:dyDescent="0.2">
      <c r="A903" s="3"/>
    </row>
    <row r="904" spans="1:1" x14ac:dyDescent="0.2">
      <c r="A904" s="3"/>
    </row>
    <row r="905" spans="1:1" x14ac:dyDescent="0.2">
      <c r="A905" s="3"/>
    </row>
    <row r="906" spans="1:1" x14ac:dyDescent="0.2">
      <c r="A906" s="3"/>
    </row>
    <row r="907" spans="1:1" x14ac:dyDescent="0.2">
      <c r="A907" s="3"/>
    </row>
    <row r="908" spans="1:1" x14ac:dyDescent="0.2">
      <c r="A908" s="3"/>
    </row>
    <row r="909" spans="1:1" x14ac:dyDescent="0.2">
      <c r="A909" s="3"/>
    </row>
    <row r="910" spans="1:1" x14ac:dyDescent="0.2">
      <c r="A910" s="3"/>
    </row>
    <row r="911" spans="1:1" x14ac:dyDescent="0.2">
      <c r="A911" s="3"/>
    </row>
    <row r="912" spans="1:1" x14ac:dyDescent="0.2">
      <c r="A912" s="3"/>
    </row>
    <row r="913" spans="1:1" x14ac:dyDescent="0.2">
      <c r="A913" s="3"/>
    </row>
    <row r="914" spans="1:1" x14ac:dyDescent="0.2">
      <c r="A914" s="3"/>
    </row>
    <row r="915" spans="1:1" x14ac:dyDescent="0.2">
      <c r="A915" s="3"/>
    </row>
    <row r="916" spans="1:1" x14ac:dyDescent="0.2">
      <c r="A916" s="3"/>
    </row>
    <row r="917" spans="1:1" x14ac:dyDescent="0.2">
      <c r="A917" s="3"/>
    </row>
    <row r="918" spans="1:1" x14ac:dyDescent="0.2">
      <c r="A918" s="3"/>
    </row>
    <row r="919" spans="1:1" x14ac:dyDescent="0.2">
      <c r="A919" s="3"/>
    </row>
    <row r="920" spans="1:1" x14ac:dyDescent="0.2">
      <c r="A920" s="3"/>
    </row>
    <row r="921" spans="1:1" x14ac:dyDescent="0.2">
      <c r="A921" s="3"/>
    </row>
    <row r="922" spans="1:1" x14ac:dyDescent="0.2">
      <c r="A922" s="3"/>
    </row>
    <row r="923" spans="1:1" x14ac:dyDescent="0.2">
      <c r="A923" s="3"/>
    </row>
    <row r="924" spans="1:1" x14ac:dyDescent="0.2">
      <c r="A924" s="3"/>
    </row>
    <row r="925" spans="1:1" x14ac:dyDescent="0.2">
      <c r="A925" s="3"/>
    </row>
    <row r="926" spans="1:1" x14ac:dyDescent="0.2">
      <c r="A926" s="3"/>
    </row>
    <row r="927" spans="1:1" x14ac:dyDescent="0.2">
      <c r="A927" s="3"/>
    </row>
    <row r="928" spans="1:1" x14ac:dyDescent="0.2">
      <c r="A928" s="3"/>
    </row>
    <row r="929" spans="1:1" x14ac:dyDescent="0.2">
      <c r="A929" s="3"/>
    </row>
    <row r="930" spans="1:1" x14ac:dyDescent="0.2">
      <c r="A930" s="3"/>
    </row>
    <row r="931" spans="1:1" x14ac:dyDescent="0.2">
      <c r="A931" s="3"/>
    </row>
    <row r="932" spans="1:1" x14ac:dyDescent="0.2">
      <c r="A932" s="3"/>
    </row>
    <row r="933" spans="1:1" x14ac:dyDescent="0.2">
      <c r="A933" s="3"/>
    </row>
    <row r="934" spans="1:1" x14ac:dyDescent="0.2">
      <c r="A934" s="3"/>
    </row>
    <row r="935" spans="1:1" x14ac:dyDescent="0.2">
      <c r="A935" s="3"/>
    </row>
    <row r="936" spans="1:1" x14ac:dyDescent="0.2">
      <c r="A936" s="3"/>
    </row>
    <row r="937" spans="1:1" x14ac:dyDescent="0.2">
      <c r="A937" s="3"/>
    </row>
    <row r="938" spans="1:1" x14ac:dyDescent="0.2">
      <c r="A938" s="3"/>
    </row>
    <row r="939" spans="1:1" x14ac:dyDescent="0.2">
      <c r="A939" s="3"/>
    </row>
    <row r="940" spans="1:1" x14ac:dyDescent="0.2">
      <c r="A940" s="3"/>
    </row>
    <row r="941" spans="1:1" x14ac:dyDescent="0.2">
      <c r="A941" s="3"/>
    </row>
    <row r="942" spans="1:1" x14ac:dyDescent="0.2">
      <c r="A942" s="3"/>
    </row>
    <row r="943" spans="1:1" x14ac:dyDescent="0.2">
      <c r="A943" s="3"/>
    </row>
    <row r="944" spans="1:1" x14ac:dyDescent="0.2">
      <c r="A944" s="3"/>
    </row>
    <row r="945" spans="1:1" x14ac:dyDescent="0.2">
      <c r="A945" s="3"/>
    </row>
    <row r="946" spans="1:1" x14ac:dyDescent="0.2">
      <c r="A946" s="3"/>
    </row>
    <row r="947" spans="1:1" x14ac:dyDescent="0.2">
      <c r="A947" s="3"/>
    </row>
    <row r="948" spans="1:1" x14ac:dyDescent="0.2">
      <c r="A948" s="3"/>
    </row>
    <row r="949" spans="1:1" x14ac:dyDescent="0.2">
      <c r="A949" s="3"/>
    </row>
    <row r="950" spans="1:1" x14ac:dyDescent="0.2">
      <c r="A950" s="3"/>
    </row>
    <row r="951" spans="1:1" x14ac:dyDescent="0.2">
      <c r="A951" s="3"/>
    </row>
    <row r="952" spans="1:1" x14ac:dyDescent="0.2">
      <c r="A952" s="3"/>
    </row>
    <row r="953" spans="1:1" x14ac:dyDescent="0.2">
      <c r="A953" s="3"/>
    </row>
    <row r="954" spans="1:1" x14ac:dyDescent="0.2">
      <c r="A954" s="3"/>
    </row>
    <row r="955" spans="1:1" x14ac:dyDescent="0.2">
      <c r="A955" s="3"/>
    </row>
    <row r="956" spans="1:1" x14ac:dyDescent="0.2">
      <c r="A956" s="3"/>
    </row>
    <row r="957" spans="1:1" x14ac:dyDescent="0.2">
      <c r="A957" s="3"/>
    </row>
    <row r="958" spans="1:1" x14ac:dyDescent="0.2">
      <c r="A958" s="3"/>
    </row>
    <row r="959" spans="1:1" x14ac:dyDescent="0.2">
      <c r="A959" s="3"/>
    </row>
    <row r="960" spans="1:1" x14ac:dyDescent="0.2">
      <c r="A960" s="3"/>
    </row>
    <row r="961" spans="1:1" x14ac:dyDescent="0.2">
      <c r="A961" s="3"/>
    </row>
    <row r="962" spans="1:1" x14ac:dyDescent="0.2">
      <c r="A962" s="3"/>
    </row>
    <row r="963" spans="1:1" x14ac:dyDescent="0.2">
      <c r="A963" s="3"/>
    </row>
    <row r="964" spans="1:1" x14ac:dyDescent="0.2">
      <c r="A964" s="3"/>
    </row>
    <row r="965" spans="1:1" x14ac:dyDescent="0.2">
      <c r="A965" s="3"/>
    </row>
    <row r="966" spans="1:1" x14ac:dyDescent="0.2">
      <c r="A966" s="3"/>
    </row>
    <row r="967" spans="1:1" x14ac:dyDescent="0.2">
      <c r="A967" s="3"/>
    </row>
    <row r="968" spans="1:1" x14ac:dyDescent="0.2">
      <c r="A968" s="3"/>
    </row>
    <row r="969" spans="1:1" x14ac:dyDescent="0.2">
      <c r="A969" s="3"/>
    </row>
    <row r="970" spans="1:1" x14ac:dyDescent="0.2">
      <c r="A970" s="3"/>
    </row>
    <row r="971" spans="1:1" x14ac:dyDescent="0.2">
      <c r="A971" s="3"/>
    </row>
    <row r="972" spans="1:1" x14ac:dyDescent="0.2">
      <c r="A972" s="3"/>
    </row>
    <row r="973" spans="1:1" x14ac:dyDescent="0.2">
      <c r="A973" s="3"/>
    </row>
    <row r="974" spans="1:1" x14ac:dyDescent="0.2">
      <c r="A974" s="3"/>
    </row>
    <row r="975" spans="1:1" x14ac:dyDescent="0.2">
      <c r="A975" s="3"/>
    </row>
    <row r="976" spans="1:1" x14ac:dyDescent="0.2">
      <c r="A976" s="3"/>
    </row>
    <row r="977" spans="1:1" x14ac:dyDescent="0.2">
      <c r="A977" s="3"/>
    </row>
    <row r="978" spans="1:1" x14ac:dyDescent="0.2">
      <c r="A978" s="3"/>
    </row>
    <row r="979" spans="1:1" x14ac:dyDescent="0.2">
      <c r="A979" s="3"/>
    </row>
    <row r="980" spans="1:1" x14ac:dyDescent="0.2">
      <c r="A980" s="3"/>
    </row>
    <row r="981" spans="1:1" x14ac:dyDescent="0.2">
      <c r="A981" s="3"/>
    </row>
    <row r="982" spans="1:1" x14ac:dyDescent="0.2">
      <c r="A982" s="3"/>
    </row>
    <row r="983" spans="1:1" x14ac:dyDescent="0.2">
      <c r="A983" s="3"/>
    </row>
    <row r="984" spans="1:1" x14ac:dyDescent="0.2">
      <c r="A984" s="3"/>
    </row>
    <row r="985" spans="1:1" x14ac:dyDescent="0.2">
      <c r="A985" s="3"/>
    </row>
    <row r="986" spans="1:1" x14ac:dyDescent="0.2">
      <c r="A986" s="3"/>
    </row>
    <row r="987" spans="1:1" x14ac:dyDescent="0.2">
      <c r="A987" s="3"/>
    </row>
    <row r="988" spans="1:1" x14ac:dyDescent="0.2">
      <c r="A988" s="3"/>
    </row>
    <row r="989" spans="1:1" x14ac:dyDescent="0.2">
      <c r="A989" s="3"/>
    </row>
    <row r="990" spans="1:1" x14ac:dyDescent="0.2">
      <c r="A990" s="3"/>
    </row>
    <row r="991" spans="1:1" x14ac:dyDescent="0.2">
      <c r="A991" s="3"/>
    </row>
    <row r="992" spans="1:1" x14ac:dyDescent="0.2">
      <c r="A992" s="3"/>
    </row>
    <row r="993" spans="1:1" x14ac:dyDescent="0.2">
      <c r="A993" s="3"/>
    </row>
    <row r="994" spans="1:1" x14ac:dyDescent="0.2">
      <c r="A994" s="3"/>
    </row>
    <row r="995" spans="1:1" x14ac:dyDescent="0.2">
      <c r="A995" s="3"/>
    </row>
    <row r="996" spans="1:1" x14ac:dyDescent="0.2">
      <c r="A996" s="3"/>
    </row>
    <row r="997" spans="1:1" x14ac:dyDescent="0.2">
      <c r="A997" s="3"/>
    </row>
    <row r="998" spans="1:1" x14ac:dyDescent="0.2">
      <c r="A998" s="3"/>
    </row>
    <row r="999" spans="1:1" x14ac:dyDescent="0.2">
      <c r="A999" s="3"/>
    </row>
    <row r="1000" spans="1:1" x14ac:dyDescent="0.2">
      <c r="A1000" s="3"/>
    </row>
  </sheetData>
  <autoFilter ref="A1:E1" xr:uid="{80CD9146-7370-47D8-B1F9-0F17F1D4F3ED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7FA08-6CC8-4C93-B686-0071BD7E6980}">
  <sheetPr codeName="Sheet4"/>
  <dimension ref="A1:G4999"/>
  <sheetViews>
    <sheetView workbookViewId="0">
      <selection activeCell="E86" sqref="E86"/>
    </sheetView>
  </sheetViews>
  <sheetFormatPr baseColWidth="10" defaultColWidth="8.83203125" defaultRowHeight="15" x14ac:dyDescent="0.2"/>
  <cols>
    <col min="1" max="2" width="19" customWidth="1"/>
    <col min="3" max="3" width="17.1640625" customWidth="1"/>
    <col min="4" max="4" width="17.1640625" style="16" customWidth="1"/>
    <col min="5" max="5" width="15.33203125" style="16" customWidth="1"/>
    <col min="6" max="6" width="17.1640625" style="16" customWidth="1"/>
    <col min="7" max="7" width="13.33203125" style="16" customWidth="1"/>
  </cols>
  <sheetData>
    <row r="1" spans="1:7" x14ac:dyDescent="0.2">
      <c r="A1" s="2" t="s">
        <v>1</v>
      </c>
      <c r="B1" s="2" t="s">
        <v>2</v>
      </c>
      <c r="C1" s="2" t="s">
        <v>0</v>
      </c>
      <c r="D1" s="15" t="s">
        <v>8</v>
      </c>
      <c r="E1" s="15" t="s">
        <v>9</v>
      </c>
      <c r="F1" s="15" t="s">
        <v>10</v>
      </c>
      <c r="G1" s="15" t="s">
        <v>4</v>
      </c>
    </row>
    <row r="2" spans="1:7" x14ac:dyDescent="0.2">
      <c r="A2" t="s">
        <v>1436</v>
      </c>
      <c r="B2" t="s">
        <v>1435</v>
      </c>
      <c r="C2" s="3">
        <v>46023</v>
      </c>
      <c r="D2" s="16" t="s">
        <v>1437</v>
      </c>
      <c r="E2" s="16">
        <v>0</v>
      </c>
      <c r="F2" s="16">
        <v>8</v>
      </c>
      <c r="G2" s="16">
        <v>1</v>
      </c>
    </row>
    <row r="3" spans="1:7" x14ac:dyDescent="0.2">
      <c r="A3" t="s">
        <v>1440</v>
      </c>
      <c r="B3" t="s">
        <v>1435</v>
      </c>
      <c r="C3" s="3">
        <v>46023</v>
      </c>
      <c r="D3" s="16" t="s">
        <v>1441</v>
      </c>
      <c r="E3" s="16">
        <v>0</v>
      </c>
      <c r="F3" s="16">
        <v>15</v>
      </c>
      <c r="G3" s="16">
        <v>2</v>
      </c>
    </row>
    <row r="4" spans="1:7" x14ac:dyDescent="0.2">
      <c r="A4" t="s">
        <v>1443</v>
      </c>
      <c r="B4" t="s">
        <v>1435</v>
      </c>
      <c r="C4" s="3">
        <v>46023</v>
      </c>
      <c r="D4" s="16" t="s">
        <v>1444</v>
      </c>
      <c r="E4" s="16">
        <v>0</v>
      </c>
      <c r="F4" s="16">
        <v>25</v>
      </c>
      <c r="G4" s="16">
        <v>3</v>
      </c>
    </row>
    <row r="5" spans="1:7" x14ac:dyDescent="0.2">
      <c r="A5" t="s">
        <v>1446</v>
      </c>
      <c r="B5" t="s">
        <v>1435</v>
      </c>
      <c r="C5" s="3">
        <v>46023</v>
      </c>
      <c r="D5" s="16" t="s">
        <v>1447</v>
      </c>
      <c r="E5" s="16">
        <v>0</v>
      </c>
      <c r="F5" s="16">
        <v>11</v>
      </c>
      <c r="G5" s="16">
        <v>4</v>
      </c>
    </row>
    <row r="6" spans="1:7" x14ac:dyDescent="0.2">
      <c r="A6" t="s">
        <v>1449</v>
      </c>
      <c r="B6" t="s">
        <v>1435</v>
      </c>
      <c r="C6" s="3">
        <v>46023</v>
      </c>
      <c r="D6" s="16" t="s">
        <v>1437</v>
      </c>
      <c r="E6" s="16">
        <v>0</v>
      </c>
      <c r="F6" s="16">
        <v>8</v>
      </c>
      <c r="G6" s="16">
        <v>5</v>
      </c>
    </row>
    <row r="7" spans="1:7" x14ac:dyDescent="0.2">
      <c r="A7" t="s">
        <v>1451</v>
      </c>
      <c r="B7" t="s">
        <v>1435</v>
      </c>
      <c r="C7" s="3">
        <v>46023</v>
      </c>
      <c r="D7" s="16" t="s">
        <v>1452</v>
      </c>
      <c r="E7" s="16">
        <v>0</v>
      </c>
      <c r="F7" s="16">
        <v>40</v>
      </c>
      <c r="G7" s="16">
        <v>6</v>
      </c>
    </row>
    <row r="8" spans="1:7" x14ac:dyDescent="0.2">
      <c r="A8" t="s">
        <v>1454</v>
      </c>
      <c r="B8" t="s">
        <v>1435</v>
      </c>
      <c r="C8" s="3">
        <v>46023</v>
      </c>
      <c r="D8" s="16" t="s">
        <v>1455</v>
      </c>
      <c r="E8" s="16">
        <v>0</v>
      </c>
      <c r="F8" s="16">
        <v>13</v>
      </c>
      <c r="G8" s="16">
        <v>7</v>
      </c>
    </row>
    <row r="9" spans="1:7" x14ac:dyDescent="0.2">
      <c r="A9" t="s">
        <v>1456</v>
      </c>
      <c r="B9" t="s">
        <v>1435</v>
      </c>
      <c r="C9" s="3">
        <v>46023</v>
      </c>
      <c r="D9" s="16" t="s">
        <v>1457</v>
      </c>
      <c r="E9" s="16">
        <v>0</v>
      </c>
      <c r="F9" s="16">
        <v>42</v>
      </c>
      <c r="G9" s="16">
        <v>8</v>
      </c>
    </row>
    <row r="10" spans="1:7" x14ac:dyDescent="0.2">
      <c r="A10" t="s">
        <v>1459</v>
      </c>
      <c r="B10" t="s">
        <v>1435</v>
      </c>
      <c r="C10" s="3">
        <v>46023</v>
      </c>
      <c r="D10" s="16" t="s">
        <v>1457</v>
      </c>
      <c r="E10" s="16">
        <v>0</v>
      </c>
      <c r="F10" s="16">
        <v>42</v>
      </c>
      <c r="G10" s="16">
        <v>9</v>
      </c>
    </row>
    <row r="11" spans="1:7" x14ac:dyDescent="0.2">
      <c r="A11" t="s">
        <v>1461</v>
      </c>
      <c r="B11" t="s">
        <v>1435</v>
      </c>
      <c r="C11" s="3">
        <v>46023</v>
      </c>
      <c r="D11" s="16" t="s">
        <v>1434</v>
      </c>
      <c r="E11" s="16">
        <v>0</v>
      </c>
      <c r="F11" s="16">
        <v>1</v>
      </c>
      <c r="G11" s="16">
        <v>10</v>
      </c>
    </row>
    <row r="12" spans="1:7" x14ac:dyDescent="0.2">
      <c r="A12" t="s">
        <v>1446</v>
      </c>
      <c r="B12" t="s">
        <v>1462</v>
      </c>
      <c r="C12" s="3">
        <v>46023</v>
      </c>
      <c r="D12" s="16" t="s">
        <v>1463</v>
      </c>
      <c r="E12" s="16">
        <v>0</v>
      </c>
      <c r="F12" s="16">
        <v>55</v>
      </c>
      <c r="G12" s="16">
        <v>11</v>
      </c>
    </row>
    <row r="13" spans="1:7" x14ac:dyDescent="0.2">
      <c r="A13" t="s">
        <v>1465</v>
      </c>
      <c r="B13" t="s">
        <v>1462</v>
      </c>
      <c r="C13" s="3">
        <v>46023</v>
      </c>
      <c r="D13" s="16" t="s">
        <v>1466</v>
      </c>
      <c r="E13" s="16">
        <v>0</v>
      </c>
      <c r="F13" s="16">
        <v>50</v>
      </c>
      <c r="G13" s="16">
        <v>12</v>
      </c>
    </row>
    <row r="14" spans="1:7" x14ac:dyDescent="0.2">
      <c r="A14" t="s">
        <v>1443</v>
      </c>
      <c r="B14" t="s">
        <v>1467</v>
      </c>
      <c r="C14" s="3">
        <v>46023</v>
      </c>
      <c r="D14" s="16" t="s">
        <v>1452</v>
      </c>
      <c r="E14" s="16">
        <v>0</v>
      </c>
      <c r="F14" s="16">
        <v>40</v>
      </c>
      <c r="G14" s="16">
        <v>13</v>
      </c>
    </row>
    <row r="15" spans="1:7" x14ac:dyDescent="0.2">
      <c r="A15" t="s">
        <v>1446</v>
      </c>
      <c r="B15" t="s">
        <v>1467</v>
      </c>
      <c r="C15" s="3">
        <v>46023</v>
      </c>
      <c r="D15" s="16" t="s">
        <v>1469</v>
      </c>
      <c r="E15" s="16">
        <v>0</v>
      </c>
      <c r="F15" s="16">
        <v>30</v>
      </c>
      <c r="G15" s="16">
        <v>14</v>
      </c>
    </row>
    <row r="16" spans="1:7" x14ac:dyDescent="0.2">
      <c r="A16" t="s">
        <v>1436</v>
      </c>
      <c r="B16" t="s">
        <v>1467</v>
      </c>
      <c r="C16" s="3">
        <v>46140</v>
      </c>
      <c r="D16" s="16" t="s">
        <v>1444</v>
      </c>
      <c r="E16" s="16">
        <v>0</v>
      </c>
      <c r="F16" s="16">
        <v>25</v>
      </c>
      <c r="G16" s="16">
        <v>15</v>
      </c>
    </row>
    <row r="17" spans="1:7" x14ac:dyDescent="0.2">
      <c r="A17" t="s">
        <v>1465</v>
      </c>
      <c r="B17" t="s">
        <v>1467</v>
      </c>
      <c r="C17" s="3">
        <v>46023</v>
      </c>
      <c r="D17" s="16" t="s">
        <v>1471</v>
      </c>
      <c r="E17" s="16">
        <v>0</v>
      </c>
      <c r="F17" s="16">
        <v>56</v>
      </c>
      <c r="G17" s="16">
        <v>16</v>
      </c>
    </row>
    <row r="18" spans="1:7" x14ac:dyDescent="0.2">
      <c r="A18" t="s">
        <v>1473</v>
      </c>
      <c r="B18" t="s">
        <v>1472</v>
      </c>
      <c r="C18" s="3">
        <v>46140</v>
      </c>
      <c r="D18" s="16" t="s">
        <v>1474</v>
      </c>
      <c r="E18" s="16">
        <v>0</v>
      </c>
      <c r="F18" s="16">
        <v>17</v>
      </c>
      <c r="G18" s="16">
        <v>17</v>
      </c>
    </row>
    <row r="19" spans="1:7" x14ac:dyDescent="0.2">
      <c r="A19" t="s">
        <v>1475</v>
      </c>
      <c r="B19" t="s">
        <v>1472</v>
      </c>
      <c r="C19" s="3">
        <v>46140</v>
      </c>
      <c r="D19" s="16" t="s">
        <v>1466</v>
      </c>
      <c r="E19" s="16">
        <v>0</v>
      </c>
      <c r="F19" s="16">
        <v>50</v>
      </c>
      <c r="G19" s="16">
        <v>18</v>
      </c>
    </row>
    <row r="20" spans="1:7" x14ac:dyDescent="0.2">
      <c r="A20" t="s">
        <v>1477</v>
      </c>
      <c r="B20" t="s">
        <v>1476</v>
      </c>
      <c r="C20" s="3">
        <v>46140</v>
      </c>
      <c r="D20" s="16" t="s">
        <v>1460</v>
      </c>
      <c r="E20" s="16">
        <v>0</v>
      </c>
      <c r="F20" s="16">
        <v>10</v>
      </c>
      <c r="G20" s="16">
        <v>19</v>
      </c>
    </row>
    <row r="21" spans="1:7" x14ac:dyDescent="0.2">
      <c r="A21" t="s">
        <v>1478</v>
      </c>
      <c r="B21" t="s">
        <v>1476</v>
      </c>
      <c r="C21" s="3">
        <v>46140</v>
      </c>
      <c r="D21" s="16" t="s">
        <v>1445</v>
      </c>
      <c r="E21" s="16">
        <v>0</v>
      </c>
      <c r="F21" s="16">
        <v>4</v>
      </c>
      <c r="G21" s="16">
        <v>20</v>
      </c>
    </row>
    <row r="22" spans="1:7" x14ac:dyDescent="0.2">
      <c r="A22" t="s">
        <v>1480</v>
      </c>
      <c r="B22" t="s">
        <v>1479</v>
      </c>
      <c r="C22" s="3">
        <v>46140</v>
      </c>
      <c r="D22" s="16" t="s">
        <v>1434</v>
      </c>
      <c r="E22" s="16">
        <v>0</v>
      </c>
      <c r="F22" s="16">
        <v>1</v>
      </c>
      <c r="G22" s="16">
        <v>21</v>
      </c>
    </row>
    <row r="23" spans="1:7" x14ac:dyDescent="0.2">
      <c r="A23" t="s">
        <v>1481</v>
      </c>
      <c r="B23" t="s">
        <v>1479</v>
      </c>
      <c r="C23" s="3">
        <v>46140</v>
      </c>
      <c r="D23" s="16" t="s">
        <v>1452</v>
      </c>
      <c r="E23" s="16">
        <v>0</v>
      </c>
      <c r="F23" s="16">
        <v>40</v>
      </c>
      <c r="G23" s="16">
        <v>22</v>
      </c>
    </row>
    <row r="24" spans="1:7" x14ac:dyDescent="0.2">
      <c r="A24" t="s">
        <v>1482</v>
      </c>
      <c r="B24" t="s">
        <v>1479</v>
      </c>
      <c r="C24" s="3">
        <v>46140</v>
      </c>
      <c r="D24" s="16" t="s">
        <v>1450</v>
      </c>
      <c r="E24" s="16">
        <v>0</v>
      </c>
      <c r="F24" s="16">
        <v>6</v>
      </c>
      <c r="G24" s="16">
        <v>23</v>
      </c>
    </row>
    <row r="25" spans="1:7" x14ac:dyDescent="0.2">
      <c r="A25" t="s">
        <v>1481</v>
      </c>
      <c r="B25" t="s">
        <v>1479</v>
      </c>
      <c r="C25" s="3">
        <v>46140</v>
      </c>
      <c r="D25" s="16" t="s">
        <v>1448</v>
      </c>
      <c r="E25" s="16">
        <v>0</v>
      </c>
      <c r="F25" s="16">
        <v>5</v>
      </c>
      <c r="G25" s="16">
        <v>24</v>
      </c>
    </row>
    <row r="26" spans="1:7" x14ac:dyDescent="0.2">
      <c r="A26" t="s">
        <v>1483</v>
      </c>
      <c r="B26" t="s">
        <v>1479</v>
      </c>
      <c r="C26" s="3">
        <v>46140</v>
      </c>
      <c r="D26" s="16" t="s">
        <v>1439</v>
      </c>
      <c r="E26" s="16">
        <v>0</v>
      </c>
      <c r="F26" s="16">
        <v>2</v>
      </c>
      <c r="G26" s="16">
        <v>25</v>
      </c>
    </row>
    <row r="27" spans="1:7" x14ac:dyDescent="0.2">
      <c r="A27" t="s">
        <v>1485</v>
      </c>
      <c r="B27" t="s">
        <v>1484</v>
      </c>
      <c r="C27" s="3">
        <v>46140</v>
      </c>
      <c r="D27" s="16" t="s">
        <v>1445</v>
      </c>
      <c r="E27" s="16">
        <v>0</v>
      </c>
      <c r="F27" s="16">
        <v>4</v>
      </c>
      <c r="G27" s="16">
        <v>26</v>
      </c>
    </row>
    <row r="28" spans="1:7" x14ac:dyDescent="0.2">
      <c r="A28" t="s">
        <v>1486</v>
      </c>
      <c r="B28" t="s">
        <v>1484</v>
      </c>
      <c r="C28" s="3">
        <v>46140</v>
      </c>
      <c r="D28" s="16" t="s">
        <v>1450</v>
      </c>
      <c r="E28" s="16">
        <v>0</v>
      </c>
      <c r="F28" s="16">
        <v>6</v>
      </c>
      <c r="G28" s="16">
        <v>27</v>
      </c>
    </row>
    <row r="29" spans="1:7" x14ac:dyDescent="0.2">
      <c r="A29" t="s">
        <v>1487</v>
      </c>
      <c r="B29" t="s">
        <v>1484</v>
      </c>
      <c r="C29" s="3">
        <v>46140</v>
      </c>
      <c r="D29" s="16" t="s">
        <v>1442</v>
      </c>
      <c r="E29" s="16">
        <v>0</v>
      </c>
      <c r="F29" s="16">
        <v>3</v>
      </c>
      <c r="G29" s="16">
        <v>28</v>
      </c>
    </row>
    <row r="30" spans="1:7" x14ac:dyDescent="0.2">
      <c r="A30" t="s">
        <v>1489</v>
      </c>
      <c r="B30" t="s">
        <v>1488</v>
      </c>
      <c r="C30" s="3">
        <v>46140</v>
      </c>
      <c r="D30" s="16" t="s">
        <v>1445</v>
      </c>
      <c r="E30" s="16">
        <v>0</v>
      </c>
      <c r="F30" s="16">
        <v>4</v>
      </c>
      <c r="G30" s="16">
        <v>29</v>
      </c>
    </row>
    <row r="31" spans="1:7" x14ac:dyDescent="0.2">
      <c r="A31" t="s">
        <v>1490</v>
      </c>
      <c r="B31" t="s">
        <v>1488</v>
      </c>
      <c r="C31" s="3">
        <v>46140</v>
      </c>
      <c r="D31" s="16" t="s">
        <v>1439</v>
      </c>
      <c r="E31" s="16">
        <v>0</v>
      </c>
      <c r="F31" s="16">
        <v>2</v>
      </c>
      <c r="G31" s="16">
        <v>30</v>
      </c>
    </row>
    <row r="32" spans="1:7" x14ac:dyDescent="0.2">
      <c r="A32" t="s">
        <v>1489</v>
      </c>
      <c r="B32" t="s">
        <v>1491</v>
      </c>
      <c r="C32" s="3">
        <v>46140</v>
      </c>
      <c r="D32" s="16" t="s">
        <v>1445</v>
      </c>
      <c r="E32" s="16">
        <v>0</v>
      </c>
      <c r="F32" s="16">
        <v>4</v>
      </c>
      <c r="G32" s="16">
        <v>31</v>
      </c>
    </row>
    <row r="33" spans="1:7" x14ac:dyDescent="0.2">
      <c r="A33" t="s">
        <v>1493</v>
      </c>
      <c r="B33" t="s">
        <v>1492</v>
      </c>
      <c r="C33" s="3">
        <v>46140</v>
      </c>
      <c r="D33" s="16" t="s">
        <v>1445</v>
      </c>
      <c r="E33" s="16">
        <v>0</v>
      </c>
      <c r="F33" s="16">
        <v>4</v>
      </c>
      <c r="G33" s="16">
        <v>32</v>
      </c>
    </row>
    <row r="34" spans="1:7" x14ac:dyDescent="0.2">
      <c r="A34" t="s">
        <v>1495</v>
      </c>
      <c r="B34" t="s">
        <v>1491</v>
      </c>
      <c r="C34" s="3">
        <v>46140</v>
      </c>
      <c r="D34" s="16" t="s">
        <v>1445</v>
      </c>
      <c r="E34" s="16">
        <v>0</v>
      </c>
      <c r="F34" s="16">
        <v>4</v>
      </c>
      <c r="G34" s="16">
        <v>33</v>
      </c>
    </row>
    <row r="35" spans="1:7" x14ac:dyDescent="0.2">
      <c r="A35" t="s">
        <v>1498</v>
      </c>
      <c r="B35" t="s">
        <v>1497</v>
      </c>
      <c r="C35" s="3">
        <v>46140</v>
      </c>
      <c r="D35" s="16" t="s">
        <v>1445</v>
      </c>
      <c r="E35" s="16">
        <v>0</v>
      </c>
      <c r="F35" s="16">
        <v>4</v>
      </c>
      <c r="G35" s="16">
        <v>34</v>
      </c>
    </row>
    <row r="36" spans="1:7" x14ac:dyDescent="0.2">
      <c r="A36" t="s">
        <v>1500</v>
      </c>
      <c r="B36" t="s">
        <v>1497</v>
      </c>
      <c r="C36" s="3">
        <v>46140</v>
      </c>
      <c r="D36" s="16" t="s">
        <v>1450</v>
      </c>
      <c r="E36" s="16">
        <v>0</v>
      </c>
      <c r="F36" s="16">
        <v>6</v>
      </c>
      <c r="G36" s="16">
        <v>35</v>
      </c>
    </row>
    <row r="37" spans="1:7" x14ac:dyDescent="0.2">
      <c r="A37" t="s">
        <v>1498</v>
      </c>
      <c r="B37" t="s">
        <v>1502</v>
      </c>
      <c r="C37" s="3">
        <v>46140</v>
      </c>
      <c r="D37" s="16" t="s">
        <v>1445</v>
      </c>
      <c r="E37" s="16">
        <v>0</v>
      </c>
      <c r="F37" s="16">
        <v>4</v>
      </c>
      <c r="G37" s="16">
        <v>36</v>
      </c>
    </row>
    <row r="38" spans="1:7" x14ac:dyDescent="0.2">
      <c r="A38" t="s">
        <v>1504</v>
      </c>
      <c r="B38" t="s">
        <v>1502</v>
      </c>
      <c r="C38" s="3">
        <v>46140</v>
      </c>
      <c r="D38" s="16" t="s">
        <v>1439</v>
      </c>
      <c r="E38" s="16">
        <v>0</v>
      </c>
      <c r="F38" s="16">
        <v>2</v>
      </c>
      <c r="G38" s="16">
        <v>37</v>
      </c>
    </row>
    <row r="39" spans="1:7" x14ac:dyDescent="0.2">
      <c r="A39" t="s">
        <v>1506</v>
      </c>
      <c r="B39" t="s">
        <v>1502</v>
      </c>
      <c r="C39" s="3">
        <v>46140</v>
      </c>
      <c r="D39" s="16" t="s">
        <v>1448</v>
      </c>
      <c r="E39" s="16">
        <v>0</v>
      </c>
      <c r="F39" s="16">
        <v>5</v>
      </c>
      <c r="G39" s="16">
        <v>38</v>
      </c>
    </row>
    <row r="40" spans="1:7" x14ac:dyDescent="0.2">
      <c r="A40" t="s">
        <v>1509</v>
      </c>
      <c r="B40" t="s">
        <v>1508</v>
      </c>
      <c r="C40" s="3">
        <v>46140</v>
      </c>
      <c r="D40" s="16" t="s">
        <v>1460</v>
      </c>
      <c r="E40" s="16">
        <v>0</v>
      </c>
      <c r="F40" s="16">
        <v>10</v>
      </c>
      <c r="G40" s="16">
        <v>39</v>
      </c>
    </row>
    <row r="41" spans="1:7" x14ac:dyDescent="0.2">
      <c r="A41" t="s">
        <v>1510</v>
      </c>
      <c r="B41" t="s">
        <v>1508</v>
      </c>
      <c r="C41" s="3">
        <v>46140</v>
      </c>
      <c r="D41" s="16" t="s">
        <v>1448</v>
      </c>
      <c r="E41" s="16">
        <v>0</v>
      </c>
      <c r="F41" s="16">
        <v>5</v>
      </c>
      <c r="G41" s="16">
        <v>40</v>
      </c>
    </row>
    <row r="42" spans="1:7" x14ac:dyDescent="0.2">
      <c r="A42" t="s">
        <v>1512</v>
      </c>
      <c r="B42" t="s">
        <v>1508</v>
      </c>
      <c r="C42" s="3">
        <v>46140</v>
      </c>
      <c r="D42" s="16" t="s">
        <v>1450</v>
      </c>
      <c r="E42" s="16">
        <v>0</v>
      </c>
      <c r="F42" s="16">
        <v>6</v>
      </c>
      <c r="G42" s="16">
        <v>41</v>
      </c>
    </row>
    <row r="43" spans="1:7" x14ac:dyDescent="0.2">
      <c r="A43" t="s">
        <v>1515</v>
      </c>
      <c r="B43" t="s">
        <v>1514</v>
      </c>
      <c r="C43" s="3">
        <v>46140</v>
      </c>
      <c r="D43" s="16" t="s">
        <v>1444</v>
      </c>
      <c r="E43" s="16">
        <v>0</v>
      </c>
      <c r="F43" s="16">
        <v>25</v>
      </c>
      <c r="G43" s="16">
        <v>42</v>
      </c>
    </row>
    <row r="44" spans="1:7" x14ac:dyDescent="0.2">
      <c r="A44" t="s">
        <v>1495</v>
      </c>
      <c r="B44" t="s">
        <v>1517</v>
      </c>
      <c r="C44" s="3">
        <v>46140</v>
      </c>
      <c r="D44" s="16" t="s">
        <v>1434</v>
      </c>
      <c r="E44" s="16">
        <v>0</v>
      </c>
      <c r="F44" s="16">
        <v>1</v>
      </c>
      <c r="G44" s="16">
        <v>43</v>
      </c>
    </row>
    <row r="45" spans="1:7" x14ac:dyDescent="0.2">
      <c r="A45" t="s">
        <v>1519</v>
      </c>
      <c r="B45" t="s">
        <v>1517</v>
      </c>
      <c r="C45" s="3">
        <v>46140</v>
      </c>
      <c r="D45" s="16" t="s">
        <v>1434</v>
      </c>
      <c r="E45" s="16">
        <v>0</v>
      </c>
      <c r="F45" s="16">
        <v>1</v>
      </c>
      <c r="G45" s="16">
        <v>44</v>
      </c>
    </row>
    <row r="46" spans="1:7" x14ac:dyDescent="0.2">
      <c r="A46" t="s">
        <v>1520</v>
      </c>
      <c r="B46" t="s">
        <v>1517</v>
      </c>
      <c r="C46" s="3">
        <v>46140</v>
      </c>
      <c r="D46" s="16" t="s">
        <v>1434</v>
      </c>
      <c r="E46" s="16">
        <v>0</v>
      </c>
      <c r="F46" s="16">
        <v>1</v>
      </c>
      <c r="G46" s="16">
        <v>45</v>
      </c>
    </row>
    <row r="47" spans="1:7" x14ac:dyDescent="0.2">
      <c r="A47" t="s">
        <v>526</v>
      </c>
      <c r="B47" t="s">
        <v>1472</v>
      </c>
      <c r="C47" s="3">
        <v>46140</v>
      </c>
      <c r="D47" s="16" t="s">
        <v>1434</v>
      </c>
      <c r="E47" s="16">
        <v>0</v>
      </c>
      <c r="F47" s="16">
        <v>1</v>
      </c>
      <c r="G47" s="16">
        <v>46</v>
      </c>
    </row>
    <row r="48" spans="1:7" x14ac:dyDescent="0.2">
      <c r="A48" t="s">
        <v>1524</v>
      </c>
      <c r="B48" t="s">
        <v>1523</v>
      </c>
      <c r="C48" s="3">
        <v>46140</v>
      </c>
      <c r="D48" s="16" t="s">
        <v>1434</v>
      </c>
      <c r="E48" s="16">
        <v>0</v>
      </c>
      <c r="F48" s="16">
        <v>1</v>
      </c>
      <c r="G48" s="16">
        <v>47</v>
      </c>
    </row>
    <row r="49" spans="1:7" x14ac:dyDescent="0.2">
      <c r="A49" t="s">
        <v>1526</v>
      </c>
      <c r="B49" t="s">
        <v>1525</v>
      </c>
      <c r="C49" s="3">
        <v>46140</v>
      </c>
      <c r="D49" s="16" t="s">
        <v>1445</v>
      </c>
      <c r="E49" s="16">
        <v>0</v>
      </c>
      <c r="F49" s="16">
        <v>4</v>
      </c>
      <c r="G49" s="16">
        <v>48</v>
      </c>
    </row>
    <row r="50" spans="1:7" x14ac:dyDescent="0.2">
      <c r="A50" t="s">
        <v>1527</v>
      </c>
      <c r="B50" t="s">
        <v>1525</v>
      </c>
      <c r="C50" s="3">
        <v>46140</v>
      </c>
      <c r="D50" s="16" t="s">
        <v>1528</v>
      </c>
      <c r="E50" s="16">
        <v>0</v>
      </c>
      <c r="F50" s="16">
        <v>54</v>
      </c>
      <c r="G50" s="16">
        <v>49</v>
      </c>
    </row>
    <row r="51" spans="1:7" x14ac:dyDescent="0.2">
      <c r="A51" t="s">
        <v>1446</v>
      </c>
      <c r="B51" t="s">
        <v>1525</v>
      </c>
      <c r="C51" s="3">
        <v>46140</v>
      </c>
      <c r="D51" s="16" t="s">
        <v>1439</v>
      </c>
      <c r="E51" s="16">
        <v>0</v>
      </c>
      <c r="F51" s="16">
        <v>2</v>
      </c>
      <c r="G51" s="16">
        <v>50</v>
      </c>
    </row>
    <row r="52" spans="1:7" x14ac:dyDescent="0.2">
      <c r="A52" t="s">
        <v>1449</v>
      </c>
      <c r="B52" t="s">
        <v>1525</v>
      </c>
      <c r="C52" s="3">
        <v>46140</v>
      </c>
      <c r="D52" s="16" t="s">
        <v>1464</v>
      </c>
      <c r="E52" s="16">
        <v>0</v>
      </c>
      <c r="F52" s="16">
        <v>12</v>
      </c>
      <c r="G52" s="16">
        <v>51</v>
      </c>
    </row>
    <row r="53" spans="1:7" x14ac:dyDescent="0.2">
      <c r="A53" t="s">
        <v>1529</v>
      </c>
      <c r="B53" t="s">
        <v>1525</v>
      </c>
      <c r="C53" s="3">
        <v>46140</v>
      </c>
      <c r="D53" s="16" t="s">
        <v>1448</v>
      </c>
      <c r="E53" s="16">
        <v>0</v>
      </c>
      <c r="F53" s="16">
        <v>5</v>
      </c>
      <c r="G53" s="16">
        <v>52</v>
      </c>
    </row>
    <row r="54" spans="1:7" x14ac:dyDescent="0.2">
      <c r="A54" t="s">
        <v>1530</v>
      </c>
      <c r="B54" t="s">
        <v>1525</v>
      </c>
      <c r="C54" s="3">
        <v>46140</v>
      </c>
      <c r="D54" s="16" t="s">
        <v>1448</v>
      </c>
      <c r="E54" s="16">
        <v>0</v>
      </c>
      <c r="F54" s="16">
        <v>5</v>
      </c>
      <c r="G54" s="16">
        <v>53</v>
      </c>
    </row>
    <row r="55" spans="1:7" x14ac:dyDescent="0.2">
      <c r="A55" t="s">
        <v>1531</v>
      </c>
      <c r="B55" t="s">
        <v>1525</v>
      </c>
      <c r="C55" s="3">
        <v>46140</v>
      </c>
      <c r="D55" s="16" t="s">
        <v>1450</v>
      </c>
      <c r="E55" s="16">
        <v>0</v>
      </c>
      <c r="F55" s="16">
        <v>6</v>
      </c>
      <c r="G55" s="16">
        <v>54</v>
      </c>
    </row>
    <row r="56" spans="1:7" x14ac:dyDescent="0.2">
      <c r="A56" t="s">
        <v>1454</v>
      </c>
      <c r="B56" t="s">
        <v>1525</v>
      </c>
      <c r="C56" s="3">
        <v>46140</v>
      </c>
      <c r="D56" s="16" t="s">
        <v>1458</v>
      </c>
      <c r="E56" s="16">
        <v>0</v>
      </c>
      <c r="F56" s="16">
        <v>9</v>
      </c>
      <c r="G56" s="16">
        <v>55</v>
      </c>
    </row>
    <row r="57" spans="1:7" x14ac:dyDescent="0.2">
      <c r="A57" t="s">
        <v>1532</v>
      </c>
      <c r="B57" t="s">
        <v>1525</v>
      </c>
      <c r="C57" s="3">
        <v>46140</v>
      </c>
      <c r="D57" s="16" t="s">
        <v>1434</v>
      </c>
      <c r="E57" s="16">
        <v>0</v>
      </c>
      <c r="F57" s="16">
        <v>1</v>
      </c>
      <c r="G57" s="16">
        <v>56</v>
      </c>
    </row>
    <row r="58" spans="1:7" x14ac:dyDescent="0.2">
      <c r="A58" t="s">
        <v>1533</v>
      </c>
      <c r="B58" t="s">
        <v>1525</v>
      </c>
      <c r="C58" s="3">
        <v>46140</v>
      </c>
      <c r="D58" s="16" t="s">
        <v>1445</v>
      </c>
      <c r="E58" s="16">
        <v>0</v>
      </c>
      <c r="F58" s="16">
        <v>4</v>
      </c>
      <c r="G58" s="16">
        <v>57</v>
      </c>
    </row>
    <row r="59" spans="1:7" x14ac:dyDescent="0.2">
      <c r="A59" t="s">
        <v>1534</v>
      </c>
      <c r="B59" t="s">
        <v>1525</v>
      </c>
      <c r="C59" s="3">
        <v>46140</v>
      </c>
      <c r="D59" s="16" t="s">
        <v>1439</v>
      </c>
      <c r="E59" s="16">
        <v>0</v>
      </c>
      <c r="F59" s="16">
        <v>2</v>
      </c>
      <c r="G59" s="16">
        <v>58</v>
      </c>
    </row>
    <row r="60" spans="1:7" x14ac:dyDescent="0.2">
      <c r="A60" t="s">
        <v>1536</v>
      </c>
      <c r="B60" t="s">
        <v>1535</v>
      </c>
      <c r="C60" s="3">
        <v>46140</v>
      </c>
      <c r="D60" s="16" t="s">
        <v>1464</v>
      </c>
      <c r="E60" s="16">
        <v>0</v>
      </c>
      <c r="F60" s="16">
        <v>12</v>
      </c>
      <c r="G60" s="16">
        <v>59</v>
      </c>
    </row>
    <row r="61" spans="1:7" x14ac:dyDescent="0.2">
      <c r="A61" t="s">
        <v>1440</v>
      </c>
      <c r="B61" t="s">
        <v>1535</v>
      </c>
      <c r="C61" s="3">
        <v>46140</v>
      </c>
      <c r="D61" s="16" t="s">
        <v>1499</v>
      </c>
      <c r="E61" s="16">
        <v>0</v>
      </c>
      <c r="F61" s="16">
        <v>20</v>
      </c>
      <c r="G61" s="16">
        <v>60</v>
      </c>
    </row>
    <row r="62" spans="1:7" x14ac:dyDescent="0.2">
      <c r="A62" t="s">
        <v>1537</v>
      </c>
      <c r="B62" t="s">
        <v>1535</v>
      </c>
      <c r="C62" s="3">
        <v>46140</v>
      </c>
      <c r="D62" s="16" t="s">
        <v>1448</v>
      </c>
      <c r="E62" s="16">
        <v>0</v>
      </c>
      <c r="F62" s="16">
        <v>5</v>
      </c>
      <c r="G62" s="16">
        <v>61</v>
      </c>
    </row>
    <row r="63" spans="1:7" x14ac:dyDescent="0.2">
      <c r="A63" t="s">
        <v>1440</v>
      </c>
      <c r="B63" t="s">
        <v>1538</v>
      </c>
      <c r="C63" s="3">
        <v>46140</v>
      </c>
      <c r="D63" s="16" t="s">
        <v>1539</v>
      </c>
      <c r="E63" s="16">
        <v>0</v>
      </c>
      <c r="F63" s="16">
        <v>80</v>
      </c>
      <c r="G63" s="16">
        <v>62</v>
      </c>
    </row>
    <row r="64" spans="1:7" x14ac:dyDescent="0.2">
      <c r="A64" t="s">
        <v>1465</v>
      </c>
      <c r="B64" t="s">
        <v>1538</v>
      </c>
      <c r="C64" s="3">
        <v>46140</v>
      </c>
      <c r="D64" s="16" t="s">
        <v>1444</v>
      </c>
      <c r="E64" s="16">
        <v>0</v>
      </c>
      <c r="F64" s="16">
        <v>25</v>
      </c>
      <c r="G64" s="16">
        <v>63</v>
      </c>
    </row>
    <row r="65" spans="1:7" x14ac:dyDescent="0.2">
      <c r="A65" t="s">
        <v>1540</v>
      </c>
      <c r="B65" t="s">
        <v>1538</v>
      </c>
      <c r="C65" s="3">
        <v>46140</v>
      </c>
      <c r="D65" s="16" t="s">
        <v>1458</v>
      </c>
      <c r="E65" s="16">
        <v>0</v>
      </c>
      <c r="F65" s="16">
        <v>9</v>
      </c>
      <c r="G65" s="16">
        <v>64</v>
      </c>
    </row>
    <row r="66" spans="1:7" x14ac:dyDescent="0.2">
      <c r="A66" t="s">
        <v>1541</v>
      </c>
      <c r="B66" t="s">
        <v>1538</v>
      </c>
      <c r="C66" s="3">
        <v>46140</v>
      </c>
      <c r="D66" s="16" t="s">
        <v>1447</v>
      </c>
      <c r="E66" s="16">
        <v>0</v>
      </c>
      <c r="F66" s="16">
        <v>11</v>
      </c>
      <c r="G66" s="16">
        <v>65</v>
      </c>
    </row>
    <row r="67" spans="1:7" x14ac:dyDescent="0.2">
      <c r="A67" t="s">
        <v>1542</v>
      </c>
      <c r="B67" t="s">
        <v>1538</v>
      </c>
      <c r="C67" s="3">
        <v>46140</v>
      </c>
      <c r="D67" s="16" t="s">
        <v>1448</v>
      </c>
      <c r="E67" s="16">
        <v>0</v>
      </c>
      <c r="F67" s="16">
        <v>5</v>
      </c>
      <c r="G67" s="16">
        <v>66</v>
      </c>
    </row>
    <row r="68" spans="1:7" x14ac:dyDescent="0.2">
      <c r="A68" t="s">
        <v>439</v>
      </c>
      <c r="B68" t="s">
        <v>1543</v>
      </c>
      <c r="C68" s="3">
        <v>46140</v>
      </c>
      <c r="D68" s="16" t="s">
        <v>1544</v>
      </c>
      <c r="E68" s="16">
        <v>0</v>
      </c>
      <c r="F68" s="16">
        <v>16000</v>
      </c>
      <c r="G68" s="16">
        <v>67</v>
      </c>
    </row>
    <row r="69" spans="1:7" x14ac:dyDescent="0.2">
      <c r="A69" t="s">
        <v>439</v>
      </c>
      <c r="B69" t="s">
        <v>1545</v>
      </c>
      <c r="C69" s="3">
        <v>46140</v>
      </c>
      <c r="D69" s="16" t="s">
        <v>1544</v>
      </c>
      <c r="E69" s="16">
        <v>0</v>
      </c>
      <c r="F69" s="16">
        <v>16000</v>
      </c>
      <c r="G69" s="16">
        <v>68</v>
      </c>
    </row>
    <row r="70" spans="1:7" x14ac:dyDescent="0.2">
      <c r="A70" t="s">
        <v>439</v>
      </c>
      <c r="B70" t="s">
        <v>1546</v>
      </c>
      <c r="C70" s="3">
        <v>46140</v>
      </c>
      <c r="D70" s="16" t="s">
        <v>1544</v>
      </c>
      <c r="E70" s="16">
        <v>0</v>
      </c>
      <c r="F70" s="16">
        <v>16000</v>
      </c>
      <c r="G70" s="16">
        <v>69</v>
      </c>
    </row>
    <row r="71" spans="1:7" x14ac:dyDescent="0.2">
      <c r="A71" t="s">
        <v>439</v>
      </c>
      <c r="B71" t="s">
        <v>1547</v>
      </c>
      <c r="C71" s="3">
        <v>46140</v>
      </c>
      <c r="D71" s="16" t="s">
        <v>1544</v>
      </c>
      <c r="E71" s="16">
        <v>0</v>
      </c>
      <c r="F71" s="16">
        <v>16000</v>
      </c>
      <c r="G71" s="16">
        <v>70</v>
      </c>
    </row>
    <row r="72" spans="1:7" x14ac:dyDescent="0.2">
      <c r="A72" t="s">
        <v>439</v>
      </c>
      <c r="B72" t="s">
        <v>1548</v>
      </c>
      <c r="C72" s="3">
        <v>46140</v>
      </c>
      <c r="D72" s="16" t="s">
        <v>1544</v>
      </c>
      <c r="E72" s="16">
        <v>0</v>
      </c>
      <c r="F72" s="16">
        <v>16000</v>
      </c>
      <c r="G72" s="16">
        <v>71</v>
      </c>
    </row>
    <row r="73" spans="1:7" x14ac:dyDescent="0.2">
      <c r="A73" t="s">
        <v>439</v>
      </c>
      <c r="B73" t="s">
        <v>1549</v>
      </c>
      <c r="C73" s="3">
        <v>46140</v>
      </c>
      <c r="D73" s="16" t="s">
        <v>1544</v>
      </c>
      <c r="E73" s="16">
        <v>0</v>
      </c>
      <c r="F73" s="16">
        <v>16000</v>
      </c>
      <c r="G73" s="16">
        <v>72</v>
      </c>
    </row>
    <row r="74" spans="1:7" x14ac:dyDescent="0.2">
      <c r="A74" t="s">
        <v>439</v>
      </c>
      <c r="B74" t="s">
        <v>1550</v>
      </c>
      <c r="C74" s="3">
        <v>46140</v>
      </c>
      <c r="D74" s="16" t="s">
        <v>1544</v>
      </c>
      <c r="E74" s="16">
        <v>0</v>
      </c>
      <c r="F74" s="16">
        <v>16000</v>
      </c>
      <c r="G74" s="16">
        <v>73</v>
      </c>
    </row>
    <row r="75" spans="1:7" x14ac:dyDescent="0.2">
      <c r="A75" t="s">
        <v>1552</v>
      </c>
      <c r="B75" t="s">
        <v>1551</v>
      </c>
      <c r="C75" s="3">
        <v>46140</v>
      </c>
      <c r="D75" s="16" t="s">
        <v>1450</v>
      </c>
      <c r="E75" s="16">
        <v>0</v>
      </c>
      <c r="F75" s="16">
        <v>6</v>
      </c>
      <c r="G75" s="16">
        <v>74</v>
      </c>
    </row>
    <row r="76" spans="1:7" x14ac:dyDescent="0.2">
      <c r="A76" t="s">
        <v>1553</v>
      </c>
      <c r="B76" t="s">
        <v>1551</v>
      </c>
      <c r="C76" s="3">
        <v>46140</v>
      </c>
      <c r="D76" s="16" t="s">
        <v>1437</v>
      </c>
      <c r="E76" s="16">
        <v>0</v>
      </c>
      <c r="F76" s="16">
        <v>8</v>
      </c>
      <c r="G76" s="16">
        <v>75</v>
      </c>
    </row>
    <row r="77" spans="1:7" x14ac:dyDescent="0.2">
      <c r="A77" t="s">
        <v>668</v>
      </c>
      <c r="B77" t="s">
        <v>1554</v>
      </c>
      <c r="C77" s="3">
        <v>46140</v>
      </c>
      <c r="D77" s="16" t="s">
        <v>1555</v>
      </c>
      <c r="E77" s="16">
        <v>0</v>
      </c>
      <c r="F77" s="16">
        <v>216</v>
      </c>
      <c r="G77" s="16">
        <v>76</v>
      </c>
    </row>
    <row r="78" spans="1:7" x14ac:dyDescent="0.2">
      <c r="A78" t="s">
        <v>1557</v>
      </c>
      <c r="B78" t="s">
        <v>1556</v>
      </c>
      <c r="C78" s="3">
        <v>46140</v>
      </c>
      <c r="D78" s="16" t="s">
        <v>1505</v>
      </c>
      <c r="E78" s="16">
        <v>0</v>
      </c>
      <c r="F78" s="16">
        <v>23</v>
      </c>
      <c r="G78" s="16">
        <v>77</v>
      </c>
    </row>
    <row r="79" spans="1:7" x14ac:dyDescent="0.2">
      <c r="A79" t="s">
        <v>1559</v>
      </c>
      <c r="B79" t="s">
        <v>1558</v>
      </c>
      <c r="C79" s="3">
        <v>46140</v>
      </c>
      <c r="D79" s="16" t="s">
        <v>1442</v>
      </c>
      <c r="E79" s="16">
        <v>0</v>
      </c>
      <c r="F79" s="16">
        <v>3</v>
      </c>
      <c r="G79" s="16">
        <v>78</v>
      </c>
    </row>
    <row r="80" spans="1:7" x14ac:dyDescent="0.2">
      <c r="A80" t="s">
        <v>1561</v>
      </c>
      <c r="B80" t="s">
        <v>1560</v>
      </c>
      <c r="C80" s="3">
        <v>46140</v>
      </c>
      <c r="D80" s="16" t="s">
        <v>1562</v>
      </c>
      <c r="E80" s="16">
        <v>0</v>
      </c>
      <c r="F80" s="16">
        <v>67</v>
      </c>
      <c r="G80" s="16">
        <v>79</v>
      </c>
    </row>
    <row r="81" spans="1:7" x14ac:dyDescent="0.2">
      <c r="A81" t="s">
        <v>1563</v>
      </c>
      <c r="B81" t="s">
        <v>1560</v>
      </c>
      <c r="C81" s="3">
        <v>46140</v>
      </c>
      <c r="D81" s="16" t="s">
        <v>1445</v>
      </c>
      <c r="E81" s="16">
        <v>0</v>
      </c>
      <c r="F81" s="16">
        <v>4</v>
      </c>
      <c r="G81" s="16">
        <v>80</v>
      </c>
    </row>
    <row r="82" spans="1:7" x14ac:dyDescent="0.2">
      <c r="A82" t="s">
        <v>1565</v>
      </c>
      <c r="B82" t="s">
        <v>1564</v>
      </c>
      <c r="C82" s="3">
        <v>46140</v>
      </c>
      <c r="D82" s="16" t="s">
        <v>1457</v>
      </c>
      <c r="E82" s="16">
        <v>0</v>
      </c>
      <c r="F82" s="16">
        <v>42</v>
      </c>
      <c r="G82" s="16">
        <v>81</v>
      </c>
    </row>
    <row r="83" spans="1:7" x14ac:dyDescent="0.2">
      <c r="A83" t="s">
        <v>1567</v>
      </c>
      <c r="B83" t="s">
        <v>1566</v>
      </c>
      <c r="C83" s="3">
        <v>46140</v>
      </c>
      <c r="D83" s="16" t="s">
        <v>1439</v>
      </c>
      <c r="E83" s="16">
        <v>0</v>
      </c>
      <c r="F83" s="16">
        <v>2</v>
      </c>
      <c r="G83" s="16">
        <v>82</v>
      </c>
    </row>
    <row r="84" spans="1:7" x14ac:dyDescent="0.2">
      <c r="A84" t="s">
        <v>610</v>
      </c>
      <c r="B84" t="s">
        <v>1568</v>
      </c>
      <c r="C84" s="3">
        <v>46140</v>
      </c>
      <c r="D84" s="16" t="s">
        <v>1464</v>
      </c>
      <c r="E84" s="16">
        <v>0</v>
      </c>
      <c r="F84" s="16">
        <v>12</v>
      </c>
      <c r="G84" s="16">
        <v>83</v>
      </c>
    </row>
    <row r="85" spans="1:7" x14ac:dyDescent="0.2">
      <c r="A85" t="s">
        <v>439</v>
      </c>
      <c r="B85" t="s">
        <v>1569</v>
      </c>
      <c r="C85" s="3">
        <v>46140</v>
      </c>
      <c r="D85" s="16" t="s">
        <v>1570</v>
      </c>
      <c r="E85" s="16">
        <v>0</v>
      </c>
      <c r="F85" s="16">
        <v>8000</v>
      </c>
      <c r="G85" s="16">
        <v>84</v>
      </c>
    </row>
    <row r="86" spans="1:7" x14ac:dyDescent="0.2">
      <c r="A86" t="s">
        <v>1487</v>
      </c>
      <c r="B86" t="s">
        <v>1571</v>
      </c>
      <c r="C86" s="3">
        <v>46140</v>
      </c>
      <c r="D86" s="16" t="s">
        <v>1453</v>
      </c>
      <c r="E86" s="16">
        <v>0</v>
      </c>
      <c r="F86" s="16">
        <v>7</v>
      </c>
      <c r="G86" s="16">
        <v>85</v>
      </c>
    </row>
    <row r="87" spans="1:7" x14ac:dyDescent="0.2">
      <c r="A87" t="s">
        <v>1573</v>
      </c>
      <c r="B87" t="s">
        <v>1572</v>
      </c>
      <c r="C87" s="3">
        <v>46140</v>
      </c>
      <c r="D87" s="16" t="s">
        <v>1434</v>
      </c>
      <c r="E87" s="16">
        <v>0</v>
      </c>
      <c r="F87" s="16">
        <v>1</v>
      </c>
      <c r="G87" s="16">
        <v>86</v>
      </c>
    </row>
    <row r="88" spans="1:7" x14ac:dyDescent="0.2">
      <c r="A88" t="s">
        <v>1574</v>
      </c>
      <c r="B88" t="s">
        <v>1572</v>
      </c>
      <c r="C88" s="3">
        <v>46140</v>
      </c>
      <c r="D88" s="16" t="s">
        <v>1460</v>
      </c>
      <c r="E88" s="16">
        <v>0</v>
      </c>
      <c r="F88" s="16">
        <v>10</v>
      </c>
      <c r="G88" s="16">
        <v>87</v>
      </c>
    </row>
    <row r="89" spans="1:7" x14ac:dyDescent="0.2">
      <c r="A89" t="s">
        <v>1553</v>
      </c>
      <c r="B89" t="s">
        <v>1572</v>
      </c>
      <c r="C89" s="3">
        <v>46140</v>
      </c>
      <c r="D89" s="16" t="s">
        <v>1439</v>
      </c>
      <c r="E89" s="16">
        <v>0</v>
      </c>
      <c r="F89" s="16">
        <v>2</v>
      </c>
      <c r="G89" s="16">
        <v>88</v>
      </c>
    </row>
    <row r="90" spans="1:7" x14ac:dyDescent="0.2">
      <c r="A90" t="s">
        <v>1489</v>
      </c>
      <c r="B90" t="s">
        <v>1572</v>
      </c>
      <c r="C90" s="3">
        <v>46140</v>
      </c>
      <c r="D90" s="16" t="s">
        <v>1445</v>
      </c>
      <c r="E90" s="16">
        <v>0</v>
      </c>
      <c r="F90" s="16">
        <v>4</v>
      </c>
      <c r="G90" s="16">
        <v>89</v>
      </c>
    </row>
    <row r="91" spans="1:7" x14ac:dyDescent="0.2">
      <c r="A91" t="s">
        <v>1490</v>
      </c>
      <c r="B91" t="s">
        <v>1575</v>
      </c>
      <c r="C91" s="3">
        <v>46140</v>
      </c>
      <c r="D91" s="16" t="s">
        <v>1450</v>
      </c>
      <c r="E91" s="16">
        <v>0</v>
      </c>
      <c r="F91" s="16">
        <v>6</v>
      </c>
      <c r="G91" s="16">
        <v>90</v>
      </c>
    </row>
    <row r="92" spans="1:7" x14ac:dyDescent="0.2">
      <c r="A92" t="s">
        <v>1473</v>
      </c>
      <c r="B92" t="s">
        <v>1575</v>
      </c>
      <c r="C92" s="3">
        <v>46140</v>
      </c>
      <c r="D92" s="16" t="s">
        <v>1576</v>
      </c>
      <c r="E92" s="16">
        <v>0</v>
      </c>
      <c r="F92" s="16">
        <v>33</v>
      </c>
      <c r="G92" s="16">
        <v>91</v>
      </c>
    </row>
    <row r="93" spans="1:7" x14ac:dyDescent="0.2">
      <c r="A93" t="s">
        <v>1577</v>
      </c>
      <c r="B93" t="s">
        <v>1575</v>
      </c>
      <c r="C93" s="3">
        <v>46140</v>
      </c>
      <c r="D93" s="16" t="s">
        <v>1445</v>
      </c>
      <c r="E93" s="16">
        <v>0</v>
      </c>
      <c r="F93" s="16">
        <v>4</v>
      </c>
      <c r="G93" s="16">
        <v>92</v>
      </c>
    </row>
    <row r="94" spans="1:7" x14ac:dyDescent="0.2">
      <c r="A94" t="s">
        <v>1487</v>
      </c>
      <c r="B94" t="s">
        <v>1578</v>
      </c>
      <c r="C94" s="3">
        <v>46140</v>
      </c>
      <c r="D94" s="16" t="s">
        <v>1448</v>
      </c>
      <c r="E94" s="16">
        <v>0</v>
      </c>
      <c r="F94" s="16">
        <v>5</v>
      </c>
      <c r="G94" s="16">
        <v>93</v>
      </c>
    </row>
    <row r="95" spans="1:7" x14ac:dyDescent="0.2">
      <c r="A95" t="s">
        <v>1579</v>
      </c>
      <c r="B95" t="s">
        <v>1578</v>
      </c>
      <c r="C95" s="3">
        <v>46140</v>
      </c>
      <c r="D95" s="16" t="s">
        <v>1507</v>
      </c>
      <c r="E95" s="16">
        <v>0</v>
      </c>
      <c r="F95" s="16">
        <v>24</v>
      </c>
      <c r="G95" s="16">
        <v>94</v>
      </c>
    </row>
    <row r="96" spans="1:7" x14ac:dyDescent="0.2">
      <c r="A96" t="s">
        <v>1486</v>
      </c>
      <c r="B96" t="s">
        <v>1580</v>
      </c>
      <c r="C96" s="3">
        <v>46140</v>
      </c>
      <c r="D96" s="16" t="s">
        <v>1439</v>
      </c>
      <c r="E96" s="16">
        <v>0</v>
      </c>
      <c r="F96" s="16">
        <v>2</v>
      </c>
      <c r="G96" s="16">
        <v>95</v>
      </c>
    </row>
    <row r="97" spans="1:7" x14ac:dyDescent="0.2">
      <c r="A97" t="s">
        <v>1581</v>
      </c>
      <c r="B97" t="s">
        <v>1580</v>
      </c>
      <c r="C97" s="3">
        <v>46140</v>
      </c>
      <c r="D97" s="16" t="s">
        <v>1448</v>
      </c>
      <c r="E97" s="16">
        <v>0</v>
      </c>
      <c r="F97" s="16">
        <v>5</v>
      </c>
      <c r="G97" s="16">
        <v>96</v>
      </c>
    </row>
    <row r="98" spans="1:7" x14ac:dyDescent="0.2">
      <c r="A98" t="s">
        <v>1582</v>
      </c>
      <c r="B98" t="s">
        <v>1580</v>
      </c>
      <c r="C98" s="3">
        <v>46140</v>
      </c>
      <c r="D98" s="16" t="s">
        <v>1448</v>
      </c>
      <c r="E98" s="16">
        <v>0</v>
      </c>
      <c r="F98" s="16">
        <v>5</v>
      </c>
      <c r="G98" s="16">
        <v>97</v>
      </c>
    </row>
    <row r="99" spans="1:7" x14ac:dyDescent="0.2">
      <c r="A99" t="s">
        <v>1489</v>
      </c>
      <c r="B99" t="s">
        <v>1583</v>
      </c>
      <c r="C99" s="3">
        <v>46140</v>
      </c>
      <c r="D99" s="16" t="s">
        <v>1445</v>
      </c>
      <c r="E99" s="16">
        <v>0</v>
      </c>
      <c r="F99" s="16">
        <v>4</v>
      </c>
      <c r="G99" s="16">
        <v>98</v>
      </c>
    </row>
    <row r="100" spans="1:7" x14ac:dyDescent="0.2">
      <c r="A100" t="s">
        <v>1500</v>
      </c>
      <c r="B100" t="s">
        <v>1583</v>
      </c>
      <c r="C100" s="3">
        <v>46140</v>
      </c>
      <c r="D100" s="16" t="s">
        <v>1448</v>
      </c>
      <c r="E100" s="16">
        <v>0</v>
      </c>
      <c r="F100" s="16">
        <v>5</v>
      </c>
      <c r="G100" s="16">
        <v>99</v>
      </c>
    </row>
    <row r="101" spans="1:7" x14ac:dyDescent="0.2">
      <c r="A101" t="s">
        <v>1489</v>
      </c>
      <c r="B101" t="s">
        <v>1585</v>
      </c>
      <c r="C101" s="3">
        <v>46140</v>
      </c>
      <c r="D101" s="16" t="s">
        <v>1437</v>
      </c>
      <c r="E101" s="16">
        <v>0</v>
      </c>
      <c r="F101" s="16">
        <v>8</v>
      </c>
      <c r="G101" s="16">
        <v>100</v>
      </c>
    </row>
    <row r="102" spans="1:7" x14ac:dyDescent="0.2">
      <c r="A102" t="s">
        <v>1487</v>
      </c>
      <c r="B102" t="s">
        <v>1587</v>
      </c>
      <c r="C102" s="3">
        <v>46140</v>
      </c>
      <c r="D102" s="16" t="s">
        <v>1442</v>
      </c>
      <c r="E102" s="16">
        <v>0</v>
      </c>
      <c r="F102" s="16">
        <v>3</v>
      </c>
      <c r="G102" s="16">
        <v>101</v>
      </c>
    </row>
    <row r="103" spans="1:7" x14ac:dyDescent="0.2">
      <c r="A103" t="s">
        <v>1486</v>
      </c>
      <c r="B103" t="s">
        <v>1587</v>
      </c>
      <c r="C103" s="3">
        <v>46140</v>
      </c>
      <c r="D103" s="16" t="s">
        <v>1445</v>
      </c>
      <c r="E103" s="16">
        <v>0</v>
      </c>
      <c r="F103" s="16">
        <v>4</v>
      </c>
      <c r="G103" s="16">
        <v>102</v>
      </c>
    </row>
    <row r="104" spans="1:7" x14ac:dyDescent="0.2">
      <c r="A104" t="s">
        <v>1509</v>
      </c>
      <c r="B104" t="s">
        <v>1590</v>
      </c>
      <c r="C104" s="3">
        <v>46140</v>
      </c>
      <c r="D104" s="16" t="s">
        <v>1591</v>
      </c>
      <c r="E104" s="16">
        <v>0</v>
      </c>
      <c r="F104" s="16">
        <v>90</v>
      </c>
      <c r="G104" s="16">
        <v>103</v>
      </c>
    </row>
    <row r="105" spans="1:7" x14ac:dyDescent="0.2">
      <c r="A105" t="s">
        <v>1594</v>
      </c>
      <c r="B105" t="s">
        <v>1593</v>
      </c>
      <c r="C105" s="3">
        <v>46140</v>
      </c>
      <c r="D105" s="16" t="s">
        <v>1595</v>
      </c>
      <c r="E105" s="16">
        <v>0</v>
      </c>
      <c r="F105" s="16">
        <v>72</v>
      </c>
      <c r="G105" s="16">
        <v>104</v>
      </c>
    </row>
    <row r="106" spans="1:7" x14ac:dyDescent="0.2">
      <c r="A106" t="s">
        <v>1597</v>
      </c>
      <c r="B106" t="s">
        <v>1593</v>
      </c>
      <c r="C106" s="3">
        <v>46140</v>
      </c>
      <c r="D106" s="16" t="s">
        <v>1598</v>
      </c>
      <c r="E106" s="16">
        <v>0</v>
      </c>
      <c r="F106" s="16">
        <v>62</v>
      </c>
      <c r="G106" s="16">
        <v>105</v>
      </c>
    </row>
    <row r="107" spans="1:7" x14ac:dyDescent="0.2">
      <c r="A107" t="s">
        <v>1600</v>
      </c>
      <c r="B107" t="s">
        <v>1599</v>
      </c>
      <c r="C107" s="3">
        <v>46140</v>
      </c>
      <c r="D107" s="16" t="s">
        <v>1442</v>
      </c>
      <c r="E107" s="16">
        <v>0</v>
      </c>
      <c r="F107" s="16">
        <v>3</v>
      </c>
      <c r="G107" s="16">
        <v>106</v>
      </c>
    </row>
    <row r="108" spans="1:7" x14ac:dyDescent="0.2">
      <c r="A108" t="s">
        <v>1486</v>
      </c>
      <c r="B108" t="s">
        <v>1599</v>
      </c>
      <c r="C108" s="3">
        <v>46140</v>
      </c>
      <c r="D108" s="16" t="s">
        <v>1442</v>
      </c>
      <c r="E108" s="16">
        <v>0</v>
      </c>
      <c r="F108" s="16">
        <v>3</v>
      </c>
      <c r="G108" s="16">
        <v>107</v>
      </c>
    </row>
    <row r="109" spans="1:7" x14ac:dyDescent="0.2">
      <c r="A109" t="s">
        <v>1420</v>
      </c>
      <c r="B109" t="s">
        <v>1602</v>
      </c>
      <c r="C109" s="3">
        <v>46140</v>
      </c>
      <c r="D109" s="16" t="s">
        <v>1460</v>
      </c>
      <c r="E109" s="16">
        <v>0</v>
      </c>
      <c r="F109" s="16">
        <v>10</v>
      </c>
      <c r="G109" s="16">
        <v>108</v>
      </c>
    </row>
    <row r="110" spans="1:7" x14ac:dyDescent="0.2">
      <c r="A110" t="s">
        <v>1489</v>
      </c>
      <c r="B110" t="s">
        <v>1602</v>
      </c>
      <c r="C110" s="3">
        <v>46140</v>
      </c>
      <c r="D110" s="16" t="s">
        <v>1439</v>
      </c>
      <c r="E110" s="16">
        <v>0</v>
      </c>
      <c r="F110" s="16">
        <v>2</v>
      </c>
      <c r="G110" s="16">
        <v>109</v>
      </c>
    </row>
    <row r="111" spans="1:7" x14ac:dyDescent="0.2">
      <c r="A111" t="s">
        <v>64</v>
      </c>
      <c r="B111" t="s">
        <v>64</v>
      </c>
      <c r="C111" s="3" t="s">
        <v>64</v>
      </c>
      <c r="D111" s="16" t="s">
        <v>64</v>
      </c>
      <c r="E111" s="16">
        <v>0</v>
      </c>
      <c r="F111" s="16" t="s">
        <v>64</v>
      </c>
      <c r="G111" s="16" t="s">
        <v>64</v>
      </c>
    </row>
    <row r="112" spans="1:7" x14ac:dyDescent="0.2">
      <c r="A112" t="s">
        <v>64</v>
      </c>
      <c r="B112" t="s">
        <v>64</v>
      </c>
      <c r="C112" s="3" t="s">
        <v>64</v>
      </c>
      <c r="D112" s="16" t="s">
        <v>64</v>
      </c>
      <c r="E112" s="16">
        <v>0</v>
      </c>
      <c r="F112" s="16" t="s">
        <v>64</v>
      </c>
      <c r="G112" s="16" t="s">
        <v>64</v>
      </c>
    </row>
    <row r="113" spans="1:7" x14ac:dyDescent="0.2">
      <c r="A113" t="s">
        <v>64</v>
      </c>
      <c r="B113" t="s">
        <v>64</v>
      </c>
      <c r="C113" s="3" t="s">
        <v>64</v>
      </c>
      <c r="D113" s="16" t="s">
        <v>64</v>
      </c>
      <c r="E113" s="16">
        <v>0</v>
      </c>
      <c r="F113" s="16" t="s">
        <v>64</v>
      </c>
      <c r="G113" s="16" t="s">
        <v>64</v>
      </c>
    </row>
    <row r="114" spans="1:7" x14ac:dyDescent="0.2">
      <c r="A114" t="s">
        <v>64</v>
      </c>
      <c r="B114" t="s">
        <v>64</v>
      </c>
      <c r="C114" s="3" t="s">
        <v>64</v>
      </c>
      <c r="D114" s="16" t="s">
        <v>64</v>
      </c>
      <c r="E114" s="16">
        <v>0</v>
      </c>
      <c r="F114" s="16" t="s">
        <v>64</v>
      </c>
      <c r="G114" s="16" t="s">
        <v>64</v>
      </c>
    </row>
    <row r="115" spans="1:7" x14ac:dyDescent="0.2">
      <c r="A115" t="s">
        <v>64</v>
      </c>
      <c r="B115" t="s">
        <v>64</v>
      </c>
      <c r="C115" s="3" t="s">
        <v>64</v>
      </c>
      <c r="D115" s="16" t="s">
        <v>64</v>
      </c>
      <c r="E115" s="16">
        <v>0</v>
      </c>
      <c r="F115" s="16" t="s">
        <v>64</v>
      </c>
      <c r="G115" s="16" t="s">
        <v>64</v>
      </c>
    </row>
    <row r="116" spans="1:7" x14ac:dyDescent="0.2">
      <c r="A116" t="s">
        <v>64</v>
      </c>
      <c r="B116" t="s">
        <v>64</v>
      </c>
      <c r="C116" s="3" t="s">
        <v>64</v>
      </c>
      <c r="D116" s="16" t="s">
        <v>64</v>
      </c>
      <c r="E116" s="16">
        <v>0</v>
      </c>
      <c r="F116" s="16" t="s">
        <v>64</v>
      </c>
      <c r="G116" s="16" t="s">
        <v>64</v>
      </c>
    </row>
    <row r="117" spans="1:7" x14ac:dyDescent="0.2">
      <c r="A117" t="s">
        <v>64</v>
      </c>
      <c r="B117" t="s">
        <v>64</v>
      </c>
      <c r="C117" s="3" t="s">
        <v>64</v>
      </c>
      <c r="D117" s="16" t="s">
        <v>64</v>
      </c>
      <c r="E117" s="16">
        <v>0</v>
      </c>
      <c r="F117" s="16" t="s">
        <v>64</v>
      </c>
      <c r="G117" s="16" t="s">
        <v>64</v>
      </c>
    </row>
    <row r="118" spans="1:7" x14ac:dyDescent="0.2">
      <c r="A118" t="s">
        <v>64</v>
      </c>
      <c r="B118" t="s">
        <v>64</v>
      </c>
      <c r="C118" s="3" t="s">
        <v>64</v>
      </c>
      <c r="D118" s="16" t="s">
        <v>64</v>
      </c>
      <c r="E118" s="16">
        <v>0</v>
      </c>
      <c r="F118" s="16" t="s">
        <v>64</v>
      </c>
      <c r="G118" s="16" t="s">
        <v>64</v>
      </c>
    </row>
    <row r="119" spans="1:7" x14ac:dyDescent="0.2">
      <c r="A119" t="s">
        <v>64</v>
      </c>
      <c r="B119" t="s">
        <v>64</v>
      </c>
      <c r="C119" s="3" t="s">
        <v>64</v>
      </c>
      <c r="D119" s="16" t="s">
        <v>64</v>
      </c>
      <c r="E119" s="16">
        <v>0</v>
      </c>
      <c r="F119" s="16" t="s">
        <v>64</v>
      </c>
      <c r="G119" s="16" t="s">
        <v>64</v>
      </c>
    </row>
    <row r="120" spans="1:7" x14ac:dyDescent="0.2">
      <c r="A120" t="s">
        <v>64</v>
      </c>
      <c r="B120" t="s">
        <v>64</v>
      </c>
      <c r="C120" s="3" t="s">
        <v>64</v>
      </c>
      <c r="D120" s="16" t="s">
        <v>64</v>
      </c>
      <c r="E120" s="16">
        <v>0</v>
      </c>
      <c r="F120" s="16" t="s">
        <v>64</v>
      </c>
      <c r="G120" s="16" t="s">
        <v>64</v>
      </c>
    </row>
    <row r="121" spans="1:7" x14ac:dyDescent="0.2">
      <c r="A121" t="s">
        <v>64</v>
      </c>
      <c r="B121" t="s">
        <v>64</v>
      </c>
      <c r="C121" s="3" t="s">
        <v>64</v>
      </c>
      <c r="D121" s="16" t="s">
        <v>64</v>
      </c>
      <c r="E121" s="16">
        <v>0</v>
      </c>
      <c r="F121" s="16" t="s">
        <v>64</v>
      </c>
      <c r="G121" s="16" t="s">
        <v>64</v>
      </c>
    </row>
    <row r="122" spans="1:7" x14ac:dyDescent="0.2">
      <c r="A122" t="s">
        <v>64</v>
      </c>
      <c r="B122" t="s">
        <v>64</v>
      </c>
      <c r="C122" s="3" t="s">
        <v>64</v>
      </c>
      <c r="D122" s="16" t="s">
        <v>64</v>
      </c>
      <c r="E122" s="16">
        <v>0</v>
      </c>
      <c r="F122" s="16" t="s">
        <v>64</v>
      </c>
      <c r="G122" s="16" t="s">
        <v>64</v>
      </c>
    </row>
    <row r="123" spans="1:7" x14ac:dyDescent="0.2">
      <c r="A123" t="s">
        <v>64</v>
      </c>
      <c r="B123" t="s">
        <v>64</v>
      </c>
      <c r="C123" s="3" t="s">
        <v>64</v>
      </c>
      <c r="D123" s="16" t="s">
        <v>64</v>
      </c>
      <c r="E123" s="16">
        <v>0</v>
      </c>
      <c r="F123" s="16" t="s">
        <v>64</v>
      </c>
      <c r="G123" s="16" t="s">
        <v>64</v>
      </c>
    </row>
    <row r="124" spans="1:7" x14ac:dyDescent="0.2">
      <c r="A124" t="s">
        <v>64</v>
      </c>
      <c r="B124" t="s">
        <v>64</v>
      </c>
      <c r="C124" s="3" t="s">
        <v>64</v>
      </c>
      <c r="D124" s="16" t="s">
        <v>64</v>
      </c>
      <c r="E124" s="16">
        <v>0</v>
      </c>
      <c r="F124" s="16" t="s">
        <v>64</v>
      </c>
      <c r="G124" s="16" t="s">
        <v>64</v>
      </c>
    </row>
    <row r="125" spans="1:7" x14ac:dyDescent="0.2">
      <c r="A125" t="s">
        <v>64</v>
      </c>
      <c r="B125" t="s">
        <v>64</v>
      </c>
      <c r="C125" s="3" t="s">
        <v>64</v>
      </c>
      <c r="D125" s="16" t="s">
        <v>64</v>
      </c>
      <c r="E125" s="16">
        <v>0</v>
      </c>
      <c r="F125" s="16" t="s">
        <v>64</v>
      </c>
      <c r="G125" s="16" t="s">
        <v>64</v>
      </c>
    </row>
    <row r="126" spans="1:7" x14ac:dyDescent="0.2">
      <c r="A126" t="s">
        <v>64</v>
      </c>
      <c r="B126" t="s">
        <v>64</v>
      </c>
      <c r="C126" s="3" t="s">
        <v>64</v>
      </c>
      <c r="D126" s="16" t="s">
        <v>64</v>
      </c>
      <c r="E126" s="16">
        <v>0</v>
      </c>
      <c r="F126" s="16" t="s">
        <v>64</v>
      </c>
      <c r="G126" s="16" t="s">
        <v>64</v>
      </c>
    </row>
    <row r="127" spans="1:7" x14ac:dyDescent="0.2">
      <c r="A127" t="s">
        <v>64</v>
      </c>
      <c r="B127" t="s">
        <v>64</v>
      </c>
      <c r="C127" s="3" t="s">
        <v>64</v>
      </c>
      <c r="D127" s="16" t="s">
        <v>64</v>
      </c>
      <c r="E127" s="16">
        <v>0</v>
      </c>
      <c r="F127" s="16" t="s">
        <v>64</v>
      </c>
      <c r="G127" s="16" t="s">
        <v>64</v>
      </c>
    </row>
    <row r="128" spans="1:7" x14ac:dyDescent="0.2">
      <c r="A128" t="s">
        <v>64</v>
      </c>
      <c r="B128" t="s">
        <v>64</v>
      </c>
      <c r="C128" s="3" t="s">
        <v>64</v>
      </c>
      <c r="D128" s="16" t="s">
        <v>64</v>
      </c>
      <c r="E128" s="16">
        <v>0</v>
      </c>
      <c r="F128" s="16" t="s">
        <v>64</v>
      </c>
      <c r="G128" s="16" t="s">
        <v>64</v>
      </c>
    </row>
    <row r="129" spans="1:7" x14ac:dyDescent="0.2">
      <c r="A129" t="s">
        <v>64</v>
      </c>
      <c r="B129" t="s">
        <v>64</v>
      </c>
      <c r="C129" s="3" t="s">
        <v>64</v>
      </c>
      <c r="D129" s="16" t="s">
        <v>64</v>
      </c>
      <c r="E129" s="16">
        <v>0</v>
      </c>
      <c r="F129" s="16" t="s">
        <v>64</v>
      </c>
      <c r="G129" s="16" t="s">
        <v>64</v>
      </c>
    </row>
    <row r="130" spans="1:7" x14ac:dyDescent="0.2">
      <c r="A130" t="s">
        <v>64</v>
      </c>
      <c r="B130" t="s">
        <v>64</v>
      </c>
      <c r="C130" s="3" t="s">
        <v>64</v>
      </c>
      <c r="D130" s="16" t="s">
        <v>64</v>
      </c>
      <c r="E130" s="16">
        <v>0</v>
      </c>
      <c r="F130" s="16" t="s">
        <v>64</v>
      </c>
      <c r="G130" s="16" t="s">
        <v>64</v>
      </c>
    </row>
    <row r="131" spans="1:7" x14ac:dyDescent="0.2">
      <c r="A131" t="s">
        <v>64</v>
      </c>
      <c r="B131" t="s">
        <v>64</v>
      </c>
      <c r="C131" s="3" t="s">
        <v>64</v>
      </c>
      <c r="D131" s="16" t="s">
        <v>64</v>
      </c>
      <c r="E131" s="16">
        <v>0</v>
      </c>
      <c r="F131" s="16" t="s">
        <v>64</v>
      </c>
      <c r="G131" s="16" t="s">
        <v>64</v>
      </c>
    </row>
    <row r="132" spans="1:7" x14ac:dyDescent="0.2">
      <c r="A132" t="s">
        <v>64</v>
      </c>
      <c r="B132" t="s">
        <v>64</v>
      </c>
      <c r="C132" s="3" t="s">
        <v>64</v>
      </c>
      <c r="D132" s="16" t="s">
        <v>64</v>
      </c>
      <c r="E132" s="16">
        <v>0</v>
      </c>
      <c r="F132" s="16" t="s">
        <v>64</v>
      </c>
      <c r="G132" s="16" t="s">
        <v>64</v>
      </c>
    </row>
    <row r="133" spans="1:7" x14ac:dyDescent="0.2">
      <c r="A133" t="s">
        <v>64</v>
      </c>
      <c r="B133" t="s">
        <v>64</v>
      </c>
      <c r="C133" s="3" t="s">
        <v>64</v>
      </c>
      <c r="D133" s="16" t="s">
        <v>64</v>
      </c>
      <c r="E133" s="16">
        <v>0</v>
      </c>
      <c r="F133" s="16" t="s">
        <v>64</v>
      </c>
      <c r="G133" s="16" t="s">
        <v>64</v>
      </c>
    </row>
    <row r="134" spans="1:7" x14ac:dyDescent="0.2">
      <c r="A134" t="s">
        <v>64</v>
      </c>
      <c r="B134" t="s">
        <v>64</v>
      </c>
      <c r="C134" s="3" t="s">
        <v>64</v>
      </c>
      <c r="D134" s="16" t="s">
        <v>64</v>
      </c>
      <c r="E134" s="16">
        <v>0</v>
      </c>
      <c r="F134" s="16" t="s">
        <v>64</v>
      </c>
      <c r="G134" s="16" t="s">
        <v>64</v>
      </c>
    </row>
    <row r="135" spans="1:7" x14ac:dyDescent="0.2">
      <c r="A135" t="s">
        <v>64</v>
      </c>
      <c r="B135" t="s">
        <v>64</v>
      </c>
      <c r="C135" s="3" t="s">
        <v>64</v>
      </c>
      <c r="D135" s="16" t="s">
        <v>64</v>
      </c>
      <c r="E135" s="16">
        <v>0</v>
      </c>
      <c r="F135" s="16" t="s">
        <v>64</v>
      </c>
      <c r="G135" s="16" t="s">
        <v>64</v>
      </c>
    </row>
    <row r="136" spans="1:7" x14ac:dyDescent="0.2">
      <c r="A136" t="s">
        <v>64</v>
      </c>
      <c r="B136" t="s">
        <v>64</v>
      </c>
      <c r="C136" s="3" t="s">
        <v>64</v>
      </c>
      <c r="D136" s="16" t="s">
        <v>64</v>
      </c>
      <c r="E136" s="16">
        <v>0</v>
      </c>
      <c r="F136" s="16" t="s">
        <v>64</v>
      </c>
      <c r="G136" s="16" t="s">
        <v>64</v>
      </c>
    </row>
    <row r="137" spans="1:7" x14ac:dyDescent="0.2">
      <c r="A137" t="s">
        <v>64</v>
      </c>
      <c r="B137" t="s">
        <v>64</v>
      </c>
      <c r="C137" s="3" t="s">
        <v>64</v>
      </c>
      <c r="D137" s="16" t="s">
        <v>64</v>
      </c>
      <c r="E137" s="16">
        <v>0</v>
      </c>
      <c r="F137" s="16" t="s">
        <v>64</v>
      </c>
      <c r="G137" s="16" t="s">
        <v>64</v>
      </c>
    </row>
    <row r="138" spans="1:7" x14ac:dyDescent="0.2">
      <c r="A138" t="s">
        <v>64</v>
      </c>
      <c r="B138" t="s">
        <v>64</v>
      </c>
      <c r="C138" s="3" t="s">
        <v>64</v>
      </c>
      <c r="D138" s="16" t="s">
        <v>64</v>
      </c>
      <c r="E138" s="16">
        <v>0</v>
      </c>
      <c r="F138" s="16" t="s">
        <v>64</v>
      </c>
      <c r="G138" s="16" t="s">
        <v>64</v>
      </c>
    </row>
    <row r="139" spans="1:7" x14ac:dyDescent="0.2">
      <c r="A139" t="s">
        <v>64</v>
      </c>
      <c r="B139" t="s">
        <v>64</v>
      </c>
      <c r="C139" s="3" t="s">
        <v>64</v>
      </c>
      <c r="D139" s="16" t="s">
        <v>64</v>
      </c>
      <c r="E139" s="16">
        <v>0</v>
      </c>
      <c r="F139" s="16" t="s">
        <v>64</v>
      </c>
      <c r="G139" s="16" t="s">
        <v>64</v>
      </c>
    </row>
    <row r="140" spans="1:7" x14ac:dyDescent="0.2">
      <c r="A140" t="s">
        <v>64</v>
      </c>
      <c r="B140" t="s">
        <v>64</v>
      </c>
      <c r="C140" s="3" t="s">
        <v>64</v>
      </c>
      <c r="D140" s="16" t="s">
        <v>64</v>
      </c>
      <c r="E140" s="16">
        <v>0</v>
      </c>
      <c r="F140" s="16" t="s">
        <v>64</v>
      </c>
      <c r="G140" s="16" t="s">
        <v>64</v>
      </c>
    </row>
    <row r="141" spans="1:7" x14ac:dyDescent="0.2">
      <c r="A141" t="s">
        <v>64</v>
      </c>
      <c r="B141" t="s">
        <v>64</v>
      </c>
      <c r="C141" s="3" t="s">
        <v>64</v>
      </c>
      <c r="D141" s="16" t="s">
        <v>64</v>
      </c>
      <c r="E141" s="16">
        <v>0</v>
      </c>
      <c r="F141" s="16" t="s">
        <v>64</v>
      </c>
      <c r="G141" s="16" t="s">
        <v>64</v>
      </c>
    </row>
    <row r="142" spans="1:7" x14ac:dyDescent="0.2">
      <c r="A142" t="s">
        <v>64</v>
      </c>
      <c r="B142" t="s">
        <v>64</v>
      </c>
      <c r="C142" s="3" t="s">
        <v>64</v>
      </c>
      <c r="D142" s="16" t="s">
        <v>64</v>
      </c>
      <c r="E142" s="16">
        <v>0</v>
      </c>
      <c r="F142" s="16" t="s">
        <v>64</v>
      </c>
      <c r="G142" s="16" t="s">
        <v>64</v>
      </c>
    </row>
    <row r="143" spans="1:7" x14ac:dyDescent="0.2">
      <c r="A143" t="s">
        <v>64</v>
      </c>
      <c r="B143" t="s">
        <v>64</v>
      </c>
      <c r="C143" s="3" t="s">
        <v>64</v>
      </c>
      <c r="D143" s="16" t="s">
        <v>64</v>
      </c>
      <c r="E143" s="16">
        <v>0</v>
      </c>
      <c r="F143" s="16" t="s">
        <v>64</v>
      </c>
      <c r="G143" s="16" t="s">
        <v>64</v>
      </c>
    </row>
    <row r="144" spans="1:7" x14ac:dyDescent="0.2">
      <c r="A144" t="s">
        <v>64</v>
      </c>
      <c r="B144" t="s">
        <v>64</v>
      </c>
      <c r="C144" s="3" t="s">
        <v>64</v>
      </c>
      <c r="D144" s="16" t="s">
        <v>64</v>
      </c>
      <c r="E144" s="16">
        <v>0</v>
      </c>
      <c r="F144" s="16" t="s">
        <v>64</v>
      </c>
      <c r="G144" s="16" t="s">
        <v>64</v>
      </c>
    </row>
    <row r="145" spans="1:7" x14ac:dyDescent="0.2">
      <c r="A145" t="s">
        <v>64</v>
      </c>
      <c r="B145" t="s">
        <v>64</v>
      </c>
      <c r="C145" s="3" t="s">
        <v>64</v>
      </c>
      <c r="D145" s="16" t="s">
        <v>64</v>
      </c>
      <c r="E145" s="16">
        <v>0</v>
      </c>
      <c r="F145" s="16" t="s">
        <v>64</v>
      </c>
      <c r="G145" s="16" t="s">
        <v>64</v>
      </c>
    </row>
    <row r="146" spans="1:7" x14ac:dyDescent="0.2">
      <c r="A146" t="s">
        <v>64</v>
      </c>
      <c r="B146" t="s">
        <v>64</v>
      </c>
      <c r="C146" s="3" t="s">
        <v>64</v>
      </c>
      <c r="D146" s="16" t="s">
        <v>64</v>
      </c>
      <c r="E146" s="16">
        <v>0</v>
      </c>
      <c r="F146" s="16" t="s">
        <v>64</v>
      </c>
      <c r="G146" s="16" t="s">
        <v>64</v>
      </c>
    </row>
    <row r="147" spans="1:7" x14ac:dyDescent="0.2">
      <c r="A147" t="s">
        <v>64</v>
      </c>
      <c r="B147" t="s">
        <v>64</v>
      </c>
      <c r="C147" s="3" t="s">
        <v>64</v>
      </c>
      <c r="D147" s="16" t="s">
        <v>64</v>
      </c>
      <c r="E147" s="16">
        <v>0</v>
      </c>
      <c r="F147" s="16" t="s">
        <v>64</v>
      </c>
      <c r="G147" s="16" t="s">
        <v>64</v>
      </c>
    </row>
    <row r="148" spans="1:7" x14ac:dyDescent="0.2">
      <c r="A148" t="s">
        <v>64</v>
      </c>
      <c r="B148" t="s">
        <v>64</v>
      </c>
      <c r="C148" s="3" t="s">
        <v>64</v>
      </c>
      <c r="D148" s="16" t="s">
        <v>64</v>
      </c>
      <c r="E148" s="16">
        <v>0</v>
      </c>
      <c r="F148" s="16" t="s">
        <v>64</v>
      </c>
      <c r="G148" s="16" t="s">
        <v>64</v>
      </c>
    </row>
    <row r="149" spans="1:7" x14ac:dyDescent="0.2">
      <c r="A149" t="s">
        <v>64</v>
      </c>
      <c r="B149" t="s">
        <v>64</v>
      </c>
      <c r="C149" s="3" t="s">
        <v>64</v>
      </c>
      <c r="D149" s="16" t="s">
        <v>64</v>
      </c>
      <c r="E149" s="16">
        <v>0</v>
      </c>
      <c r="F149" s="16" t="s">
        <v>64</v>
      </c>
      <c r="G149" s="16" t="s">
        <v>64</v>
      </c>
    </row>
    <row r="150" spans="1:7" x14ac:dyDescent="0.2">
      <c r="A150" t="s">
        <v>64</v>
      </c>
      <c r="B150" t="s">
        <v>64</v>
      </c>
      <c r="C150" s="3" t="s">
        <v>64</v>
      </c>
      <c r="D150" s="16" t="s">
        <v>64</v>
      </c>
      <c r="E150" s="16">
        <v>0</v>
      </c>
      <c r="F150" s="16" t="s">
        <v>64</v>
      </c>
      <c r="G150" s="16" t="s">
        <v>64</v>
      </c>
    </row>
    <row r="151" spans="1:7" x14ac:dyDescent="0.2">
      <c r="A151" t="s">
        <v>64</v>
      </c>
      <c r="B151" t="s">
        <v>64</v>
      </c>
      <c r="C151" s="3" t="s">
        <v>64</v>
      </c>
      <c r="D151" s="16" t="s">
        <v>64</v>
      </c>
      <c r="E151" s="16">
        <v>0</v>
      </c>
      <c r="F151" s="16" t="s">
        <v>64</v>
      </c>
      <c r="G151" s="16" t="s">
        <v>64</v>
      </c>
    </row>
    <row r="152" spans="1:7" x14ac:dyDescent="0.2">
      <c r="A152" t="s">
        <v>64</v>
      </c>
      <c r="B152" t="s">
        <v>64</v>
      </c>
      <c r="C152" s="3" t="s">
        <v>64</v>
      </c>
      <c r="D152" s="16" t="s">
        <v>64</v>
      </c>
      <c r="E152" s="16">
        <v>0</v>
      </c>
      <c r="F152" s="16" t="s">
        <v>64</v>
      </c>
      <c r="G152" s="16" t="s">
        <v>64</v>
      </c>
    </row>
    <row r="153" spans="1:7" x14ac:dyDescent="0.2">
      <c r="A153" t="s">
        <v>64</v>
      </c>
      <c r="B153" t="s">
        <v>64</v>
      </c>
      <c r="C153" s="3" t="s">
        <v>64</v>
      </c>
      <c r="D153" s="16" t="s">
        <v>64</v>
      </c>
      <c r="E153" s="16">
        <v>0</v>
      </c>
      <c r="F153" s="16" t="s">
        <v>64</v>
      </c>
      <c r="G153" s="16" t="s">
        <v>64</v>
      </c>
    </row>
    <row r="154" spans="1:7" x14ac:dyDescent="0.2">
      <c r="A154" t="s">
        <v>64</v>
      </c>
      <c r="B154" t="s">
        <v>64</v>
      </c>
      <c r="C154" s="3" t="s">
        <v>64</v>
      </c>
      <c r="D154" s="16" t="s">
        <v>64</v>
      </c>
      <c r="E154" s="16">
        <v>0</v>
      </c>
      <c r="F154" s="16" t="s">
        <v>64</v>
      </c>
      <c r="G154" s="16" t="s">
        <v>64</v>
      </c>
    </row>
    <row r="155" spans="1:7" x14ac:dyDescent="0.2">
      <c r="A155" t="s">
        <v>64</v>
      </c>
      <c r="B155" t="s">
        <v>64</v>
      </c>
      <c r="C155" s="3" t="s">
        <v>64</v>
      </c>
      <c r="D155" s="16" t="s">
        <v>64</v>
      </c>
      <c r="E155" s="16">
        <v>0</v>
      </c>
      <c r="F155" s="16" t="s">
        <v>64</v>
      </c>
      <c r="G155" s="16" t="s">
        <v>64</v>
      </c>
    </row>
    <row r="156" spans="1:7" x14ac:dyDescent="0.2">
      <c r="A156" t="s">
        <v>64</v>
      </c>
      <c r="B156" t="s">
        <v>64</v>
      </c>
      <c r="C156" s="3" t="s">
        <v>64</v>
      </c>
      <c r="D156" s="16" t="s">
        <v>64</v>
      </c>
      <c r="E156" s="16">
        <v>0</v>
      </c>
      <c r="F156" s="16" t="s">
        <v>64</v>
      </c>
      <c r="G156" s="16" t="s">
        <v>64</v>
      </c>
    </row>
    <row r="157" spans="1:7" x14ac:dyDescent="0.2">
      <c r="A157" t="s">
        <v>64</v>
      </c>
      <c r="B157" t="s">
        <v>64</v>
      </c>
      <c r="C157" s="3" t="s">
        <v>64</v>
      </c>
      <c r="D157" s="16" t="s">
        <v>64</v>
      </c>
      <c r="E157" s="16">
        <v>0</v>
      </c>
      <c r="F157" s="16" t="s">
        <v>64</v>
      </c>
      <c r="G157" s="16" t="s">
        <v>64</v>
      </c>
    </row>
    <row r="158" spans="1:7" x14ac:dyDescent="0.2">
      <c r="A158" t="s">
        <v>64</v>
      </c>
      <c r="B158" t="s">
        <v>64</v>
      </c>
      <c r="C158" s="3" t="s">
        <v>64</v>
      </c>
      <c r="D158" s="16" t="s">
        <v>64</v>
      </c>
      <c r="E158" s="16">
        <v>0</v>
      </c>
      <c r="F158" s="16" t="s">
        <v>64</v>
      </c>
      <c r="G158" s="16" t="s">
        <v>64</v>
      </c>
    </row>
    <row r="159" spans="1:7" x14ac:dyDescent="0.2">
      <c r="A159" t="s">
        <v>64</v>
      </c>
      <c r="B159" t="s">
        <v>64</v>
      </c>
      <c r="C159" s="3" t="s">
        <v>64</v>
      </c>
      <c r="D159" s="16" t="s">
        <v>64</v>
      </c>
      <c r="E159" s="16">
        <v>0</v>
      </c>
      <c r="F159" s="16" t="s">
        <v>64</v>
      </c>
      <c r="G159" s="16" t="s">
        <v>64</v>
      </c>
    </row>
    <row r="160" spans="1:7" x14ac:dyDescent="0.2">
      <c r="A160" t="s">
        <v>64</v>
      </c>
      <c r="B160" t="s">
        <v>64</v>
      </c>
      <c r="C160" s="3" t="s">
        <v>64</v>
      </c>
      <c r="D160" s="16" t="s">
        <v>64</v>
      </c>
      <c r="E160" s="16">
        <v>0</v>
      </c>
      <c r="F160" s="16" t="s">
        <v>64</v>
      </c>
      <c r="G160" s="16" t="s">
        <v>64</v>
      </c>
    </row>
    <row r="161" spans="1:7" x14ac:dyDescent="0.2">
      <c r="A161" t="s">
        <v>64</v>
      </c>
      <c r="B161" t="s">
        <v>64</v>
      </c>
      <c r="C161" s="3" t="s">
        <v>64</v>
      </c>
      <c r="D161" s="16" t="s">
        <v>64</v>
      </c>
      <c r="E161" s="16">
        <v>0</v>
      </c>
      <c r="F161" s="16" t="s">
        <v>64</v>
      </c>
      <c r="G161" s="16" t="s">
        <v>64</v>
      </c>
    </row>
    <row r="162" spans="1:7" x14ac:dyDescent="0.2">
      <c r="A162" t="s">
        <v>64</v>
      </c>
      <c r="B162" t="s">
        <v>64</v>
      </c>
      <c r="C162" s="3" t="s">
        <v>64</v>
      </c>
      <c r="D162" s="16" t="s">
        <v>64</v>
      </c>
      <c r="E162" s="16">
        <v>0</v>
      </c>
      <c r="F162" s="16" t="s">
        <v>64</v>
      </c>
      <c r="G162" s="16" t="s">
        <v>64</v>
      </c>
    </row>
    <row r="163" spans="1:7" x14ac:dyDescent="0.2">
      <c r="A163" t="s">
        <v>64</v>
      </c>
      <c r="B163" t="s">
        <v>64</v>
      </c>
      <c r="C163" s="3" t="s">
        <v>64</v>
      </c>
      <c r="D163" s="16" t="s">
        <v>64</v>
      </c>
      <c r="E163" s="16">
        <v>0</v>
      </c>
      <c r="F163" s="16" t="s">
        <v>64</v>
      </c>
      <c r="G163" s="16" t="s">
        <v>64</v>
      </c>
    </row>
    <row r="164" spans="1:7" x14ac:dyDescent="0.2">
      <c r="A164" t="s">
        <v>64</v>
      </c>
      <c r="B164" t="s">
        <v>64</v>
      </c>
      <c r="C164" s="3" t="s">
        <v>64</v>
      </c>
      <c r="D164" s="16" t="s">
        <v>64</v>
      </c>
      <c r="E164" s="16">
        <v>0</v>
      </c>
      <c r="F164" s="16" t="s">
        <v>64</v>
      </c>
      <c r="G164" s="16" t="s">
        <v>64</v>
      </c>
    </row>
    <row r="165" spans="1:7" x14ac:dyDescent="0.2">
      <c r="A165" t="s">
        <v>64</v>
      </c>
      <c r="B165" t="s">
        <v>64</v>
      </c>
      <c r="C165" s="3" t="s">
        <v>64</v>
      </c>
      <c r="D165" s="16" t="s">
        <v>64</v>
      </c>
      <c r="E165" s="16">
        <v>0</v>
      </c>
      <c r="F165" s="16" t="s">
        <v>64</v>
      </c>
      <c r="G165" s="16" t="s">
        <v>64</v>
      </c>
    </row>
    <row r="166" spans="1:7" x14ac:dyDescent="0.2">
      <c r="A166" t="s">
        <v>64</v>
      </c>
      <c r="B166" t="s">
        <v>64</v>
      </c>
      <c r="C166" s="3" t="s">
        <v>64</v>
      </c>
      <c r="D166" s="16" t="s">
        <v>64</v>
      </c>
      <c r="E166" s="16">
        <v>0</v>
      </c>
      <c r="F166" s="16" t="s">
        <v>64</v>
      </c>
      <c r="G166" s="16" t="s">
        <v>64</v>
      </c>
    </row>
    <row r="167" spans="1:7" x14ac:dyDescent="0.2">
      <c r="A167" t="s">
        <v>64</v>
      </c>
      <c r="B167" t="s">
        <v>64</v>
      </c>
      <c r="C167" s="3" t="s">
        <v>64</v>
      </c>
      <c r="D167" s="16" t="s">
        <v>64</v>
      </c>
      <c r="E167" s="16">
        <v>0</v>
      </c>
      <c r="F167" s="16" t="s">
        <v>64</v>
      </c>
      <c r="G167" s="16" t="s">
        <v>64</v>
      </c>
    </row>
    <row r="168" spans="1:7" x14ac:dyDescent="0.2">
      <c r="A168" t="s">
        <v>64</v>
      </c>
      <c r="B168" t="s">
        <v>64</v>
      </c>
      <c r="C168" s="3" t="s">
        <v>64</v>
      </c>
      <c r="D168" s="16" t="s">
        <v>64</v>
      </c>
      <c r="E168" s="16">
        <v>0</v>
      </c>
      <c r="F168" s="16" t="s">
        <v>64</v>
      </c>
      <c r="G168" s="16" t="s">
        <v>64</v>
      </c>
    </row>
    <row r="169" spans="1:7" x14ac:dyDescent="0.2">
      <c r="A169" t="s">
        <v>64</v>
      </c>
      <c r="B169" t="s">
        <v>64</v>
      </c>
      <c r="C169" s="3" t="s">
        <v>64</v>
      </c>
      <c r="D169" s="16" t="s">
        <v>64</v>
      </c>
      <c r="E169" s="16">
        <v>0</v>
      </c>
      <c r="F169" s="16" t="s">
        <v>64</v>
      </c>
      <c r="G169" s="16" t="s">
        <v>64</v>
      </c>
    </row>
    <row r="170" spans="1:7" x14ac:dyDescent="0.2">
      <c r="A170" t="s">
        <v>64</v>
      </c>
      <c r="B170" t="s">
        <v>64</v>
      </c>
      <c r="C170" s="3" t="s">
        <v>64</v>
      </c>
      <c r="D170" s="16" t="s">
        <v>64</v>
      </c>
      <c r="E170" s="16">
        <v>0</v>
      </c>
      <c r="F170" s="16" t="s">
        <v>64</v>
      </c>
      <c r="G170" s="16" t="s">
        <v>64</v>
      </c>
    </row>
    <row r="171" spans="1:7" x14ac:dyDescent="0.2">
      <c r="A171" t="s">
        <v>64</v>
      </c>
      <c r="B171" t="s">
        <v>64</v>
      </c>
      <c r="C171" s="3" t="s">
        <v>64</v>
      </c>
      <c r="D171" s="16" t="s">
        <v>64</v>
      </c>
      <c r="E171" s="16">
        <v>0</v>
      </c>
      <c r="F171" s="16" t="s">
        <v>64</v>
      </c>
      <c r="G171" s="16" t="s">
        <v>64</v>
      </c>
    </row>
    <row r="172" spans="1:7" x14ac:dyDescent="0.2">
      <c r="A172" t="s">
        <v>64</v>
      </c>
      <c r="B172" t="s">
        <v>64</v>
      </c>
      <c r="C172" s="3" t="s">
        <v>64</v>
      </c>
      <c r="D172" s="16" t="s">
        <v>64</v>
      </c>
      <c r="E172" s="16">
        <v>0</v>
      </c>
      <c r="F172" s="16" t="s">
        <v>64</v>
      </c>
      <c r="G172" s="16" t="s">
        <v>64</v>
      </c>
    </row>
    <row r="173" spans="1:7" x14ac:dyDescent="0.2">
      <c r="A173" t="s">
        <v>64</v>
      </c>
      <c r="B173" t="s">
        <v>64</v>
      </c>
      <c r="C173" s="3" t="s">
        <v>64</v>
      </c>
      <c r="D173" s="16" t="s">
        <v>64</v>
      </c>
      <c r="E173" s="16">
        <v>0</v>
      </c>
      <c r="F173" s="16" t="s">
        <v>64</v>
      </c>
      <c r="G173" s="16" t="s">
        <v>64</v>
      </c>
    </row>
    <row r="174" spans="1:7" x14ac:dyDescent="0.2">
      <c r="A174" t="s">
        <v>64</v>
      </c>
      <c r="B174" t="s">
        <v>64</v>
      </c>
      <c r="C174" s="3" t="s">
        <v>64</v>
      </c>
      <c r="D174" s="16" t="s">
        <v>64</v>
      </c>
      <c r="E174" s="16">
        <v>0</v>
      </c>
      <c r="F174" s="16" t="s">
        <v>64</v>
      </c>
      <c r="G174" s="16" t="s">
        <v>64</v>
      </c>
    </row>
    <row r="175" spans="1:7" x14ac:dyDescent="0.2">
      <c r="A175" t="s">
        <v>64</v>
      </c>
      <c r="B175" t="s">
        <v>64</v>
      </c>
      <c r="C175" s="3" t="s">
        <v>64</v>
      </c>
      <c r="D175" s="16" t="s">
        <v>64</v>
      </c>
      <c r="E175" s="16">
        <v>0</v>
      </c>
      <c r="F175" s="16" t="s">
        <v>64</v>
      </c>
      <c r="G175" s="16" t="s">
        <v>64</v>
      </c>
    </row>
    <row r="176" spans="1:7" x14ac:dyDescent="0.2">
      <c r="A176" t="s">
        <v>64</v>
      </c>
      <c r="B176" t="s">
        <v>64</v>
      </c>
      <c r="C176" s="3" t="s">
        <v>64</v>
      </c>
      <c r="D176" s="16" t="s">
        <v>64</v>
      </c>
      <c r="E176" s="16">
        <v>0</v>
      </c>
      <c r="F176" s="16" t="s">
        <v>64</v>
      </c>
      <c r="G176" s="16" t="s">
        <v>64</v>
      </c>
    </row>
    <row r="177" spans="1:7" x14ac:dyDescent="0.2">
      <c r="A177" t="s">
        <v>64</v>
      </c>
      <c r="B177" t="s">
        <v>64</v>
      </c>
      <c r="C177" s="3" t="s">
        <v>64</v>
      </c>
      <c r="D177" s="16" t="s">
        <v>64</v>
      </c>
      <c r="E177" s="16">
        <v>0</v>
      </c>
      <c r="F177" s="16" t="s">
        <v>64</v>
      </c>
      <c r="G177" s="16" t="s">
        <v>64</v>
      </c>
    </row>
    <row r="178" spans="1:7" x14ac:dyDescent="0.2">
      <c r="A178" t="s">
        <v>64</v>
      </c>
      <c r="B178" t="s">
        <v>64</v>
      </c>
      <c r="C178" s="3" t="s">
        <v>64</v>
      </c>
      <c r="D178" s="16" t="s">
        <v>64</v>
      </c>
      <c r="E178" s="16">
        <v>0</v>
      </c>
      <c r="F178" s="16" t="s">
        <v>64</v>
      </c>
      <c r="G178" s="16" t="s">
        <v>64</v>
      </c>
    </row>
    <row r="179" spans="1:7" x14ac:dyDescent="0.2">
      <c r="A179" t="s">
        <v>64</v>
      </c>
      <c r="B179" t="s">
        <v>64</v>
      </c>
      <c r="C179" s="3" t="s">
        <v>64</v>
      </c>
      <c r="D179" s="16" t="s">
        <v>64</v>
      </c>
      <c r="E179" s="16">
        <v>0</v>
      </c>
      <c r="F179" s="16" t="s">
        <v>64</v>
      </c>
      <c r="G179" s="16" t="s">
        <v>64</v>
      </c>
    </row>
    <row r="180" spans="1:7" x14ac:dyDescent="0.2">
      <c r="A180" t="s">
        <v>64</v>
      </c>
      <c r="B180" t="s">
        <v>64</v>
      </c>
      <c r="C180" s="3" t="s">
        <v>64</v>
      </c>
      <c r="D180" s="16" t="s">
        <v>64</v>
      </c>
      <c r="E180" s="16">
        <v>0</v>
      </c>
      <c r="F180" s="16" t="s">
        <v>64</v>
      </c>
      <c r="G180" s="16" t="s">
        <v>64</v>
      </c>
    </row>
    <row r="181" spans="1:7" x14ac:dyDescent="0.2">
      <c r="A181" t="s">
        <v>64</v>
      </c>
      <c r="B181" t="s">
        <v>64</v>
      </c>
      <c r="C181" s="3" t="s">
        <v>64</v>
      </c>
      <c r="D181" s="16" t="s">
        <v>64</v>
      </c>
      <c r="E181" s="16">
        <v>0</v>
      </c>
      <c r="F181" s="16" t="s">
        <v>64</v>
      </c>
      <c r="G181" s="16" t="s">
        <v>64</v>
      </c>
    </row>
    <row r="182" spans="1:7" x14ac:dyDescent="0.2">
      <c r="A182" t="s">
        <v>64</v>
      </c>
      <c r="B182" t="s">
        <v>64</v>
      </c>
      <c r="C182" s="3" t="s">
        <v>64</v>
      </c>
      <c r="D182" s="16" t="s">
        <v>64</v>
      </c>
      <c r="E182" s="16">
        <v>0</v>
      </c>
      <c r="F182" s="16" t="s">
        <v>64</v>
      </c>
      <c r="G182" s="16" t="s">
        <v>64</v>
      </c>
    </row>
    <row r="183" spans="1:7" x14ac:dyDescent="0.2">
      <c r="A183" t="s">
        <v>64</v>
      </c>
      <c r="B183" t="s">
        <v>64</v>
      </c>
      <c r="C183" s="3" t="s">
        <v>64</v>
      </c>
      <c r="D183" s="16" t="s">
        <v>64</v>
      </c>
      <c r="E183" s="16">
        <v>0</v>
      </c>
      <c r="F183" s="16" t="s">
        <v>64</v>
      </c>
      <c r="G183" s="16" t="s">
        <v>64</v>
      </c>
    </row>
    <row r="184" spans="1:7" x14ac:dyDescent="0.2">
      <c r="A184" t="s">
        <v>64</v>
      </c>
      <c r="B184" t="s">
        <v>64</v>
      </c>
      <c r="C184" s="3" t="s">
        <v>64</v>
      </c>
      <c r="D184" s="16" t="s">
        <v>64</v>
      </c>
      <c r="E184" s="16">
        <v>0</v>
      </c>
      <c r="F184" s="16" t="s">
        <v>64</v>
      </c>
      <c r="G184" s="16" t="s">
        <v>64</v>
      </c>
    </row>
    <row r="185" spans="1:7" x14ac:dyDescent="0.2">
      <c r="A185" t="s">
        <v>64</v>
      </c>
      <c r="B185" t="s">
        <v>64</v>
      </c>
      <c r="C185" s="3" t="s">
        <v>64</v>
      </c>
      <c r="D185" s="16" t="s">
        <v>64</v>
      </c>
      <c r="E185" s="16">
        <v>0</v>
      </c>
      <c r="F185" s="16" t="s">
        <v>64</v>
      </c>
      <c r="G185" s="16" t="s">
        <v>64</v>
      </c>
    </row>
    <row r="186" spans="1:7" x14ac:dyDescent="0.2">
      <c r="A186" t="s">
        <v>64</v>
      </c>
      <c r="B186" t="s">
        <v>64</v>
      </c>
      <c r="C186" s="3" t="s">
        <v>64</v>
      </c>
      <c r="D186" s="16" t="s">
        <v>64</v>
      </c>
      <c r="E186" s="16">
        <v>0</v>
      </c>
      <c r="F186" s="16" t="s">
        <v>64</v>
      </c>
      <c r="G186" s="16" t="s">
        <v>64</v>
      </c>
    </row>
    <row r="187" spans="1:7" x14ac:dyDescent="0.2">
      <c r="A187" t="s">
        <v>64</v>
      </c>
      <c r="B187" t="s">
        <v>64</v>
      </c>
      <c r="C187" s="3" t="s">
        <v>64</v>
      </c>
      <c r="D187" s="16" t="s">
        <v>64</v>
      </c>
      <c r="E187" s="16">
        <v>0</v>
      </c>
      <c r="F187" s="16" t="s">
        <v>64</v>
      </c>
      <c r="G187" s="16" t="s">
        <v>64</v>
      </c>
    </row>
    <row r="188" spans="1:7" x14ac:dyDescent="0.2">
      <c r="A188" t="s">
        <v>64</v>
      </c>
      <c r="B188" t="s">
        <v>64</v>
      </c>
      <c r="C188" s="3" t="s">
        <v>64</v>
      </c>
      <c r="D188" s="16" t="s">
        <v>64</v>
      </c>
      <c r="E188" s="16">
        <v>0</v>
      </c>
      <c r="F188" s="16" t="s">
        <v>64</v>
      </c>
      <c r="G188" s="16" t="s">
        <v>64</v>
      </c>
    </row>
    <row r="189" spans="1:7" x14ac:dyDescent="0.2">
      <c r="A189" t="s">
        <v>64</v>
      </c>
      <c r="B189" t="s">
        <v>64</v>
      </c>
      <c r="C189" s="3" t="s">
        <v>64</v>
      </c>
      <c r="D189" s="16" t="s">
        <v>64</v>
      </c>
      <c r="E189" s="16">
        <v>0</v>
      </c>
      <c r="F189" s="16" t="s">
        <v>64</v>
      </c>
      <c r="G189" s="16" t="s">
        <v>64</v>
      </c>
    </row>
    <row r="190" spans="1:7" x14ac:dyDescent="0.2">
      <c r="A190" t="s">
        <v>64</v>
      </c>
      <c r="B190" t="s">
        <v>64</v>
      </c>
      <c r="C190" s="3" t="s">
        <v>64</v>
      </c>
      <c r="D190" s="16" t="s">
        <v>64</v>
      </c>
      <c r="E190" s="16">
        <v>0</v>
      </c>
      <c r="F190" s="16" t="s">
        <v>64</v>
      </c>
      <c r="G190" s="16" t="s">
        <v>64</v>
      </c>
    </row>
    <row r="191" spans="1:7" x14ac:dyDescent="0.2">
      <c r="A191" t="s">
        <v>64</v>
      </c>
      <c r="B191" t="s">
        <v>64</v>
      </c>
      <c r="C191" s="3" t="s">
        <v>64</v>
      </c>
      <c r="D191" s="16" t="s">
        <v>64</v>
      </c>
      <c r="E191" s="16">
        <v>0</v>
      </c>
      <c r="F191" s="16" t="s">
        <v>64</v>
      </c>
      <c r="G191" s="16" t="s">
        <v>64</v>
      </c>
    </row>
    <row r="192" spans="1:7" x14ac:dyDescent="0.2">
      <c r="A192" t="s">
        <v>64</v>
      </c>
      <c r="B192" t="s">
        <v>64</v>
      </c>
      <c r="C192" s="3" t="s">
        <v>64</v>
      </c>
      <c r="D192" s="16" t="s">
        <v>64</v>
      </c>
      <c r="E192" s="16">
        <v>0</v>
      </c>
      <c r="F192" s="16" t="s">
        <v>64</v>
      </c>
      <c r="G192" s="16" t="s">
        <v>64</v>
      </c>
    </row>
    <row r="193" spans="1:7" x14ac:dyDescent="0.2">
      <c r="A193" t="s">
        <v>64</v>
      </c>
      <c r="B193" t="s">
        <v>64</v>
      </c>
      <c r="C193" s="3" t="s">
        <v>64</v>
      </c>
      <c r="D193" s="16" t="s">
        <v>64</v>
      </c>
      <c r="E193" s="16">
        <v>0</v>
      </c>
      <c r="F193" s="16" t="s">
        <v>64</v>
      </c>
      <c r="G193" s="16" t="s">
        <v>64</v>
      </c>
    </row>
    <row r="194" spans="1:7" x14ac:dyDescent="0.2">
      <c r="A194" t="s">
        <v>64</v>
      </c>
      <c r="B194" t="s">
        <v>64</v>
      </c>
      <c r="C194" s="3" t="s">
        <v>64</v>
      </c>
      <c r="D194" s="16" t="s">
        <v>64</v>
      </c>
      <c r="E194" s="16">
        <v>0</v>
      </c>
      <c r="F194" s="16" t="s">
        <v>64</v>
      </c>
      <c r="G194" s="16" t="s">
        <v>64</v>
      </c>
    </row>
    <row r="195" spans="1:7" x14ac:dyDescent="0.2">
      <c r="A195" t="s">
        <v>64</v>
      </c>
      <c r="B195" t="s">
        <v>64</v>
      </c>
      <c r="C195" s="3" t="s">
        <v>64</v>
      </c>
      <c r="D195" s="16" t="s">
        <v>64</v>
      </c>
      <c r="E195" s="16">
        <v>0</v>
      </c>
      <c r="F195" s="16" t="s">
        <v>64</v>
      </c>
      <c r="G195" s="16" t="s">
        <v>64</v>
      </c>
    </row>
    <row r="196" spans="1:7" x14ac:dyDescent="0.2">
      <c r="A196" t="s">
        <v>64</v>
      </c>
      <c r="B196" t="s">
        <v>64</v>
      </c>
      <c r="C196" s="3" t="s">
        <v>64</v>
      </c>
      <c r="D196" s="16" t="s">
        <v>64</v>
      </c>
      <c r="E196" s="16">
        <v>0</v>
      </c>
      <c r="F196" s="16" t="s">
        <v>64</v>
      </c>
      <c r="G196" s="16" t="s">
        <v>64</v>
      </c>
    </row>
    <row r="197" spans="1:7" x14ac:dyDescent="0.2">
      <c r="A197" t="s">
        <v>64</v>
      </c>
      <c r="B197" t="s">
        <v>64</v>
      </c>
      <c r="C197" s="3" t="s">
        <v>64</v>
      </c>
      <c r="D197" s="16" t="s">
        <v>64</v>
      </c>
      <c r="E197" s="16">
        <v>0</v>
      </c>
      <c r="F197" s="16" t="s">
        <v>64</v>
      </c>
      <c r="G197" s="16" t="s">
        <v>64</v>
      </c>
    </row>
    <row r="198" spans="1:7" x14ac:dyDescent="0.2">
      <c r="A198" t="s">
        <v>64</v>
      </c>
      <c r="B198" t="s">
        <v>64</v>
      </c>
      <c r="C198" s="3" t="s">
        <v>64</v>
      </c>
      <c r="D198" s="16" t="s">
        <v>64</v>
      </c>
      <c r="E198" s="16">
        <v>0</v>
      </c>
      <c r="F198" s="16" t="s">
        <v>64</v>
      </c>
      <c r="G198" s="16" t="s">
        <v>64</v>
      </c>
    </row>
    <row r="199" spans="1:7" x14ac:dyDescent="0.2">
      <c r="A199" t="s">
        <v>64</v>
      </c>
      <c r="B199" t="s">
        <v>64</v>
      </c>
      <c r="C199" s="3" t="s">
        <v>64</v>
      </c>
      <c r="D199" s="16" t="s">
        <v>64</v>
      </c>
      <c r="E199" s="16">
        <v>0</v>
      </c>
      <c r="F199" s="16" t="s">
        <v>64</v>
      </c>
      <c r="G199" s="16" t="s">
        <v>64</v>
      </c>
    </row>
    <row r="200" spans="1:7" x14ac:dyDescent="0.2">
      <c r="A200" t="s">
        <v>64</v>
      </c>
      <c r="B200" t="s">
        <v>64</v>
      </c>
      <c r="C200" s="3" t="s">
        <v>64</v>
      </c>
      <c r="D200" s="16" t="s">
        <v>64</v>
      </c>
      <c r="E200" s="16">
        <v>0</v>
      </c>
      <c r="F200" s="16" t="s">
        <v>64</v>
      </c>
      <c r="G200" s="16" t="s">
        <v>64</v>
      </c>
    </row>
    <row r="201" spans="1:7" x14ac:dyDescent="0.2">
      <c r="A201" t="s">
        <v>64</v>
      </c>
      <c r="B201" t="s">
        <v>64</v>
      </c>
      <c r="C201" s="3" t="s">
        <v>64</v>
      </c>
      <c r="D201" s="16" t="s">
        <v>64</v>
      </c>
      <c r="E201" s="16">
        <v>0</v>
      </c>
      <c r="F201" s="16" t="s">
        <v>64</v>
      </c>
      <c r="G201" s="16" t="s">
        <v>64</v>
      </c>
    </row>
    <row r="202" spans="1:7" x14ac:dyDescent="0.2">
      <c r="A202" t="s">
        <v>64</v>
      </c>
      <c r="B202" t="s">
        <v>64</v>
      </c>
      <c r="C202" s="3" t="s">
        <v>64</v>
      </c>
      <c r="D202" s="16" t="s">
        <v>64</v>
      </c>
      <c r="E202" s="16">
        <v>0</v>
      </c>
      <c r="F202" s="16" t="s">
        <v>64</v>
      </c>
      <c r="G202" s="16" t="s">
        <v>64</v>
      </c>
    </row>
    <row r="203" spans="1:7" x14ac:dyDescent="0.2">
      <c r="A203" t="s">
        <v>64</v>
      </c>
      <c r="B203" t="s">
        <v>64</v>
      </c>
      <c r="C203" s="3" t="s">
        <v>64</v>
      </c>
      <c r="D203" s="16" t="s">
        <v>64</v>
      </c>
      <c r="E203" s="16">
        <v>0</v>
      </c>
      <c r="F203" s="16" t="s">
        <v>64</v>
      </c>
      <c r="G203" s="16" t="s">
        <v>64</v>
      </c>
    </row>
    <row r="204" spans="1:7" x14ac:dyDescent="0.2">
      <c r="A204" t="s">
        <v>64</v>
      </c>
      <c r="B204" t="s">
        <v>64</v>
      </c>
      <c r="C204" s="3" t="s">
        <v>64</v>
      </c>
      <c r="D204" s="16" t="s">
        <v>64</v>
      </c>
      <c r="E204" s="16">
        <v>0</v>
      </c>
      <c r="F204" s="16" t="s">
        <v>64</v>
      </c>
      <c r="G204" s="16" t="s">
        <v>64</v>
      </c>
    </row>
    <row r="205" spans="1:7" x14ac:dyDescent="0.2">
      <c r="A205" t="s">
        <v>64</v>
      </c>
      <c r="B205" t="s">
        <v>64</v>
      </c>
      <c r="C205" s="3" t="s">
        <v>64</v>
      </c>
      <c r="D205" s="16" t="s">
        <v>64</v>
      </c>
      <c r="E205" s="16">
        <v>0</v>
      </c>
      <c r="F205" s="16" t="s">
        <v>64</v>
      </c>
      <c r="G205" s="16" t="s">
        <v>64</v>
      </c>
    </row>
    <row r="206" spans="1:7" x14ac:dyDescent="0.2">
      <c r="A206" t="s">
        <v>64</v>
      </c>
      <c r="B206" t="s">
        <v>64</v>
      </c>
      <c r="C206" s="3" t="s">
        <v>64</v>
      </c>
      <c r="D206" s="16" t="s">
        <v>64</v>
      </c>
      <c r="E206" s="16">
        <v>0</v>
      </c>
      <c r="F206" s="16" t="s">
        <v>64</v>
      </c>
      <c r="G206" s="16" t="s">
        <v>64</v>
      </c>
    </row>
    <row r="207" spans="1:7" x14ac:dyDescent="0.2">
      <c r="A207" t="s">
        <v>64</v>
      </c>
      <c r="B207" t="s">
        <v>64</v>
      </c>
      <c r="C207" s="3" t="s">
        <v>64</v>
      </c>
      <c r="D207" s="16" t="s">
        <v>64</v>
      </c>
      <c r="E207" s="16">
        <v>0</v>
      </c>
      <c r="F207" s="16" t="s">
        <v>64</v>
      </c>
      <c r="G207" s="16" t="s">
        <v>64</v>
      </c>
    </row>
    <row r="208" spans="1:7" x14ac:dyDescent="0.2">
      <c r="A208" t="s">
        <v>64</v>
      </c>
      <c r="B208" t="s">
        <v>64</v>
      </c>
      <c r="C208" s="3" t="s">
        <v>64</v>
      </c>
      <c r="D208" s="16" t="s">
        <v>64</v>
      </c>
      <c r="E208" s="16">
        <v>0</v>
      </c>
      <c r="F208" s="16" t="s">
        <v>64</v>
      </c>
      <c r="G208" s="16" t="s">
        <v>64</v>
      </c>
    </row>
    <row r="209" spans="1:7" x14ac:dyDescent="0.2">
      <c r="A209" t="s">
        <v>64</v>
      </c>
      <c r="B209" t="s">
        <v>64</v>
      </c>
      <c r="C209" s="3" t="s">
        <v>64</v>
      </c>
      <c r="D209" s="16" t="s">
        <v>64</v>
      </c>
      <c r="E209" s="16">
        <v>0</v>
      </c>
      <c r="F209" s="16" t="s">
        <v>64</v>
      </c>
      <c r="G209" s="16" t="s">
        <v>64</v>
      </c>
    </row>
    <row r="210" spans="1:7" x14ac:dyDescent="0.2">
      <c r="A210" t="s">
        <v>64</v>
      </c>
      <c r="B210" t="s">
        <v>64</v>
      </c>
      <c r="C210" s="3" t="s">
        <v>64</v>
      </c>
      <c r="D210" s="16" t="s">
        <v>64</v>
      </c>
      <c r="E210" s="16">
        <v>0</v>
      </c>
      <c r="F210" s="16" t="s">
        <v>64</v>
      </c>
      <c r="G210" s="16" t="s">
        <v>64</v>
      </c>
    </row>
    <row r="211" spans="1:7" x14ac:dyDescent="0.2">
      <c r="A211" t="s">
        <v>64</v>
      </c>
      <c r="B211" t="s">
        <v>64</v>
      </c>
      <c r="C211" s="3" t="s">
        <v>64</v>
      </c>
      <c r="D211" s="16" t="s">
        <v>64</v>
      </c>
      <c r="E211" s="16">
        <v>0</v>
      </c>
      <c r="F211" s="16" t="s">
        <v>64</v>
      </c>
      <c r="G211" s="16" t="s">
        <v>64</v>
      </c>
    </row>
    <row r="212" spans="1:7" x14ac:dyDescent="0.2">
      <c r="A212" t="s">
        <v>64</v>
      </c>
      <c r="B212" t="s">
        <v>64</v>
      </c>
      <c r="C212" s="3" t="s">
        <v>64</v>
      </c>
      <c r="D212" s="16" t="s">
        <v>64</v>
      </c>
      <c r="E212" s="16">
        <v>0</v>
      </c>
      <c r="F212" s="16" t="s">
        <v>64</v>
      </c>
      <c r="G212" s="16" t="s">
        <v>64</v>
      </c>
    </row>
    <row r="213" spans="1:7" x14ac:dyDescent="0.2">
      <c r="A213" t="s">
        <v>64</v>
      </c>
      <c r="B213" t="s">
        <v>64</v>
      </c>
      <c r="C213" s="3" t="s">
        <v>64</v>
      </c>
      <c r="D213" s="16" t="s">
        <v>64</v>
      </c>
      <c r="E213" s="16">
        <v>0</v>
      </c>
      <c r="F213" s="16" t="s">
        <v>64</v>
      </c>
      <c r="G213" s="16" t="s">
        <v>64</v>
      </c>
    </row>
    <row r="214" spans="1:7" x14ac:dyDescent="0.2">
      <c r="A214" t="s">
        <v>64</v>
      </c>
      <c r="B214" t="s">
        <v>64</v>
      </c>
      <c r="C214" s="3" t="s">
        <v>64</v>
      </c>
      <c r="D214" s="16" t="s">
        <v>64</v>
      </c>
      <c r="E214" s="16">
        <v>0</v>
      </c>
      <c r="F214" s="16" t="s">
        <v>64</v>
      </c>
      <c r="G214" s="16" t="s">
        <v>64</v>
      </c>
    </row>
    <row r="215" spans="1:7" x14ac:dyDescent="0.2">
      <c r="A215" t="s">
        <v>64</v>
      </c>
      <c r="B215" t="s">
        <v>64</v>
      </c>
      <c r="C215" s="3" t="s">
        <v>64</v>
      </c>
      <c r="D215" s="16" t="s">
        <v>64</v>
      </c>
      <c r="E215" s="16">
        <v>0</v>
      </c>
      <c r="F215" s="16" t="s">
        <v>64</v>
      </c>
      <c r="G215" s="16" t="s">
        <v>64</v>
      </c>
    </row>
    <row r="216" spans="1:7" x14ac:dyDescent="0.2">
      <c r="A216" t="s">
        <v>64</v>
      </c>
      <c r="B216" t="s">
        <v>64</v>
      </c>
      <c r="C216" s="3" t="s">
        <v>64</v>
      </c>
      <c r="D216" s="16" t="s">
        <v>64</v>
      </c>
      <c r="E216" s="16">
        <v>0</v>
      </c>
      <c r="F216" s="16" t="s">
        <v>64</v>
      </c>
      <c r="G216" s="16" t="s">
        <v>64</v>
      </c>
    </row>
    <row r="217" spans="1:7" x14ac:dyDescent="0.2">
      <c r="A217" t="s">
        <v>64</v>
      </c>
      <c r="B217" t="s">
        <v>64</v>
      </c>
      <c r="C217" s="3" t="s">
        <v>64</v>
      </c>
      <c r="D217" s="16" t="s">
        <v>64</v>
      </c>
      <c r="E217" s="16">
        <v>0</v>
      </c>
      <c r="F217" s="16" t="s">
        <v>64</v>
      </c>
      <c r="G217" s="16" t="s">
        <v>64</v>
      </c>
    </row>
    <row r="218" spans="1:7" x14ac:dyDescent="0.2">
      <c r="A218" t="s">
        <v>64</v>
      </c>
      <c r="B218" t="s">
        <v>64</v>
      </c>
      <c r="C218" s="3" t="s">
        <v>64</v>
      </c>
      <c r="D218" s="16" t="s">
        <v>64</v>
      </c>
      <c r="E218" s="16">
        <v>0</v>
      </c>
      <c r="F218" s="16" t="s">
        <v>64</v>
      </c>
      <c r="G218" s="16" t="s">
        <v>64</v>
      </c>
    </row>
    <row r="219" spans="1:7" x14ac:dyDescent="0.2">
      <c r="A219" t="s">
        <v>64</v>
      </c>
      <c r="B219" t="s">
        <v>64</v>
      </c>
      <c r="C219" s="3" t="s">
        <v>64</v>
      </c>
      <c r="D219" s="16" t="s">
        <v>64</v>
      </c>
      <c r="E219" s="16">
        <v>0</v>
      </c>
      <c r="F219" s="16" t="s">
        <v>64</v>
      </c>
      <c r="G219" s="16" t="s">
        <v>64</v>
      </c>
    </row>
    <row r="220" spans="1:7" x14ac:dyDescent="0.2">
      <c r="A220" t="s">
        <v>64</v>
      </c>
      <c r="B220" t="s">
        <v>64</v>
      </c>
      <c r="C220" s="3" t="s">
        <v>64</v>
      </c>
      <c r="D220" s="16" t="s">
        <v>64</v>
      </c>
      <c r="E220" s="16">
        <v>0</v>
      </c>
      <c r="F220" s="16" t="s">
        <v>64</v>
      </c>
      <c r="G220" s="16" t="s">
        <v>64</v>
      </c>
    </row>
    <row r="221" spans="1:7" x14ac:dyDescent="0.2">
      <c r="A221" t="s">
        <v>64</v>
      </c>
      <c r="B221" t="s">
        <v>64</v>
      </c>
      <c r="C221" s="3" t="s">
        <v>64</v>
      </c>
      <c r="D221" s="16" t="s">
        <v>64</v>
      </c>
      <c r="E221" s="16">
        <v>0</v>
      </c>
      <c r="F221" s="16" t="s">
        <v>64</v>
      </c>
      <c r="G221" s="16" t="s">
        <v>64</v>
      </c>
    </row>
    <row r="222" spans="1:7" x14ac:dyDescent="0.2">
      <c r="A222" t="s">
        <v>64</v>
      </c>
      <c r="B222" t="s">
        <v>64</v>
      </c>
      <c r="C222" s="3" t="s">
        <v>64</v>
      </c>
      <c r="D222" s="16" t="s">
        <v>64</v>
      </c>
      <c r="E222" s="16">
        <v>0</v>
      </c>
      <c r="F222" s="16" t="s">
        <v>64</v>
      </c>
      <c r="G222" s="16" t="s">
        <v>64</v>
      </c>
    </row>
    <row r="223" spans="1:7" x14ac:dyDescent="0.2">
      <c r="A223" t="s">
        <v>64</v>
      </c>
      <c r="B223" t="s">
        <v>64</v>
      </c>
      <c r="C223" s="3" t="s">
        <v>64</v>
      </c>
      <c r="D223" s="16" t="s">
        <v>64</v>
      </c>
      <c r="E223" s="16">
        <v>0</v>
      </c>
      <c r="F223" s="16" t="s">
        <v>64</v>
      </c>
      <c r="G223" s="16" t="s">
        <v>64</v>
      </c>
    </row>
    <row r="224" spans="1:7" x14ac:dyDescent="0.2">
      <c r="A224" t="s">
        <v>64</v>
      </c>
      <c r="B224" t="s">
        <v>64</v>
      </c>
      <c r="C224" s="3" t="s">
        <v>64</v>
      </c>
      <c r="D224" s="16" t="s">
        <v>64</v>
      </c>
      <c r="E224" s="16">
        <v>0</v>
      </c>
      <c r="F224" s="16" t="s">
        <v>64</v>
      </c>
      <c r="G224" s="16" t="s">
        <v>64</v>
      </c>
    </row>
    <row r="225" spans="1:7" x14ac:dyDescent="0.2">
      <c r="A225" t="s">
        <v>64</v>
      </c>
      <c r="B225" t="s">
        <v>64</v>
      </c>
      <c r="C225" s="3" t="s">
        <v>64</v>
      </c>
      <c r="D225" s="16" t="s">
        <v>64</v>
      </c>
      <c r="E225" s="16">
        <v>0</v>
      </c>
      <c r="F225" s="16" t="s">
        <v>64</v>
      </c>
      <c r="G225" s="16" t="s">
        <v>64</v>
      </c>
    </row>
    <row r="226" spans="1:7" x14ac:dyDescent="0.2">
      <c r="A226" t="s">
        <v>64</v>
      </c>
      <c r="B226" t="s">
        <v>64</v>
      </c>
      <c r="C226" s="3" t="s">
        <v>64</v>
      </c>
      <c r="D226" s="16" t="s">
        <v>64</v>
      </c>
      <c r="E226" s="16">
        <v>0</v>
      </c>
      <c r="F226" s="16" t="s">
        <v>64</v>
      </c>
      <c r="G226" s="16" t="s">
        <v>64</v>
      </c>
    </row>
    <row r="227" spans="1:7" x14ac:dyDescent="0.2">
      <c r="A227" t="s">
        <v>64</v>
      </c>
      <c r="B227" t="s">
        <v>64</v>
      </c>
      <c r="C227" s="3" t="s">
        <v>64</v>
      </c>
      <c r="D227" s="16" t="s">
        <v>64</v>
      </c>
      <c r="E227" s="16">
        <v>0</v>
      </c>
      <c r="F227" s="16" t="s">
        <v>64</v>
      </c>
      <c r="G227" s="16" t="s">
        <v>64</v>
      </c>
    </row>
    <row r="228" spans="1:7" x14ac:dyDescent="0.2">
      <c r="A228" t="s">
        <v>64</v>
      </c>
      <c r="B228" t="s">
        <v>64</v>
      </c>
      <c r="C228" s="3" t="s">
        <v>64</v>
      </c>
      <c r="D228" s="16" t="s">
        <v>64</v>
      </c>
      <c r="E228" s="16">
        <v>0</v>
      </c>
      <c r="F228" s="16" t="s">
        <v>64</v>
      </c>
      <c r="G228" s="16" t="s">
        <v>64</v>
      </c>
    </row>
    <row r="229" spans="1:7" x14ac:dyDescent="0.2">
      <c r="A229" t="s">
        <v>64</v>
      </c>
      <c r="B229" t="s">
        <v>64</v>
      </c>
      <c r="C229" s="3" t="s">
        <v>64</v>
      </c>
      <c r="D229" s="16" t="s">
        <v>64</v>
      </c>
      <c r="E229" s="16">
        <v>0</v>
      </c>
      <c r="F229" s="16" t="s">
        <v>64</v>
      </c>
      <c r="G229" s="16" t="s">
        <v>64</v>
      </c>
    </row>
    <row r="230" spans="1:7" x14ac:dyDescent="0.2">
      <c r="A230" t="s">
        <v>64</v>
      </c>
      <c r="B230" t="s">
        <v>64</v>
      </c>
      <c r="C230" s="3" t="s">
        <v>64</v>
      </c>
      <c r="D230" s="16" t="s">
        <v>64</v>
      </c>
      <c r="E230" s="16">
        <v>0</v>
      </c>
      <c r="F230" s="16" t="s">
        <v>64</v>
      </c>
      <c r="G230" s="16" t="s">
        <v>64</v>
      </c>
    </row>
    <row r="231" spans="1:7" x14ac:dyDescent="0.2">
      <c r="A231" t="s">
        <v>64</v>
      </c>
      <c r="B231" t="s">
        <v>64</v>
      </c>
      <c r="C231" s="3" t="s">
        <v>64</v>
      </c>
      <c r="D231" s="16" t="s">
        <v>64</v>
      </c>
      <c r="E231" s="16">
        <v>0</v>
      </c>
      <c r="F231" s="16" t="s">
        <v>64</v>
      </c>
      <c r="G231" s="16" t="s">
        <v>64</v>
      </c>
    </row>
    <row r="232" spans="1:7" x14ac:dyDescent="0.2">
      <c r="A232" t="s">
        <v>64</v>
      </c>
      <c r="B232" t="s">
        <v>64</v>
      </c>
      <c r="C232" s="3" t="s">
        <v>64</v>
      </c>
      <c r="D232" s="16" t="s">
        <v>64</v>
      </c>
      <c r="E232" s="16">
        <v>0</v>
      </c>
      <c r="F232" s="16" t="s">
        <v>64</v>
      </c>
      <c r="G232" s="16" t="s">
        <v>64</v>
      </c>
    </row>
    <row r="233" spans="1:7" x14ac:dyDescent="0.2">
      <c r="A233" t="s">
        <v>64</v>
      </c>
      <c r="B233" t="s">
        <v>64</v>
      </c>
      <c r="C233" s="3" t="s">
        <v>64</v>
      </c>
      <c r="D233" s="16" t="s">
        <v>64</v>
      </c>
      <c r="E233" s="16">
        <v>0</v>
      </c>
      <c r="F233" s="16" t="s">
        <v>64</v>
      </c>
      <c r="G233" s="16" t="s">
        <v>64</v>
      </c>
    </row>
    <row r="234" spans="1:7" x14ac:dyDescent="0.2">
      <c r="A234" t="s">
        <v>64</v>
      </c>
      <c r="B234" t="s">
        <v>64</v>
      </c>
      <c r="C234" s="3" t="s">
        <v>64</v>
      </c>
      <c r="D234" s="16" t="s">
        <v>64</v>
      </c>
      <c r="E234" s="16">
        <v>0</v>
      </c>
      <c r="F234" s="16" t="s">
        <v>64</v>
      </c>
      <c r="G234" s="16" t="s">
        <v>64</v>
      </c>
    </row>
    <row r="235" spans="1:7" x14ac:dyDescent="0.2">
      <c r="A235" t="s">
        <v>64</v>
      </c>
      <c r="B235" t="s">
        <v>64</v>
      </c>
      <c r="C235" s="3" t="s">
        <v>64</v>
      </c>
      <c r="D235" s="16" t="s">
        <v>64</v>
      </c>
      <c r="E235" s="16">
        <v>0</v>
      </c>
      <c r="F235" s="16" t="s">
        <v>64</v>
      </c>
      <c r="G235" s="16" t="s">
        <v>64</v>
      </c>
    </row>
    <row r="236" spans="1:7" x14ac:dyDescent="0.2">
      <c r="A236" t="s">
        <v>64</v>
      </c>
      <c r="B236" t="s">
        <v>64</v>
      </c>
      <c r="C236" s="3" t="s">
        <v>64</v>
      </c>
      <c r="D236" s="16" t="s">
        <v>64</v>
      </c>
      <c r="E236" s="16">
        <v>0</v>
      </c>
      <c r="F236" s="16" t="s">
        <v>64</v>
      </c>
      <c r="G236" s="16" t="s">
        <v>64</v>
      </c>
    </row>
    <row r="237" spans="1:7" x14ac:dyDescent="0.2">
      <c r="A237" t="s">
        <v>64</v>
      </c>
      <c r="B237" t="s">
        <v>64</v>
      </c>
      <c r="C237" s="3" t="s">
        <v>64</v>
      </c>
      <c r="D237" s="16" t="s">
        <v>64</v>
      </c>
      <c r="E237" s="16">
        <v>0</v>
      </c>
      <c r="F237" s="16" t="s">
        <v>64</v>
      </c>
      <c r="G237" s="16" t="s">
        <v>64</v>
      </c>
    </row>
    <row r="238" spans="1:7" x14ac:dyDescent="0.2">
      <c r="A238" t="s">
        <v>64</v>
      </c>
      <c r="B238" t="s">
        <v>64</v>
      </c>
      <c r="C238" s="3" t="s">
        <v>64</v>
      </c>
      <c r="D238" s="16" t="s">
        <v>64</v>
      </c>
      <c r="E238" s="16">
        <v>0</v>
      </c>
      <c r="F238" s="16" t="s">
        <v>64</v>
      </c>
      <c r="G238" s="16" t="s">
        <v>64</v>
      </c>
    </row>
    <row r="239" spans="1:7" x14ac:dyDescent="0.2">
      <c r="A239" t="s">
        <v>64</v>
      </c>
      <c r="B239" t="s">
        <v>64</v>
      </c>
      <c r="C239" s="3" t="s">
        <v>64</v>
      </c>
      <c r="D239" s="16" t="s">
        <v>64</v>
      </c>
      <c r="E239" s="16">
        <v>0</v>
      </c>
      <c r="F239" s="16" t="s">
        <v>64</v>
      </c>
      <c r="G239" s="16" t="s">
        <v>64</v>
      </c>
    </row>
    <row r="240" spans="1:7" x14ac:dyDescent="0.2">
      <c r="A240" t="s">
        <v>64</v>
      </c>
      <c r="B240" t="s">
        <v>64</v>
      </c>
      <c r="C240" s="3" t="s">
        <v>64</v>
      </c>
      <c r="D240" s="16" t="s">
        <v>64</v>
      </c>
      <c r="E240" s="16">
        <v>0</v>
      </c>
      <c r="F240" s="16" t="s">
        <v>64</v>
      </c>
      <c r="G240" s="16" t="s">
        <v>64</v>
      </c>
    </row>
    <row r="241" spans="1:7" x14ac:dyDescent="0.2">
      <c r="A241" t="s">
        <v>64</v>
      </c>
      <c r="B241" t="s">
        <v>64</v>
      </c>
      <c r="C241" s="3" t="s">
        <v>64</v>
      </c>
      <c r="D241" s="16" t="s">
        <v>64</v>
      </c>
      <c r="E241" s="16">
        <v>0</v>
      </c>
      <c r="F241" s="16" t="s">
        <v>64</v>
      </c>
      <c r="G241" s="16" t="s">
        <v>64</v>
      </c>
    </row>
    <row r="242" spans="1:7" x14ac:dyDescent="0.2">
      <c r="A242" t="s">
        <v>64</v>
      </c>
      <c r="B242" t="s">
        <v>64</v>
      </c>
      <c r="C242" s="3" t="s">
        <v>64</v>
      </c>
      <c r="D242" s="16" t="s">
        <v>64</v>
      </c>
      <c r="E242" s="16">
        <v>0</v>
      </c>
      <c r="F242" s="16" t="s">
        <v>64</v>
      </c>
      <c r="G242" s="16" t="s">
        <v>64</v>
      </c>
    </row>
    <row r="243" spans="1:7" x14ac:dyDescent="0.2">
      <c r="A243" t="s">
        <v>64</v>
      </c>
      <c r="B243" t="s">
        <v>64</v>
      </c>
      <c r="C243" s="3" t="s">
        <v>64</v>
      </c>
      <c r="D243" s="16" t="s">
        <v>64</v>
      </c>
      <c r="E243" s="16">
        <v>0</v>
      </c>
      <c r="F243" s="16" t="s">
        <v>64</v>
      </c>
      <c r="G243" s="16" t="s">
        <v>64</v>
      </c>
    </row>
    <row r="244" spans="1:7" x14ac:dyDescent="0.2">
      <c r="A244" t="s">
        <v>64</v>
      </c>
      <c r="B244" t="s">
        <v>64</v>
      </c>
      <c r="C244" s="3" t="s">
        <v>64</v>
      </c>
      <c r="D244" s="16" t="s">
        <v>64</v>
      </c>
      <c r="E244" s="16">
        <v>0</v>
      </c>
      <c r="F244" s="16" t="s">
        <v>64</v>
      </c>
      <c r="G244" s="16" t="s">
        <v>64</v>
      </c>
    </row>
    <row r="245" spans="1:7" x14ac:dyDescent="0.2">
      <c r="A245" t="s">
        <v>64</v>
      </c>
      <c r="B245" t="s">
        <v>64</v>
      </c>
      <c r="C245" s="3" t="s">
        <v>64</v>
      </c>
      <c r="D245" s="16" t="s">
        <v>64</v>
      </c>
      <c r="E245" s="16">
        <v>0</v>
      </c>
      <c r="F245" s="16" t="s">
        <v>64</v>
      </c>
      <c r="G245" s="16" t="s">
        <v>64</v>
      </c>
    </row>
    <row r="246" spans="1:7" x14ac:dyDescent="0.2">
      <c r="A246" t="s">
        <v>64</v>
      </c>
      <c r="B246" t="s">
        <v>64</v>
      </c>
      <c r="C246" s="3" t="s">
        <v>64</v>
      </c>
      <c r="D246" s="16" t="s">
        <v>64</v>
      </c>
      <c r="E246" s="16">
        <v>0</v>
      </c>
      <c r="F246" s="16" t="s">
        <v>64</v>
      </c>
      <c r="G246" s="16" t="s">
        <v>64</v>
      </c>
    </row>
    <row r="247" spans="1:7" x14ac:dyDescent="0.2">
      <c r="A247" t="s">
        <v>64</v>
      </c>
      <c r="B247" t="s">
        <v>64</v>
      </c>
      <c r="C247" s="3" t="s">
        <v>64</v>
      </c>
      <c r="D247" s="16" t="s">
        <v>64</v>
      </c>
      <c r="E247" s="16">
        <v>0</v>
      </c>
      <c r="F247" s="16" t="s">
        <v>64</v>
      </c>
      <c r="G247" s="16" t="s">
        <v>64</v>
      </c>
    </row>
    <row r="248" spans="1:7" x14ac:dyDescent="0.2">
      <c r="A248" t="s">
        <v>64</v>
      </c>
      <c r="B248" t="s">
        <v>64</v>
      </c>
      <c r="C248" s="3" t="s">
        <v>64</v>
      </c>
      <c r="D248" s="16" t="s">
        <v>64</v>
      </c>
      <c r="E248" s="16">
        <v>0</v>
      </c>
      <c r="F248" s="16" t="s">
        <v>64</v>
      </c>
      <c r="G248" s="16" t="s">
        <v>64</v>
      </c>
    </row>
    <row r="249" spans="1:7" x14ac:dyDescent="0.2">
      <c r="A249" t="s">
        <v>64</v>
      </c>
      <c r="B249" t="s">
        <v>64</v>
      </c>
      <c r="C249" s="3" t="s">
        <v>64</v>
      </c>
      <c r="D249" s="16" t="s">
        <v>64</v>
      </c>
      <c r="E249" s="16">
        <v>0</v>
      </c>
      <c r="F249" s="16" t="s">
        <v>64</v>
      </c>
      <c r="G249" s="16" t="s">
        <v>64</v>
      </c>
    </row>
    <row r="250" spans="1:7" x14ac:dyDescent="0.2">
      <c r="A250" t="s">
        <v>64</v>
      </c>
      <c r="B250" t="s">
        <v>64</v>
      </c>
      <c r="C250" s="3" t="s">
        <v>64</v>
      </c>
      <c r="D250" s="16" t="s">
        <v>64</v>
      </c>
      <c r="E250" s="16">
        <v>0</v>
      </c>
      <c r="F250" s="16" t="s">
        <v>64</v>
      </c>
      <c r="G250" s="16" t="s">
        <v>64</v>
      </c>
    </row>
    <row r="251" spans="1:7" x14ac:dyDescent="0.2">
      <c r="A251" t="s">
        <v>64</v>
      </c>
      <c r="B251" t="s">
        <v>64</v>
      </c>
      <c r="C251" s="3" t="s">
        <v>64</v>
      </c>
      <c r="D251" s="16" t="s">
        <v>64</v>
      </c>
      <c r="E251" s="16">
        <v>0</v>
      </c>
      <c r="F251" s="16" t="s">
        <v>64</v>
      </c>
      <c r="G251" s="16" t="s">
        <v>64</v>
      </c>
    </row>
    <row r="252" spans="1:7" x14ac:dyDescent="0.2">
      <c r="A252" t="s">
        <v>64</v>
      </c>
      <c r="B252" t="s">
        <v>64</v>
      </c>
      <c r="C252" s="3" t="s">
        <v>64</v>
      </c>
      <c r="D252" s="16" t="s">
        <v>64</v>
      </c>
      <c r="E252" s="16">
        <v>0</v>
      </c>
      <c r="F252" s="16" t="s">
        <v>64</v>
      </c>
      <c r="G252" s="16" t="s">
        <v>64</v>
      </c>
    </row>
    <row r="253" spans="1:7" x14ac:dyDescent="0.2">
      <c r="A253" t="s">
        <v>64</v>
      </c>
      <c r="B253" t="s">
        <v>64</v>
      </c>
      <c r="C253" s="3" t="s">
        <v>64</v>
      </c>
      <c r="D253" s="16" t="s">
        <v>64</v>
      </c>
      <c r="E253" s="16">
        <v>0</v>
      </c>
      <c r="F253" s="16" t="s">
        <v>64</v>
      </c>
      <c r="G253" s="16" t="s">
        <v>64</v>
      </c>
    </row>
    <row r="254" spans="1:7" x14ac:dyDescent="0.2">
      <c r="A254" t="s">
        <v>64</v>
      </c>
      <c r="B254" t="s">
        <v>64</v>
      </c>
      <c r="C254" s="3" t="s">
        <v>64</v>
      </c>
      <c r="D254" s="16" t="s">
        <v>64</v>
      </c>
      <c r="E254" s="16">
        <v>0</v>
      </c>
      <c r="F254" s="16" t="s">
        <v>64</v>
      </c>
      <c r="G254" s="16" t="s">
        <v>64</v>
      </c>
    </row>
    <row r="255" spans="1:7" x14ac:dyDescent="0.2">
      <c r="A255" t="s">
        <v>64</v>
      </c>
      <c r="B255" t="s">
        <v>64</v>
      </c>
      <c r="C255" s="3" t="s">
        <v>64</v>
      </c>
      <c r="D255" s="16" t="s">
        <v>64</v>
      </c>
      <c r="E255" s="16">
        <v>0</v>
      </c>
      <c r="F255" s="16" t="s">
        <v>64</v>
      </c>
      <c r="G255" s="16" t="s">
        <v>64</v>
      </c>
    </row>
    <row r="256" spans="1:7" x14ac:dyDescent="0.2">
      <c r="A256" t="s">
        <v>64</v>
      </c>
      <c r="B256" t="s">
        <v>64</v>
      </c>
      <c r="C256" s="3" t="s">
        <v>64</v>
      </c>
      <c r="D256" s="16" t="s">
        <v>64</v>
      </c>
      <c r="E256" s="16">
        <v>0</v>
      </c>
      <c r="F256" s="16" t="s">
        <v>64</v>
      </c>
      <c r="G256" s="16" t="s">
        <v>64</v>
      </c>
    </row>
    <row r="257" spans="1:7" x14ac:dyDescent="0.2">
      <c r="A257" t="s">
        <v>64</v>
      </c>
      <c r="B257" t="s">
        <v>64</v>
      </c>
      <c r="C257" s="3" t="s">
        <v>64</v>
      </c>
      <c r="D257" s="16" t="s">
        <v>64</v>
      </c>
      <c r="E257" s="16">
        <v>0</v>
      </c>
      <c r="F257" s="16" t="s">
        <v>64</v>
      </c>
      <c r="G257" s="16" t="s">
        <v>64</v>
      </c>
    </row>
    <row r="258" spans="1:7" x14ac:dyDescent="0.2">
      <c r="A258" t="s">
        <v>64</v>
      </c>
      <c r="B258" t="s">
        <v>64</v>
      </c>
      <c r="C258" s="3" t="s">
        <v>64</v>
      </c>
      <c r="D258" s="16" t="s">
        <v>64</v>
      </c>
      <c r="E258" s="16">
        <v>0</v>
      </c>
      <c r="F258" s="16" t="s">
        <v>64</v>
      </c>
      <c r="G258" s="16" t="s">
        <v>64</v>
      </c>
    </row>
    <row r="259" spans="1:7" x14ac:dyDescent="0.2">
      <c r="A259" t="s">
        <v>64</v>
      </c>
      <c r="B259" t="s">
        <v>64</v>
      </c>
      <c r="C259" s="3" t="s">
        <v>64</v>
      </c>
      <c r="D259" s="16" t="s">
        <v>64</v>
      </c>
      <c r="E259" s="16">
        <v>0</v>
      </c>
      <c r="F259" s="16" t="s">
        <v>64</v>
      </c>
      <c r="G259" s="16" t="s">
        <v>64</v>
      </c>
    </row>
    <row r="260" spans="1:7" x14ac:dyDescent="0.2">
      <c r="A260" t="s">
        <v>64</v>
      </c>
      <c r="B260" t="s">
        <v>64</v>
      </c>
      <c r="C260" s="3" t="s">
        <v>64</v>
      </c>
      <c r="D260" s="16" t="s">
        <v>64</v>
      </c>
      <c r="E260" s="16">
        <v>0</v>
      </c>
      <c r="F260" s="16" t="s">
        <v>64</v>
      </c>
      <c r="G260" s="16" t="s">
        <v>64</v>
      </c>
    </row>
    <row r="261" spans="1:7" x14ac:dyDescent="0.2">
      <c r="A261" t="s">
        <v>64</v>
      </c>
      <c r="B261" t="s">
        <v>64</v>
      </c>
      <c r="C261" s="3" t="s">
        <v>64</v>
      </c>
      <c r="D261" s="16" t="s">
        <v>64</v>
      </c>
      <c r="E261" s="16">
        <v>0</v>
      </c>
      <c r="F261" s="16" t="s">
        <v>64</v>
      </c>
      <c r="G261" s="16" t="s">
        <v>64</v>
      </c>
    </row>
    <row r="262" spans="1:7" x14ac:dyDescent="0.2">
      <c r="A262" t="s">
        <v>64</v>
      </c>
      <c r="B262" t="s">
        <v>64</v>
      </c>
      <c r="C262" s="3" t="s">
        <v>64</v>
      </c>
      <c r="D262" s="16" t="s">
        <v>64</v>
      </c>
      <c r="E262" s="16">
        <v>0</v>
      </c>
      <c r="F262" s="16" t="s">
        <v>64</v>
      </c>
      <c r="G262" s="16" t="s">
        <v>64</v>
      </c>
    </row>
    <row r="263" spans="1:7" x14ac:dyDescent="0.2">
      <c r="A263" t="s">
        <v>64</v>
      </c>
      <c r="B263" t="s">
        <v>64</v>
      </c>
      <c r="C263" s="3" t="s">
        <v>64</v>
      </c>
      <c r="D263" s="16" t="s">
        <v>64</v>
      </c>
      <c r="E263" s="16">
        <v>0</v>
      </c>
      <c r="F263" s="16" t="s">
        <v>64</v>
      </c>
      <c r="G263" s="16" t="s">
        <v>64</v>
      </c>
    </row>
    <row r="264" spans="1:7" x14ac:dyDescent="0.2">
      <c r="A264" t="s">
        <v>64</v>
      </c>
      <c r="B264" t="s">
        <v>64</v>
      </c>
      <c r="C264" s="3" t="s">
        <v>64</v>
      </c>
      <c r="D264" s="16" t="s">
        <v>64</v>
      </c>
      <c r="E264" s="16">
        <v>0</v>
      </c>
      <c r="F264" s="16" t="s">
        <v>64</v>
      </c>
      <c r="G264" s="16" t="s">
        <v>64</v>
      </c>
    </row>
    <row r="265" spans="1:7" x14ac:dyDescent="0.2">
      <c r="A265" t="s">
        <v>64</v>
      </c>
      <c r="B265" t="s">
        <v>64</v>
      </c>
      <c r="C265" s="3" t="s">
        <v>64</v>
      </c>
      <c r="D265" s="16" t="s">
        <v>64</v>
      </c>
      <c r="E265" s="16">
        <v>0</v>
      </c>
      <c r="F265" s="16" t="s">
        <v>64</v>
      </c>
      <c r="G265" s="16" t="s">
        <v>64</v>
      </c>
    </row>
    <row r="266" spans="1:7" x14ac:dyDescent="0.2">
      <c r="A266" t="s">
        <v>64</v>
      </c>
      <c r="B266" t="s">
        <v>64</v>
      </c>
      <c r="C266" s="3" t="s">
        <v>64</v>
      </c>
      <c r="D266" s="16" t="s">
        <v>64</v>
      </c>
      <c r="E266" s="16">
        <v>0</v>
      </c>
      <c r="F266" s="16" t="s">
        <v>64</v>
      </c>
      <c r="G266" s="16" t="s">
        <v>64</v>
      </c>
    </row>
    <row r="267" spans="1:7" x14ac:dyDescent="0.2">
      <c r="A267" t="s">
        <v>64</v>
      </c>
      <c r="B267" t="s">
        <v>64</v>
      </c>
      <c r="C267" s="3" t="s">
        <v>64</v>
      </c>
      <c r="D267" s="16" t="s">
        <v>64</v>
      </c>
      <c r="E267" s="16">
        <v>0</v>
      </c>
      <c r="F267" s="16" t="s">
        <v>64</v>
      </c>
      <c r="G267" s="16" t="s">
        <v>64</v>
      </c>
    </row>
    <row r="268" spans="1:7" x14ac:dyDescent="0.2">
      <c r="A268" t="s">
        <v>64</v>
      </c>
      <c r="B268" t="s">
        <v>64</v>
      </c>
      <c r="C268" s="3" t="s">
        <v>64</v>
      </c>
      <c r="D268" s="16" t="s">
        <v>64</v>
      </c>
      <c r="E268" s="16">
        <v>0</v>
      </c>
      <c r="F268" s="16" t="s">
        <v>64</v>
      </c>
      <c r="G268" s="16" t="s">
        <v>64</v>
      </c>
    </row>
    <row r="269" spans="1:7" x14ac:dyDescent="0.2">
      <c r="A269" t="s">
        <v>64</v>
      </c>
      <c r="B269" t="s">
        <v>64</v>
      </c>
      <c r="C269" s="3" t="s">
        <v>64</v>
      </c>
      <c r="D269" s="16" t="s">
        <v>64</v>
      </c>
      <c r="E269" s="16">
        <v>0</v>
      </c>
      <c r="F269" s="16" t="s">
        <v>64</v>
      </c>
      <c r="G269" s="16" t="s">
        <v>64</v>
      </c>
    </row>
    <row r="270" spans="1:7" x14ac:dyDescent="0.2">
      <c r="A270" t="s">
        <v>64</v>
      </c>
      <c r="B270" t="s">
        <v>64</v>
      </c>
      <c r="C270" s="3" t="s">
        <v>64</v>
      </c>
      <c r="D270" s="16" t="s">
        <v>64</v>
      </c>
      <c r="E270" s="16">
        <v>0</v>
      </c>
      <c r="F270" s="16" t="s">
        <v>64</v>
      </c>
      <c r="G270" s="16" t="s">
        <v>64</v>
      </c>
    </row>
    <row r="271" spans="1:7" x14ac:dyDescent="0.2">
      <c r="A271" t="s">
        <v>64</v>
      </c>
      <c r="B271" t="s">
        <v>64</v>
      </c>
      <c r="C271" s="3" t="s">
        <v>64</v>
      </c>
      <c r="D271" s="16" t="s">
        <v>64</v>
      </c>
      <c r="E271" s="16">
        <v>0</v>
      </c>
      <c r="F271" s="16" t="s">
        <v>64</v>
      </c>
      <c r="G271" s="16" t="s">
        <v>64</v>
      </c>
    </row>
    <row r="272" spans="1:7" x14ac:dyDescent="0.2">
      <c r="A272" t="s">
        <v>64</v>
      </c>
      <c r="B272" t="s">
        <v>64</v>
      </c>
      <c r="C272" s="3" t="s">
        <v>64</v>
      </c>
      <c r="D272" s="16" t="s">
        <v>64</v>
      </c>
      <c r="E272" s="16">
        <v>0</v>
      </c>
      <c r="F272" s="16" t="s">
        <v>64</v>
      </c>
      <c r="G272" s="16" t="s">
        <v>64</v>
      </c>
    </row>
    <row r="273" spans="1:7" x14ac:dyDescent="0.2">
      <c r="A273" t="s">
        <v>64</v>
      </c>
      <c r="B273" t="s">
        <v>64</v>
      </c>
      <c r="C273" s="3" t="s">
        <v>64</v>
      </c>
      <c r="D273" s="16" t="s">
        <v>64</v>
      </c>
      <c r="E273" s="16">
        <v>0</v>
      </c>
      <c r="F273" s="16" t="s">
        <v>64</v>
      </c>
      <c r="G273" s="16" t="s">
        <v>64</v>
      </c>
    </row>
    <row r="274" spans="1:7" x14ac:dyDescent="0.2">
      <c r="A274" t="s">
        <v>64</v>
      </c>
      <c r="B274" t="s">
        <v>64</v>
      </c>
      <c r="C274" s="3" t="s">
        <v>64</v>
      </c>
      <c r="D274" s="16" t="s">
        <v>64</v>
      </c>
      <c r="E274" s="16">
        <v>0</v>
      </c>
      <c r="F274" s="16" t="s">
        <v>64</v>
      </c>
      <c r="G274" s="16" t="s">
        <v>64</v>
      </c>
    </row>
    <row r="275" spans="1:7" x14ac:dyDescent="0.2">
      <c r="A275" t="s">
        <v>64</v>
      </c>
      <c r="B275" t="s">
        <v>64</v>
      </c>
      <c r="C275" s="3" t="s">
        <v>64</v>
      </c>
      <c r="D275" s="16" t="s">
        <v>64</v>
      </c>
      <c r="E275" s="16">
        <v>0</v>
      </c>
      <c r="F275" s="16" t="s">
        <v>64</v>
      </c>
      <c r="G275" s="16" t="s">
        <v>64</v>
      </c>
    </row>
    <row r="276" spans="1:7" x14ac:dyDescent="0.2">
      <c r="A276" t="s">
        <v>64</v>
      </c>
      <c r="B276" t="s">
        <v>64</v>
      </c>
      <c r="C276" s="3" t="s">
        <v>64</v>
      </c>
      <c r="D276" s="16" t="s">
        <v>64</v>
      </c>
      <c r="E276" s="16">
        <v>0</v>
      </c>
      <c r="F276" s="16" t="s">
        <v>64</v>
      </c>
      <c r="G276" s="16" t="s">
        <v>64</v>
      </c>
    </row>
    <row r="277" spans="1:7" x14ac:dyDescent="0.2">
      <c r="A277" t="s">
        <v>64</v>
      </c>
      <c r="B277" t="s">
        <v>64</v>
      </c>
      <c r="C277" s="3" t="s">
        <v>64</v>
      </c>
      <c r="D277" s="16" t="s">
        <v>64</v>
      </c>
      <c r="E277" s="16">
        <v>0</v>
      </c>
      <c r="F277" s="16" t="s">
        <v>64</v>
      </c>
      <c r="G277" s="16" t="s">
        <v>64</v>
      </c>
    </row>
    <row r="278" spans="1:7" x14ac:dyDescent="0.2">
      <c r="A278" t="s">
        <v>64</v>
      </c>
      <c r="B278" t="s">
        <v>64</v>
      </c>
      <c r="C278" s="3" t="s">
        <v>64</v>
      </c>
      <c r="D278" s="16" t="s">
        <v>64</v>
      </c>
      <c r="E278" s="16">
        <v>0</v>
      </c>
      <c r="F278" s="16" t="s">
        <v>64</v>
      </c>
      <c r="G278" s="16" t="s">
        <v>64</v>
      </c>
    </row>
    <row r="279" spans="1:7" x14ac:dyDescent="0.2">
      <c r="A279" t="s">
        <v>64</v>
      </c>
      <c r="B279" t="s">
        <v>64</v>
      </c>
      <c r="C279" s="3" t="s">
        <v>64</v>
      </c>
      <c r="D279" s="16" t="s">
        <v>64</v>
      </c>
      <c r="E279" s="16">
        <v>0</v>
      </c>
      <c r="F279" s="16" t="s">
        <v>64</v>
      </c>
      <c r="G279" s="16" t="s">
        <v>64</v>
      </c>
    </row>
    <row r="280" spans="1:7" x14ac:dyDescent="0.2">
      <c r="A280" t="s">
        <v>64</v>
      </c>
      <c r="B280" t="s">
        <v>64</v>
      </c>
      <c r="C280" s="3" t="s">
        <v>64</v>
      </c>
      <c r="D280" s="16" t="s">
        <v>64</v>
      </c>
      <c r="E280" s="16">
        <v>0</v>
      </c>
      <c r="F280" s="16" t="s">
        <v>64</v>
      </c>
      <c r="G280" s="16" t="s">
        <v>64</v>
      </c>
    </row>
    <row r="281" spans="1:7" x14ac:dyDescent="0.2">
      <c r="A281" t="s">
        <v>64</v>
      </c>
      <c r="B281" t="s">
        <v>64</v>
      </c>
      <c r="C281" s="3" t="s">
        <v>64</v>
      </c>
      <c r="D281" s="16" t="s">
        <v>64</v>
      </c>
      <c r="E281" s="16">
        <v>0</v>
      </c>
      <c r="F281" s="16" t="s">
        <v>64</v>
      </c>
      <c r="G281" s="16" t="s">
        <v>64</v>
      </c>
    </row>
    <row r="282" spans="1:7" x14ac:dyDescent="0.2">
      <c r="A282" t="s">
        <v>64</v>
      </c>
      <c r="B282" t="s">
        <v>64</v>
      </c>
      <c r="C282" s="3" t="s">
        <v>64</v>
      </c>
      <c r="D282" s="16" t="s">
        <v>64</v>
      </c>
      <c r="E282" s="16">
        <v>0</v>
      </c>
      <c r="F282" s="16" t="s">
        <v>64</v>
      </c>
      <c r="G282" s="16" t="s">
        <v>64</v>
      </c>
    </row>
    <row r="283" spans="1:7" x14ac:dyDescent="0.2">
      <c r="A283" t="s">
        <v>64</v>
      </c>
      <c r="B283" t="s">
        <v>64</v>
      </c>
      <c r="C283" s="3" t="s">
        <v>64</v>
      </c>
      <c r="D283" s="16" t="s">
        <v>64</v>
      </c>
      <c r="E283" s="16">
        <v>0</v>
      </c>
      <c r="F283" s="16" t="s">
        <v>64</v>
      </c>
      <c r="G283" s="16" t="s">
        <v>64</v>
      </c>
    </row>
    <row r="284" spans="1:7" x14ac:dyDescent="0.2">
      <c r="A284" t="s">
        <v>64</v>
      </c>
      <c r="B284" t="s">
        <v>64</v>
      </c>
      <c r="C284" s="3" t="s">
        <v>64</v>
      </c>
      <c r="D284" s="16" t="s">
        <v>64</v>
      </c>
      <c r="E284" s="16">
        <v>0</v>
      </c>
      <c r="F284" s="16" t="s">
        <v>64</v>
      </c>
      <c r="G284" s="16" t="s">
        <v>64</v>
      </c>
    </row>
    <row r="285" spans="1:7" x14ac:dyDescent="0.2">
      <c r="A285" t="s">
        <v>64</v>
      </c>
      <c r="B285" t="s">
        <v>64</v>
      </c>
      <c r="C285" s="3" t="s">
        <v>64</v>
      </c>
      <c r="D285" s="16" t="s">
        <v>64</v>
      </c>
      <c r="E285" s="16">
        <v>0</v>
      </c>
      <c r="F285" s="16" t="s">
        <v>64</v>
      </c>
      <c r="G285" s="16" t="s">
        <v>64</v>
      </c>
    </row>
    <row r="286" spans="1:7" x14ac:dyDescent="0.2">
      <c r="A286" t="s">
        <v>64</v>
      </c>
      <c r="B286" t="s">
        <v>64</v>
      </c>
      <c r="C286" s="3" t="s">
        <v>64</v>
      </c>
      <c r="D286" s="16" t="s">
        <v>64</v>
      </c>
      <c r="E286" s="16">
        <v>0</v>
      </c>
      <c r="F286" s="16" t="s">
        <v>64</v>
      </c>
      <c r="G286" s="16" t="s">
        <v>64</v>
      </c>
    </row>
    <row r="287" spans="1:7" x14ac:dyDescent="0.2">
      <c r="A287" t="s">
        <v>64</v>
      </c>
      <c r="B287" t="s">
        <v>64</v>
      </c>
      <c r="C287" s="3" t="s">
        <v>64</v>
      </c>
      <c r="D287" s="16" t="s">
        <v>64</v>
      </c>
      <c r="E287" s="16">
        <v>0</v>
      </c>
      <c r="F287" s="16" t="s">
        <v>64</v>
      </c>
      <c r="G287" s="16" t="s">
        <v>64</v>
      </c>
    </row>
    <row r="288" spans="1:7" x14ac:dyDescent="0.2">
      <c r="A288" t="s">
        <v>64</v>
      </c>
      <c r="B288" t="s">
        <v>64</v>
      </c>
      <c r="C288" s="3" t="s">
        <v>64</v>
      </c>
      <c r="D288" s="16" t="s">
        <v>64</v>
      </c>
      <c r="E288" s="16">
        <v>0</v>
      </c>
      <c r="F288" s="16" t="s">
        <v>64</v>
      </c>
      <c r="G288" s="16" t="s">
        <v>64</v>
      </c>
    </row>
    <row r="289" spans="1:7" x14ac:dyDescent="0.2">
      <c r="A289" t="s">
        <v>64</v>
      </c>
      <c r="B289" t="s">
        <v>64</v>
      </c>
      <c r="C289" s="3" t="s">
        <v>64</v>
      </c>
      <c r="D289" s="16" t="s">
        <v>64</v>
      </c>
      <c r="E289" s="16">
        <v>0</v>
      </c>
      <c r="F289" s="16" t="s">
        <v>64</v>
      </c>
      <c r="G289" s="16" t="s">
        <v>64</v>
      </c>
    </row>
    <row r="290" spans="1:7" x14ac:dyDescent="0.2">
      <c r="A290" t="s">
        <v>64</v>
      </c>
      <c r="B290" t="s">
        <v>64</v>
      </c>
      <c r="C290" s="3" t="s">
        <v>64</v>
      </c>
      <c r="D290" s="16" t="s">
        <v>64</v>
      </c>
      <c r="E290" s="16">
        <v>0</v>
      </c>
      <c r="F290" s="16" t="s">
        <v>64</v>
      </c>
      <c r="G290" s="16" t="s">
        <v>64</v>
      </c>
    </row>
    <row r="291" spans="1:7" x14ac:dyDescent="0.2">
      <c r="A291" t="s">
        <v>64</v>
      </c>
      <c r="B291" t="s">
        <v>64</v>
      </c>
      <c r="C291" s="3" t="s">
        <v>64</v>
      </c>
      <c r="D291" s="16" t="s">
        <v>64</v>
      </c>
      <c r="E291" s="16">
        <v>0</v>
      </c>
      <c r="F291" s="16" t="s">
        <v>64</v>
      </c>
      <c r="G291" s="16" t="s">
        <v>64</v>
      </c>
    </row>
    <row r="292" spans="1:7" x14ac:dyDescent="0.2">
      <c r="A292" t="s">
        <v>64</v>
      </c>
      <c r="B292" t="s">
        <v>64</v>
      </c>
      <c r="C292" s="3" t="s">
        <v>64</v>
      </c>
      <c r="D292" s="16" t="s">
        <v>64</v>
      </c>
      <c r="E292" s="16">
        <v>0</v>
      </c>
      <c r="F292" s="16" t="s">
        <v>64</v>
      </c>
      <c r="G292" s="16" t="s">
        <v>64</v>
      </c>
    </row>
    <row r="293" spans="1:7" x14ac:dyDescent="0.2">
      <c r="A293" t="s">
        <v>64</v>
      </c>
      <c r="B293" t="s">
        <v>64</v>
      </c>
      <c r="C293" s="3" t="s">
        <v>64</v>
      </c>
      <c r="D293" s="16" t="s">
        <v>64</v>
      </c>
      <c r="E293" s="16">
        <v>0</v>
      </c>
      <c r="F293" s="16" t="s">
        <v>64</v>
      </c>
      <c r="G293" s="16" t="s">
        <v>64</v>
      </c>
    </row>
    <row r="294" spans="1:7" x14ac:dyDescent="0.2">
      <c r="A294" t="s">
        <v>64</v>
      </c>
      <c r="B294" t="s">
        <v>64</v>
      </c>
      <c r="C294" s="3" t="s">
        <v>64</v>
      </c>
      <c r="D294" s="16" t="s">
        <v>64</v>
      </c>
      <c r="E294" s="16">
        <v>0</v>
      </c>
      <c r="F294" s="16" t="s">
        <v>64</v>
      </c>
      <c r="G294" s="16" t="s">
        <v>64</v>
      </c>
    </row>
    <row r="295" spans="1:7" x14ac:dyDescent="0.2">
      <c r="A295" t="s">
        <v>64</v>
      </c>
      <c r="B295" t="s">
        <v>64</v>
      </c>
      <c r="C295" s="3" t="s">
        <v>64</v>
      </c>
      <c r="D295" s="16" t="s">
        <v>64</v>
      </c>
      <c r="E295" s="16">
        <v>0</v>
      </c>
      <c r="F295" s="16" t="s">
        <v>64</v>
      </c>
      <c r="G295" s="16" t="s">
        <v>64</v>
      </c>
    </row>
    <row r="296" spans="1:7" x14ac:dyDescent="0.2">
      <c r="A296" t="s">
        <v>64</v>
      </c>
      <c r="B296" t="s">
        <v>64</v>
      </c>
      <c r="C296" s="3" t="s">
        <v>64</v>
      </c>
      <c r="D296" s="16" t="s">
        <v>64</v>
      </c>
      <c r="E296" s="16">
        <v>0</v>
      </c>
      <c r="F296" s="16" t="s">
        <v>64</v>
      </c>
      <c r="G296" s="16" t="s">
        <v>64</v>
      </c>
    </row>
    <row r="297" spans="1:7" x14ac:dyDescent="0.2">
      <c r="A297" t="s">
        <v>64</v>
      </c>
      <c r="B297" t="s">
        <v>64</v>
      </c>
      <c r="C297" s="3" t="s">
        <v>64</v>
      </c>
      <c r="D297" s="16" t="s">
        <v>64</v>
      </c>
      <c r="E297" s="16">
        <v>0</v>
      </c>
      <c r="F297" s="16" t="s">
        <v>64</v>
      </c>
      <c r="G297" s="16" t="s">
        <v>64</v>
      </c>
    </row>
    <row r="298" spans="1:7" x14ac:dyDescent="0.2">
      <c r="A298" t="s">
        <v>64</v>
      </c>
      <c r="B298" t="s">
        <v>64</v>
      </c>
      <c r="C298" s="3" t="s">
        <v>64</v>
      </c>
      <c r="D298" s="16" t="s">
        <v>64</v>
      </c>
      <c r="E298" s="16">
        <v>0</v>
      </c>
      <c r="F298" s="16" t="s">
        <v>64</v>
      </c>
      <c r="G298" s="16" t="s">
        <v>64</v>
      </c>
    </row>
    <row r="299" spans="1:7" x14ac:dyDescent="0.2">
      <c r="A299" t="s">
        <v>64</v>
      </c>
      <c r="B299" t="s">
        <v>64</v>
      </c>
      <c r="C299" s="3" t="s">
        <v>64</v>
      </c>
      <c r="D299" s="16" t="s">
        <v>64</v>
      </c>
      <c r="E299" s="16">
        <v>0</v>
      </c>
      <c r="F299" s="16" t="s">
        <v>64</v>
      </c>
      <c r="G299" s="16" t="s">
        <v>64</v>
      </c>
    </row>
    <row r="300" spans="1:7" x14ac:dyDescent="0.2">
      <c r="A300" t="s">
        <v>64</v>
      </c>
      <c r="B300" t="s">
        <v>64</v>
      </c>
      <c r="C300" s="3" t="s">
        <v>64</v>
      </c>
      <c r="D300" s="16" t="s">
        <v>64</v>
      </c>
      <c r="E300" s="16">
        <v>0</v>
      </c>
      <c r="F300" s="16" t="s">
        <v>64</v>
      </c>
      <c r="G300" s="16" t="s">
        <v>64</v>
      </c>
    </row>
    <row r="301" spans="1:7" x14ac:dyDescent="0.2">
      <c r="A301" t="s">
        <v>64</v>
      </c>
      <c r="B301" t="s">
        <v>64</v>
      </c>
      <c r="C301" s="3" t="s">
        <v>64</v>
      </c>
      <c r="D301" s="16" t="s">
        <v>64</v>
      </c>
      <c r="E301" s="16">
        <v>0</v>
      </c>
      <c r="F301" s="16" t="s">
        <v>64</v>
      </c>
      <c r="G301" s="16" t="s">
        <v>64</v>
      </c>
    </row>
    <row r="302" spans="1:7" x14ac:dyDescent="0.2">
      <c r="A302" t="s">
        <v>64</v>
      </c>
      <c r="B302" t="s">
        <v>64</v>
      </c>
      <c r="C302" s="3" t="s">
        <v>64</v>
      </c>
      <c r="D302" s="16" t="s">
        <v>64</v>
      </c>
      <c r="E302" s="16">
        <v>0</v>
      </c>
      <c r="F302" s="16" t="s">
        <v>64</v>
      </c>
      <c r="G302" s="16" t="s">
        <v>64</v>
      </c>
    </row>
    <row r="303" spans="1:7" x14ac:dyDescent="0.2">
      <c r="A303" t="s">
        <v>64</v>
      </c>
      <c r="B303" t="s">
        <v>64</v>
      </c>
      <c r="C303" s="3" t="s">
        <v>64</v>
      </c>
      <c r="D303" s="16" t="s">
        <v>64</v>
      </c>
      <c r="E303" s="16">
        <v>0</v>
      </c>
      <c r="F303" s="16" t="s">
        <v>64</v>
      </c>
      <c r="G303" s="16" t="s">
        <v>64</v>
      </c>
    </row>
    <row r="304" spans="1:7" x14ac:dyDescent="0.2">
      <c r="A304" t="s">
        <v>64</v>
      </c>
      <c r="B304" t="s">
        <v>64</v>
      </c>
      <c r="C304" s="3" t="s">
        <v>64</v>
      </c>
      <c r="D304" s="16" t="s">
        <v>64</v>
      </c>
      <c r="E304" s="16">
        <v>0</v>
      </c>
      <c r="F304" s="16" t="s">
        <v>64</v>
      </c>
      <c r="G304" s="16" t="s">
        <v>64</v>
      </c>
    </row>
    <row r="305" spans="1:7" x14ac:dyDescent="0.2">
      <c r="A305" t="s">
        <v>64</v>
      </c>
      <c r="B305" t="s">
        <v>64</v>
      </c>
      <c r="C305" s="3" t="s">
        <v>64</v>
      </c>
      <c r="D305" s="16" t="s">
        <v>64</v>
      </c>
      <c r="E305" s="16">
        <v>0</v>
      </c>
      <c r="F305" s="16" t="s">
        <v>64</v>
      </c>
      <c r="G305" s="16" t="s">
        <v>64</v>
      </c>
    </row>
    <row r="306" spans="1:7" x14ac:dyDescent="0.2">
      <c r="A306" t="s">
        <v>64</v>
      </c>
      <c r="B306" t="s">
        <v>64</v>
      </c>
      <c r="C306" s="3" t="s">
        <v>64</v>
      </c>
      <c r="D306" s="16" t="s">
        <v>64</v>
      </c>
      <c r="E306" s="16">
        <v>0</v>
      </c>
      <c r="F306" s="16" t="s">
        <v>64</v>
      </c>
      <c r="G306" s="16" t="s">
        <v>64</v>
      </c>
    </row>
    <row r="307" spans="1:7" x14ac:dyDescent="0.2">
      <c r="A307" t="s">
        <v>64</v>
      </c>
      <c r="B307" t="s">
        <v>64</v>
      </c>
      <c r="C307" s="3" t="s">
        <v>64</v>
      </c>
      <c r="D307" s="16" t="s">
        <v>64</v>
      </c>
      <c r="E307" s="16">
        <v>0</v>
      </c>
      <c r="F307" s="16" t="s">
        <v>64</v>
      </c>
      <c r="G307" s="16" t="s">
        <v>64</v>
      </c>
    </row>
    <row r="308" spans="1:7" x14ac:dyDescent="0.2">
      <c r="A308" t="s">
        <v>64</v>
      </c>
      <c r="B308" t="s">
        <v>64</v>
      </c>
      <c r="C308" s="3" t="s">
        <v>64</v>
      </c>
      <c r="D308" s="16" t="s">
        <v>64</v>
      </c>
      <c r="E308" s="16">
        <v>0</v>
      </c>
      <c r="F308" s="16" t="s">
        <v>64</v>
      </c>
      <c r="G308" s="16" t="s">
        <v>64</v>
      </c>
    </row>
    <row r="309" spans="1:7" x14ac:dyDescent="0.2">
      <c r="A309" t="s">
        <v>64</v>
      </c>
      <c r="B309" t="s">
        <v>64</v>
      </c>
      <c r="C309" s="3" t="s">
        <v>64</v>
      </c>
      <c r="D309" s="16" t="s">
        <v>64</v>
      </c>
      <c r="E309" s="16">
        <v>0</v>
      </c>
      <c r="F309" s="16" t="s">
        <v>64</v>
      </c>
      <c r="G309" s="16" t="s">
        <v>64</v>
      </c>
    </row>
    <row r="310" spans="1:7" x14ac:dyDescent="0.2">
      <c r="A310" t="s">
        <v>64</v>
      </c>
      <c r="B310" t="s">
        <v>64</v>
      </c>
      <c r="C310" s="3" t="s">
        <v>64</v>
      </c>
      <c r="D310" s="16" t="s">
        <v>64</v>
      </c>
      <c r="E310" s="16">
        <v>0</v>
      </c>
      <c r="F310" s="16" t="s">
        <v>64</v>
      </c>
      <c r="G310" s="16" t="s">
        <v>64</v>
      </c>
    </row>
    <row r="311" spans="1:7" x14ac:dyDescent="0.2">
      <c r="A311" t="s">
        <v>64</v>
      </c>
      <c r="B311" t="s">
        <v>64</v>
      </c>
      <c r="C311" s="3" t="s">
        <v>64</v>
      </c>
      <c r="D311" s="16" t="s">
        <v>64</v>
      </c>
      <c r="E311" s="16">
        <v>0</v>
      </c>
      <c r="F311" s="16" t="s">
        <v>64</v>
      </c>
      <c r="G311" s="16" t="s">
        <v>64</v>
      </c>
    </row>
    <row r="312" spans="1:7" x14ac:dyDescent="0.2">
      <c r="A312" t="s">
        <v>64</v>
      </c>
      <c r="B312" t="s">
        <v>64</v>
      </c>
      <c r="C312" s="3" t="s">
        <v>64</v>
      </c>
      <c r="D312" s="16" t="s">
        <v>64</v>
      </c>
      <c r="E312" s="16">
        <v>0</v>
      </c>
      <c r="F312" s="16" t="s">
        <v>64</v>
      </c>
      <c r="G312" s="16" t="s">
        <v>64</v>
      </c>
    </row>
    <row r="313" spans="1:7" x14ac:dyDescent="0.2">
      <c r="A313" t="s">
        <v>64</v>
      </c>
      <c r="B313" t="s">
        <v>64</v>
      </c>
      <c r="C313" s="3" t="s">
        <v>64</v>
      </c>
      <c r="D313" s="16" t="s">
        <v>64</v>
      </c>
      <c r="E313" s="16">
        <v>0</v>
      </c>
      <c r="F313" s="16" t="s">
        <v>64</v>
      </c>
      <c r="G313" s="16" t="s">
        <v>64</v>
      </c>
    </row>
    <row r="314" spans="1:7" x14ac:dyDescent="0.2">
      <c r="A314" t="s">
        <v>64</v>
      </c>
      <c r="B314" t="s">
        <v>64</v>
      </c>
      <c r="C314" s="3" t="s">
        <v>64</v>
      </c>
      <c r="D314" s="16" t="s">
        <v>64</v>
      </c>
      <c r="E314" s="16">
        <v>0</v>
      </c>
      <c r="F314" s="16" t="s">
        <v>64</v>
      </c>
      <c r="G314" s="16" t="s">
        <v>64</v>
      </c>
    </row>
    <row r="315" spans="1:7" x14ac:dyDescent="0.2">
      <c r="A315" t="s">
        <v>64</v>
      </c>
      <c r="B315" t="s">
        <v>64</v>
      </c>
      <c r="C315" s="3" t="s">
        <v>64</v>
      </c>
      <c r="D315" s="16" t="s">
        <v>64</v>
      </c>
      <c r="E315" s="16">
        <v>0</v>
      </c>
      <c r="F315" s="16" t="s">
        <v>64</v>
      </c>
      <c r="G315" s="16" t="s">
        <v>64</v>
      </c>
    </row>
    <row r="316" spans="1:7" x14ac:dyDescent="0.2">
      <c r="A316" t="s">
        <v>64</v>
      </c>
      <c r="B316" t="s">
        <v>64</v>
      </c>
      <c r="C316" s="3" t="s">
        <v>64</v>
      </c>
      <c r="D316" s="16" t="s">
        <v>64</v>
      </c>
      <c r="E316" s="16">
        <v>0</v>
      </c>
      <c r="F316" s="16" t="s">
        <v>64</v>
      </c>
      <c r="G316" s="16" t="s">
        <v>64</v>
      </c>
    </row>
    <row r="317" spans="1:7" x14ac:dyDescent="0.2">
      <c r="A317" t="s">
        <v>64</v>
      </c>
      <c r="B317" t="s">
        <v>64</v>
      </c>
      <c r="C317" s="3" t="s">
        <v>64</v>
      </c>
      <c r="D317" s="16" t="s">
        <v>64</v>
      </c>
      <c r="E317" s="16">
        <v>0</v>
      </c>
      <c r="F317" s="16" t="s">
        <v>64</v>
      </c>
      <c r="G317" s="16" t="s">
        <v>64</v>
      </c>
    </row>
    <row r="318" spans="1:7" x14ac:dyDescent="0.2">
      <c r="A318" t="s">
        <v>64</v>
      </c>
      <c r="B318" t="s">
        <v>64</v>
      </c>
      <c r="C318" s="3" t="s">
        <v>64</v>
      </c>
      <c r="D318" s="16" t="s">
        <v>64</v>
      </c>
      <c r="E318" s="16">
        <v>0</v>
      </c>
      <c r="F318" s="16" t="s">
        <v>64</v>
      </c>
      <c r="G318" s="16" t="s">
        <v>64</v>
      </c>
    </row>
    <row r="319" spans="1:7" x14ac:dyDescent="0.2">
      <c r="A319" t="s">
        <v>64</v>
      </c>
      <c r="B319" t="s">
        <v>64</v>
      </c>
      <c r="C319" s="3" t="s">
        <v>64</v>
      </c>
      <c r="D319" s="16" t="s">
        <v>64</v>
      </c>
      <c r="E319" s="16">
        <v>0</v>
      </c>
      <c r="F319" s="16" t="s">
        <v>64</v>
      </c>
      <c r="G319" s="16" t="s">
        <v>64</v>
      </c>
    </row>
    <row r="320" spans="1:7" x14ac:dyDescent="0.2">
      <c r="A320" t="s">
        <v>64</v>
      </c>
      <c r="B320" t="s">
        <v>64</v>
      </c>
      <c r="C320" s="3" t="s">
        <v>64</v>
      </c>
      <c r="D320" s="16" t="s">
        <v>64</v>
      </c>
      <c r="E320" s="16">
        <v>0</v>
      </c>
      <c r="F320" s="16" t="s">
        <v>64</v>
      </c>
      <c r="G320" s="16" t="s">
        <v>64</v>
      </c>
    </row>
    <row r="321" spans="1:7" x14ac:dyDescent="0.2">
      <c r="A321" t="s">
        <v>64</v>
      </c>
      <c r="B321" t="s">
        <v>64</v>
      </c>
      <c r="C321" s="3" t="s">
        <v>64</v>
      </c>
      <c r="D321" s="16" t="s">
        <v>64</v>
      </c>
      <c r="E321" s="16">
        <v>0</v>
      </c>
      <c r="F321" s="16" t="s">
        <v>64</v>
      </c>
      <c r="G321" s="16" t="s">
        <v>64</v>
      </c>
    </row>
    <row r="322" spans="1:7" x14ac:dyDescent="0.2">
      <c r="A322" t="s">
        <v>64</v>
      </c>
      <c r="B322" t="s">
        <v>64</v>
      </c>
      <c r="C322" s="3" t="s">
        <v>64</v>
      </c>
      <c r="D322" s="16" t="s">
        <v>64</v>
      </c>
      <c r="E322" s="16">
        <v>0</v>
      </c>
      <c r="F322" s="16" t="s">
        <v>64</v>
      </c>
      <c r="G322" s="16" t="s">
        <v>64</v>
      </c>
    </row>
    <row r="323" spans="1:7" x14ac:dyDescent="0.2">
      <c r="A323" t="s">
        <v>64</v>
      </c>
      <c r="B323" t="s">
        <v>64</v>
      </c>
      <c r="C323" s="3" t="s">
        <v>64</v>
      </c>
      <c r="D323" s="16" t="s">
        <v>64</v>
      </c>
      <c r="E323" s="16">
        <v>0</v>
      </c>
      <c r="F323" s="16" t="s">
        <v>64</v>
      </c>
      <c r="G323" s="16" t="s">
        <v>64</v>
      </c>
    </row>
    <row r="324" spans="1:7" x14ac:dyDescent="0.2">
      <c r="A324" t="s">
        <v>64</v>
      </c>
      <c r="B324" t="s">
        <v>64</v>
      </c>
      <c r="C324" s="3" t="s">
        <v>64</v>
      </c>
      <c r="D324" s="16" t="s">
        <v>64</v>
      </c>
      <c r="E324" s="16">
        <v>0</v>
      </c>
      <c r="F324" s="16" t="s">
        <v>64</v>
      </c>
      <c r="G324" s="16" t="s">
        <v>64</v>
      </c>
    </row>
    <row r="325" spans="1:7" x14ac:dyDescent="0.2">
      <c r="A325" t="s">
        <v>64</v>
      </c>
      <c r="B325" t="s">
        <v>64</v>
      </c>
      <c r="C325" s="3" t="s">
        <v>64</v>
      </c>
      <c r="D325" s="16" t="s">
        <v>64</v>
      </c>
      <c r="E325" s="16">
        <v>0</v>
      </c>
      <c r="F325" s="16" t="s">
        <v>64</v>
      </c>
      <c r="G325" s="16" t="s">
        <v>64</v>
      </c>
    </row>
    <row r="326" spans="1:7" x14ac:dyDescent="0.2">
      <c r="A326" t="s">
        <v>64</v>
      </c>
      <c r="B326" t="s">
        <v>64</v>
      </c>
      <c r="C326" s="3" t="s">
        <v>64</v>
      </c>
      <c r="D326" s="16" t="s">
        <v>64</v>
      </c>
      <c r="E326" s="16">
        <v>0</v>
      </c>
      <c r="F326" s="16" t="s">
        <v>64</v>
      </c>
      <c r="G326" s="16" t="s">
        <v>64</v>
      </c>
    </row>
    <row r="327" spans="1:7" x14ac:dyDescent="0.2">
      <c r="A327" t="s">
        <v>64</v>
      </c>
      <c r="B327" t="s">
        <v>64</v>
      </c>
      <c r="C327" s="3" t="s">
        <v>64</v>
      </c>
      <c r="D327" s="16" t="s">
        <v>64</v>
      </c>
      <c r="E327" s="16">
        <v>0</v>
      </c>
      <c r="F327" s="16" t="s">
        <v>64</v>
      </c>
      <c r="G327" s="16" t="s">
        <v>64</v>
      </c>
    </row>
    <row r="328" spans="1:7" x14ac:dyDescent="0.2">
      <c r="A328" t="s">
        <v>64</v>
      </c>
      <c r="B328" t="s">
        <v>64</v>
      </c>
      <c r="C328" s="3" t="s">
        <v>64</v>
      </c>
      <c r="D328" s="16" t="s">
        <v>64</v>
      </c>
      <c r="E328" s="16">
        <v>0</v>
      </c>
      <c r="F328" s="16" t="s">
        <v>64</v>
      </c>
      <c r="G328" s="16" t="s">
        <v>64</v>
      </c>
    </row>
    <row r="329" spans="1:7" x14ac:dyDescent="0.2">
      <c r="A329" t="s">
        <v>64</v>
      </c>
      <c r="B329" t="s">
        <v>64</v>
      </c>
      <c r="C329" s="3" t="s">
        <v>64</v>
      </c>
      <c r="D329" s="16" t="s">
        <v>64</v>
      </c>
      <c r="E329" s="16">
        <v>0</v>
      </c>
      <c r="F329" s="16" t="s">
        <v>64</v>
      </c>
      <c r="G329" s="16" t="s">
        <v>64</v>
      </c>
    </row>
    <row r="330" spans="1:7" x14ac:dyDescent="0.2">
      <c r="A330" t="s">
        <v>64</v>
      </c>
      <c r="B330" t="s">
        <v>64</v>
      </c>
      <c r="C330" s="3" t="s">
        <v>64</v>
      </c>
      <c r="D330" s="16" t="s">
        <v>64</v>
      </c>
      <c r="E330" s="16">
        <v>0</v>
      </c>
      <c r="F330" s="16" t="s">
        <v>64</v>
      </c>
      <c r="G330" s="16" t="s">
        <v>64</v>
      </c>
    </row>
    <row r="331" spans="1:7" x14ac:dyDescent="0.2">
      <c r="A331" t="s">
        <v>64</v>
      </c>
      <c r="B331" t="s">
        <v>64</v>
      </c>
      <c r="C331" s="3" t="s">
        <v>64</v>
      </c>
      <c r="D331" s="16" t="s">
        <v>64</v>
      </c>
      <c r="E331" s="16">
        <v>0</v>
      </c>
      <c r="F331" s="16" t="s">
        <v>64</v>
      </c>
      <c r="G331" s="16" t="s">
        <v>64</v>
      </c>
    </row>
    <row r="332" spans="1:7" x14ac:dyDescent="0.2">
      <c r="A332" t="s">
        <v>64</v>
      </c>
      <c r="B332" t="s">
        <v>64</v>
      </c>
      <c r="C332" s="3" t="s">
        <v>64</v>
      </c>
      <c r="D332" s="16" t="s">
        <v>64</v>
      </c>
      <c r="E332" s="16">
        <v>0</v>
      </c>
      <c r="F332" s="16" t="s">
        <v>64</v>
      </c>
      <c r="G332" s="16" t="s">
        <v>64</v>
      </c>
    </row>
    <row r="333" spans="1:7" x14ac:dyDescent="0.2">
      <c r="A333" t="s">
        <v>64</v>
      </c>
      <c r="B333" t="s">
        <v>64</v>
      </c>
      <c r="C333" s="3" t="s">
        <v>64</v>
      </c>
      <c r="D333" s="16" t="s">
        <v>64</v>
      </c>
      <c r="E333" s="16">
        <v>0</v>
      </c>
      <c r="F333" s="16" t="s">
        <v>64</v>
      </c>
      <c r="G333" s="16" t="s">
        <v>64</v>
      </c>
    </row>
    <row r="334" spans="1:7" x14ac:dyDescent="0.2">
      <c r="A334" t="s">
        <v>64</v>
      </c>
      <c r="B334" t="s">
        <v>64</v>
      </c>
      <c r="C334" s="3" t="s">
        <v>64</v>
      </c>
      <c r="D334" s="16" t="s">
        <v>64</v>
      </c>
      <c r="E334" s="16">
        <v>0</v>
      </c>
      <c r="F334" s="16" t="s">
        <v>64</v>
      </c>
      <c r="G334" s="16" t="s">
        <v>64</v>
      </c>
    </row>
    <row r="335" spans="1:7" x14ac:dyDescent="0.2">
      <c r="A335" t="s">
        <v>64</v>
      </c>
      <c r="B335" t="s">
        <v>64</v>
      </c>
      <c r="C335" s="3" t="s">
        <v>64</v>
      </c>
      <c r="D335" s="16" t="s">
        <v>64</v>
      </c>
      <c r="E335" s="16">
        <v>0</v>
      </c>
      <c r="F335" s="16" t="s">
        <v>64</v>
      </c>
      <c r="G335" s="16" t="s">
        <v>64</v>
      </c>
    </row>
    <row r="336" spans="1:7" x14ac:dyDescent="0.2">
      <c r="A336" t="s">
        <v>64</v>
      </c>
      <c r="B336" t="s">
        <v>64</v>
      </c>
      <c r="C336" s="3" t="s">
        <v>64</v>
      </c>
      <c r="D336" s="16" t="s">
        <v>64</v>
      </c>
      <c r="E336" s="16">
        <v>0</v>
      </c>
      <c r="F336" s="16" t="s">
        <v>64</v>
      </c>
      <c r="G336" s="16" t="s">
        <v>64</v>
      </c>
    </row>
    <row r="337" spans="1:7" x14ac:dyDescent="0.2">
      <c r="A337" t="s">
        <v>64</v>
      </c>
      <c r="B337" t="s">
        <v>64</v>
      </c>
      <c r="C337" s="3" t="s">
        <v>64</v>
      </c>
      <c r="D337" s="16" t="s">
        <v>64</v>
      </c>
      <c r="E337" s="16">
        <v>0</v>
      </c>
      <c r="F337" s="16" t="s">
        <v>64</v>
      </c>
      <c r="G337" s="16" t="s">
        <v>64</v>
      </c>
    </row>
    <row r="338" spans="1:7" x14ac:dyDescent="0.2">
      <c r="A338" t="s">
        <v>64</v>
      </c>
      <c r="B338" t="s">
        <v>64</v>
      </c>
      <c r="C338" s="3" t="s">
        <v>64</v>
      </c>
      <c r="D338" s="16" t="s">
        <v>64</v>
      </c>
      <c r="E338" s="16">
        <v>0</v>
      </c>
      <c r="F338" s="16" t="s">
        <v>64</v>
      </c>
      <c r="G338" s="16" t="s">
        <v>64</v>
      </c>
    </row>
    <row r="339" spans="1:7" x14ac:dyDescent="0.2">
      <c r="A339" t="s">
        <v>64</v>
      </c>
      <c r="B339" t="s">
        <v>64</v>
      </c>
      <c r="C339" s="3" t="s">
        <v>64</v>
      </c>
      <c r="D339" s="16" t="s">
        <v>64</v>
      </c>
      <c r="E339" s="16">
        <v>0</v>
      </c>
      <c r="F339" s="16" t="s">
        <v>64</v>
      </c>
      <c r="G339" s="16" t="s">
        <v>64</v>
      </c>
    </row>
    <row r="340" spans="1:7" x14ac:dyDescent="0.2">
      <c r="A340" t="s">
        <v>64</v>
      </c>
      <c r="B340" t="s">
        <v>64</v>
      </c>
      <c r="C340" s="3" t="s">
        <v>64</v>
      </c>
      <c r="D340" s="16" t="s">
        <v>64</v>
      </c>
      <c r="E340" s="16">
        <v>0</v>
      </c>
      <c r="F340" s="16" t="s">
        <v>64</v>
      </c>
      <c r="G340" s="16" t="s">
        <v>64</v>
      </c>
    </row>
    <row r="341" spans="1:7" x14ac:dyDescent="0.2">
      <c r="A341" t="s">
        <v>64</v>
      </c>
      <c r="B341" t="s">
        <v>64</v>
      </c>
      <c r="C341" s="3" t="s">
        <v>64</v>
      </c>
      <c r="D341" s="16" t="s">
        <v>64</v>
      </c>
      <c r="E341" s="16">
        <v>0</v>
      </c>
      <c r="F341" s="16" t="s">
        <v>64</v>
      </c>
      <c r="G341" s="16" t="s">
        <v>64</v>
      </c>
    </row>
    <row r="342" spans="1:7" x14ac:dyDescent="0.2">
      <c r="A342" t="s">
        <v>64</v>
      </c>
      <c r="B342" t="s">
        <v>64</v>
      </c>
      <c r="C342" s="3" t="s">
        <v>64</v>
      </c>
      <c r="D342" s="16" t="s">
        <v>64</v>
      </c>
      <c r="E342" s="16">
        <v>0</v>
      </c>
      <c r="F342" s="16" t="s">
        <v>64</v>
      </c>
      <c r="G342" s="16" t="s">
        <v>64</v>
      </c>
    </row>
    <row r="343" spans="1:7" x14ac:dyDescent="0.2">
      <c r="A343" t="s">
        <v>64</v>
      </c>
      <c r="B343" t="s">
        <v>64</v>
      </c>
      <c r="C343" s="3" t="s">
        <v>64</v>
      </c>
      <c r="D343" s="16" t="s">
        <v>64</v>
      </c>
      <c r="E343" s="16">
        <v>0</v>
      </c>
      <c r="F343" s="16" t="s">
        <v>64</v>
      </c>
      <c r="G343" s="16" t="s">
        <v>64</v>
      </c>
    </row>
    <row r="344" spans="1:7" x14ac:dyDescent="0.2">
      <c r="A344" t="s">
        <v>64</v>
      </c>
      <c r="B344" t="s">
        <v>64</v>
      </c>
      <c r="C344" s="3" t="s">
        <v>64</v>
      </c>
      <c r="D344" s="16" t="s">
        <v>64</v>
      </c>
      <c r="E344" s="16">
        <v>0</v>
      </c>
      <c r="F344" s="16" t="s">
        <v>64</v>
      </c>
      <c r="G344" s="16" t="s">
        <v>64</v>
      </c>
    </row>
    <row r="345" spans="1:7" x14ac:dyDescent="0.2">
      <c r="A345" t="s">
        <v>64</v>
      </c>
      <c r="B345" t="s">
        <v>64</v>
      </c>
      <c r="C345" s="3" t="s">
        <v>64</v>
      </c>
      <c r="D345" s="16" t="s">
        <v>64</v>
      </c>
      <c r="E345" s="16">
        <v>0</v>
      </c>
      <c r="F345" s="16" t="s">
        <v>64</v>
      </c>
      <c r="G345" s="16" t="s">
        <v>64</v>
      </c>
    </row>
    <row r="346" spans="1:7" x14ac:dyDescent="0.2">
      <c r="A346" t="s">
        <v>64</v>
      </c>
      <c r="B346" t="s">
        <v>64</v>
      </c>
      <c r="C346" s="3" t="s">
        <v>64</v>
      </c>
      <c r="D346" s="16" t="s">
        <v>64</v>
      </c>
      <c r="E346" s="16">
        <v>0</v>
      </c>
      <c r="F346" s="16" t="s">
        <v>64</v>
      </c>
      <c r="G346" s="16" t="s">
        <v>64</v>
      </c>
    </row>
    <row r="347" spans="1:7" x14ac:dyDescent="0.2">
      <c r="A347" t="s">
        <v>64</v>
      </c>
      <c r="B347" t="s">
        <v>64</v>
      </c>
      <c r="C347" s="3" t="s">
        <v>64</v>
      </c>
      <c r="D347" s="16" t="s">
        <v>64</v>
      </c>
      <c r="E347" s="16">
        <v>0</v>
      </c>
      <c r="F347" s="16" t="s">
        <v>64</v>
      </c>
      <c r="G347" s="16" t="s">
        <v>64</v>
      </c>
    </row>
    <row r="348" spans="1:7" x14ac:dyDescent="0.2">
      <c r="A348" t="s">
        <v>64</v>
      </c>
      <c r="B348" t="s">
        <v>64</v>
      </c>
      <c r="C348" s="3" t="s">
        <v>64</v>
      </c>
      <c r="D348" s="16" t="s">
        <v>64</v>
      </c>
      <c r="E348" s="16">
        <v>0</v>
      </c>
      <c r="F348" s="16" t="s">
        <v>64</v>
      </c>
      <c r="G348" s="16" t="s">
        <v>64</v>
      </c>
    </row>
    <row r="349" spans="1:7" x14ac:dyDescent="0.2">
      <c r="A349" t="s">
        <v>64</v>
      </c>
      <c r="B349" t="s">
        <v>64</v>
      </c>
      <c r="C349" s="3" t="s">
        <v>64</v>
      </c>
      <c r="D349" s="16" t="s">
        <v>64</v>
      </c>
      <c r="E349" s="16">
        <v>0</v>
      </c>
      <c r="F349" s="16" t="s">
        <v>64</v>
      </c>
      <c r="G349" s="16" t="s">
        <v>64</v>
      </c>
    </row>
    <row r="350" spans="1:7" x14ac:dyDescent="0.2">
      <c r="A350" t="s">
        <v>64</v>
      </c>
      <c r="B350" t="s">
        <v>64</v>
      </c>
      <c r="C350" s="3" t="s">
        <v>64</v>
      </c>
      <c r="D350" s="16" t="s">
        <v>64</v>
      </c>
      <c r="E350" s="16">
        <v>0</v>
      </c>
      <c r="F350" s="16" t="s">
        <v>64</v>
      </c>
      <c r="G350" s="16" t="s">
        <v>64</v>
      </c>
    </row>
    <row r="351" spans="1:7" x14ac:dyDescent="0.2">
      <c r="A351" t="s">
        <v>64</v>
      </c>
      <c r="B351" t="s">
        <v>64</v>
      </c>
      <c r="C351" s="3" t="s">
        <v>64</v>
      </c>
      <c r="D351" s="16" t="s">
        <v>64</v>
      </c>
      <c r="E351" s="16">
        <v>0</v>
      </c>
      <c r="F351" s="16" t="s">
        <v>64</v>
      </c>
      <c r="G351" s="16" t="s">
        <v>64</v>
      </c>
    </row>
    <row r="352" spans="1:7" x14ac:dyDescent="0.2">
      <c r="A352" t="s">
        <v>64</v>
      </c>
      <c r="B352" t="s">
        <v>64</v>
      </c>
      <c r="C352" s="3" t="s">
        <v>64</v>
      </c>
      <c r="D352" s="16" t="s">
        <v>64</v>
      </c>
      <c r="E352" s="16">
        <v>0</v>
      </c>
      <c r="F352" s="16" t="s">
        <v>64</v>
      </c>
      <c r="G352" s="16" t="s">
        <v>64</v>
      </c>
    </row>
    <row r="353" spans="1:7" x14ac:dyDescent="0.2">
      <c r="A353" t="s">
        <v>64</v>
      </c>
      <c r="B353" t="s">
        <v>64</v>
      </c>
      <c r="C353" s="3" t="s">
        <v>64</v>
      </c>
      <c r="D353" s="16" t="s">
        <v>64</v>
      </c>
      <c r="E353" s="16">
        <v>0</v>
      </c>
      <c r="F353" s="16" t="s">
        <v>64</v>
      </c>
      <c r="G353" s="16" t="s">
        <v>64</v>
      </c>
    </row>
    <row r="354" spans="1:7" x14ac:dyDescent="0.2">
      <c r="A354" t="s">
        <v>64</v>
      </c>
      <c r="B354" t="s">
        <v>64</v>
      </c>
      <c r="C354" s="3" t="s">
        <v>64</v>
      </c>
      <c r="D354" s="16" t="s">
        <v>64</v>
      </c>
      <c r="E354" s="16">
        <v>0</v>
      </c>
      <c r="F354" s="16" t="s">
        <v>64</v>
      </c>
      <c r="G354" s="16" t="s">
        <v>64</v>
      </c>
    </row>
    <row r="355" spans="1:7" x14ac:dyDescent="0.2">
      <c r="A355" t="s">
        <v>64</v>
      </c>
      <c r="B355" t="s">
        <v>64</v>
      </c>
      <c r="C355" s="3" t="s">
        <v>64</v>
      </c>
      <c r="D355" s="16" t="s">
        <v>64</v>
      </c>
      <c r="E355" s="16">
        <v>0</v>
      </c>
      <c r="F355" s="16" t="s">
        <v>64</v>
      </c>
      <c r="G355" s="16" t="s">
        <v>64</v>
      </c>
    </row>
    <row r="356" spans="1:7" x14ac:dyDescent="0.2">
      <c r="A356" t="s">
        <v>64</v>
      </c>
      <c r="B356" t="s">
        <v>64</v>
      </c>
      <c r="C356" s="3" t="s">
        <v>64</v>
      </c>
      <c r="D356" s="16" t="s">
        <v>64</v>
      </c>
      <c r="E356" s="16">
        <v>0</v>
      </c>
      <c r="F356" s="16" t="s">
        <v>64</v>
      </c>
      <c r="G356" s="16" t="s">
        <v>64</v>
      </c>
    </row>
    <row r="357" spans="1:7" x14ac:dyDescent="0.2">
      <c r="A357" t="s">
        <v>64</v>
      </c>
      <c r="B357" t="s">
        <v>64</v>
      </c>
      <c r="C357" s="3" t="s">
        <v>64</v>
      </c>
      <c r="D357" s="16" t="s">
        <v>64</v>
      </c>
      <c r="E357" s="16">
        <v>0</v>
      </c>
      <c r="F357" s="16" t="s">
        <v>64</v>
      </c>
      <c r="G357" s="16" t="s">
        <v>64</v>
      </c>
    </row>
    <row r="358" spans="1:7" x14ac:dyDescent="0.2">
      <c r="A358" t="s">
        <v>64</v>
      </c>
      <c r="B358" t="s">
        <v>64</v>
      </c>
      <c r="C358" s="3" t="s">
        <v>64</v>
      </c>
      <c r="D358" s="16" t="s">
        <v>64</v>
      </c>
      <c r="E358" s="16">
        <v>0</v>
      </c>
      <c r="F358" s="16" t="s">
        <v>64</v>
      </c>
      <c r="G358" s="16" t="s">
        <v>64</v>
      </c>
    </row>
    <row r="359" spans="1:7" x14ac:dyDescent="0.2">
      <c r="A359" t="s">
        <v>64</v>
      </c>
      <c r="B359" t="s">
        <v>64</v>
      </c>
      <c r="C359" s="3" t="s">
        <v>64</v>
      </c>
      <c r="D359" s="16" t="s">
        <v>64</v>
      </c>
      <c r="E359" s="16">
        <v>0</v>
      </c>
      <c r="F359" s="16" t="s">
        <v>64</v>
      </c>
      <c r="G359" s="16" t="s">
        <v>64</v>
      </c>
    </row>
    <row r="360" spans="1:7" x14ac:dyDescent="0.2">
      <c r="A360" t="s">
        <v>64</v>
      </c>
      <c r="B360" t="s">
        <v>64</v>
      </c>
      <c r="C360" s="3" t="s">
        <v>64</v>
      </c>
      <c r="D360" s="16" t="s">
        <v>64</v>
      </c>
      <c r="E360" s="16">
        <v>0</v>
      </c>
      <c r="F360" s="16" t="s">
        <v>64</v>
      </c>
      <c r="G360" s="16" t="s">
        <v>64</v>
      </c>
    </row>
    <row r="361" spans="1:7" x14ac:dyDescent="0.2">
      <c r="A361" t="s">
        <v>64</v>
      </c>
      <c r="B361" t="s">
        <v>64</v>
      </c>
      <c r="C361" s="3" t="s">
        <v>64</v>
      </c>
      <c r="D361" s="16" t="s">
        <v>64</v>
      </c>
      <c r="E361" s="16">
        <v>0</v>
      </c>
      <c r="F361" s="16" t="s">
        <v>64</v>
      </c>
      <c r="G361" s="16" t="s">
        <v>64</v>
      </c>
    </row>
    <row r="362" spans="1:7" x14ac:dyDescent="0.2">
      <c r="A362" t="s">
        <v>64</v>
      </c>
      <c r="B362" t="s">
        <v>64</v>
      </c>
      <c r="C362" s="3" t="s">
        <v>64</v>
      </c>
      <c r="D362" s="16" t="s">
        <v>64</v>
      </c>
      <c r="E362" s="16">
        <v>0</v>
      </c>
      <c r="F362" s="16" t="s">
        <v>64</v>
      </c>
      <c r="G362" s="16" t="s">
        <v>64</v>
      </c>
    </row>
    <row r="363" spans="1:7" x14ac:dyDescent="0.2">
      <c r="A363" t="s">
        <v>64</v>
      </c>
      <c r="B363" t="s">
        <v>64</v>
      </c>
      <c r="C363" s="3" t="s">
        <v>64</v>
      </c>
      <c r="D363" s="16" t="s">
        <v>64</v>
      </c>
      <c r="E363" s="16">
        <v>0</v>
      </c>
      <c r="F363" s="16" t="s">
        <v>64</v>
      </c>
      <c r="G363" s="16" t="s">
        <v>64</v>
      </c>
    </row>
    <row r="364" spans="1:7" x14ac:dyDescent="0.2">
      <c r="A364" t="s">
        <v>64</v>
      </c>
      <c r="B364" t="s">
        <v>64</v>
      </c>
      <c r="C364" s="3" t="s">
        <v>64</v>
      </c>
      <c r="D364" s="16" t="s">
        <v>64</v>
      </c>
      <c r="E364" s="16">
        <v>0</v>
      </c>
      <c r="F364" s="16" t="s">
        <v>64</v>
      </c>
      <c r="G364" s="16" t="s">
        <v>64</v>
      </c>
    </row>
    <row r="365" spans="1:7" x14ac:dyDescent="0.2">
      <c r="A365" t="s">
        <v>64</v>
      </c>
      <c r="B365" t="s">
        <v>64</v>
      </c>
      <c r="C365" s="3" t="s">
        <v>64</v>
      </c>
      <c r="D365" s="16" t="s">
        <v>64</v>
      </c>
      <c r="E365" s="16">
        <v>0</v>
      </c>
      <c r="F365" s="16" t="s">
        <v>64</v>
      </c>
      <c r="G365" s="16" t="s">
        <v>64</v>
      </c>
    </row>
    <row r="366" spans="1:7" x14ac:dyDescent="0.2">
      <c r="A366" t="s">
        <v>64</v>
      </c>
      <c r="B366" t="s">
        <v>64</v>
      </c>
      <c r="C366" s="3" t="s">
        <v>64</v>
      </c>
      <c r="D366" s="16" t="s">
        <v>64</v>
      </c>
      <c r="E366" s="16">
        <v>0</v>
      </c>
      <c r="F366" s="16" t="s">
        <v>64</v>
      </c>
      <c r="G366" s="16" t="s">
        <v>64</v>
      </c>
    </row>
    <row r="367" spans="1:7" x14ac:dyDescent="0.2">
      <c r="A367" t="s">
        <v>64</v>
      </c>
      <c r="B367" t="s">
        <v>64</v>
      </c>
      <c r="C367" s="3" t="s">
        <v>64</v>
      </c>
      <c r="D367" s="16" t="s">
        <v>64</v>
      </c>
      <c r="E367" s="16">
        <v>0</v>
      </c>
      <c r="F367" s="16" t="s">
        <v>64</v>
      </c>
      <c r="G367" s="16" t="s">
        <v>64</v>
      </c>
    </row>
    <row r="368" spans="1:7" x14ac:dyDescent="0.2">
      <c r="A368" t="s">
        <v>64</v>
      </c>
      <c r="B368" t="s">
        <v>64</v>
      </c>
      <c r="C368" s="3" t="s">
        <v>64</v>
      </c>
      <c r="D368" s="16" t="s">
        <v>64</v>
      </c>
      <c r="E368" s="16">
        <v>0</v>
      </c>
      <c r="F368" s="16" t="s">
        <v>64</v>
      </c>
      <c r="G368" s="16" t="s">
        <v>64</v>
      </c>
    </row>
    <row r="369" spans="1:7" x14ac:dyDescent="0.2">
      <c r="A369" t="s">
        <v>64</v>
      </c>
      <c r="B369" t="s">
        <v>64</v>
      </c>
      <c r="C369" s="3" t="s">
        <v>64</v>
      </c>
      <c r="D369" s="16" t="s">
        <v>64</v>
      </c>
      <c r="E369" s="16">
        <v>0</v>
      </c>
      <c r="F369" s="16" t="s">
        <v>64</v>
      </c>
      <c r="G369" s="16" t="s">
        <v>64</v>
      </c>
    </row>
    <row r="370" spans="1:7" x14ac:dyDescent="0.2">
      <c r="A370" t="s">
        <v>64</v>
      </c>
      <c r="B370" t="s">
        <v>64</v>
      </c>
      <c r="C370" s="3" t="s">
        <v>64</v>
      </c>
      <c r="D370" s="16" t="s">
        <v>64</v>
      </c>
      <c r="E370" s="16">
        <v>0</v>
      </c>
      <c r="F370" s="16" t="s">
        <v>64</v>
      </c>
      <c r="G370" s="16" t="s">
        <v>64</v>
      </c>
    </row>
    <row r="371" spans="1:7" x14ac:dyDescent="0.2">
      <c r="A371" t="s">
        <v>64</v>
      </c>
      <c r="B371" t="s">
        <v>64</v>
      </c>
      <c r="C371" s="3" t="s">
        <v>64</v>
      </c>
      <c r="D371" s="16" t="s">
        <v>64</v>
      </c>
      <c r="E371" s="16">
        <v>0</v>
      </c>
      <c r="F371" s="16" t="s">
        <v>64</v>
      </c>
      <c r="G371" s="16" t="s">
        <v>64</v>
      </c>
    </row>
    <row r="372" spans="1:7" x14ac:dyDescent="0.2">
      <c r="A372" t="s">
        <v>64</v>
      </c>
      <c r="B372" t="s">
        <v>64</v>
      </c>
      <c r="C372" s="3" t="s">
        <v>64</v>
      </c>
      <c r="D372" s="16" t="s">
        <v>64</v>
      </c>
      <c r="E372" s="16">
        <v>0</v>
      </c>
      <c r="F372" s="16" t="s">
        <v>64</v>
      </c>
      <c r="G372" s="16" t="s">
        <v>64</v>
      </c>
    </row>
    <row r="373" spans="1:7" x14ac:dyDescent="0.2">
      <c r="A373" t="s">
        <v>64</v>
      </c>
      <c r="B373" t="s">
        <v>64</v>
      </c>
      <c r="C373" s="3" t="s">
        <v>64</v>
      </c>
      <c r="D373" s="16" t="s">
        <v>64</v>
      </c>
      <c r="E373" s="16">
        <v>0</v>
      </c>
      <c r="F373" s="16" t="s">
        <v>64</v>
      </c>
      <c r="G373" s="16" t="s">
        <v>64</v>
      </c>
    </row>
    <row r="374" spans="1:7" x14ac:dyDescent="0.2">
      <c r="A374" t="s">
        <v>64</v>
      </c>
      <c r="B374" t="s">
        <v>64</v>
      </c>
      <c r="C374" s="3" t="s">
        <v>64</v>
      </c>
      <c r="D374" s="16" t="s">
        <v>64</v>
      </c>
      <c r="E374" s="16">
        <v>0</v>
      </c>
      <c r="F374" s="16" t="s">
        <v>64</v>
      </c>
      <c r="G374" s="16" t="s">
        <v>64</v>
      </c>
    </row>
    <row r="375" spans="1:7" x14ac:dyDescent="0.2">
      <c r="A375" t="s">
        <v>64</v>
      </c>
      <c r="B375" t="s">
        <v>64</v>
      </c>
      <c r="C375" s="3" t="s">
        <v>64</v>
      </c>
      <c r="D375" s="16" t="s">
        <v>64</v>
      </c>
      <c r="E375" s="16">
        <v>0</v>
      </c>
      <c r="F375" s="16" t="s">
        <v>64</v>
      </c>
      <c r="G375" s="16" t="s">
        <v>64</v>
      </c>
    </row>
    <row r="376" spans="1:7" x14ac:dyDescent="0.2">
      <c r="A376" t="s">
        <v>64</v>
      </c>
      <c r="B376" t="s">
        <v>64</v>
      </c>
      <c r="C376" s="3" t="s">
        <v>64</v>
      </c>
      <c r="D376" s="16" t="s">
        <v>64</v>
      </c>
      <c r="E376" s="16">
        <v>0</v>
      </c>
      <c r="F376" s="16" t="s">
        <v>64</v>
      </c>
      <c r="G376" s="16" t="s">
        <v>64</v>
      </c>
    </row>
    <row r="377" spans="1:7" x14ac:dyDescent="0.2">
      <c r="A377" t="s">
        <v>64</v>
      </c>
      <c r="B377" t="s">
        <v>64</v>
      </c>
      <c r="C377" s="3" t="s">
        <v>64</v>
      </c>
      <c r="D377" s="16" t="s">
        <v>64</v>
      </c>
      <c r="E377" s="16">
        <v>0</v>
      </c>
      <c r="F377" s="16" t="s">
        <v>64</v>
      </c>
      <c r="G377" s="16" t="s">
        <v>64</v>
      </c>
    </row>
    <row r="378" spans="1:7" x14ac:dyDescent="0.2">
      <c r="A378" t="s">
        <v>64</v>
      </c>
      <c r="B378" t="s">
        <v>64</v>
      </c>
      <c r="C378" s="3" t="s">
        <v>64</v>
      </c>
      <c r="D378" s="16" t="s">
        <v>64</v>
      </c>
      <c r="E378" s="16">
        <v>0</v>
      </c>
      <c r="F378" s="16" t="s">
        <v>64</v>
      </c>
      <c r="G378" s="16" t="s">
        <v>64</v>
      </c>
    </row>
    <row r="379" spans="1:7" x14ac:dyDescent="0.2">
      <c r="A379" t="s">
        <v>64</v>
      </c>
      <c r="B379" t="s">
        <v>64</v>
      </c>
      <c r="C379" s="3" t="s">
        <v>64</v>
      </c>
      <c r="D379" s="16" t="s">
        <v>64</v>
      </c>
      <c r="E379" s="16">
        <v>0</v>
      </c>
      <c r="F379" s="16" t="s">
        <v>64</v>
      </c>
      <c r="G379" s="16" t="s">
        <v>64</v>
      </c>
    </row>
    <row r="380" spans="1:7" x14ac:dyDescent="0.2">
      <c r="A380" t="s">
        <v>64</v>
      </c>
      <c r="B380" t="s">
        <v>64</v>
      </c>
      <c r="C380" s="3" t="s">
        <v>64</v>
      </c>
      <c r="D380" s="16" t="s">
        <v>64</v>
      </c>
      <c r="E380" s="16">
        <v>0</v>
      </c>
      <c r="F380" s="16" t="s">
        <v>64</v>
      </c>
      <c r="G380" s="16" t="s">
        <v>64</v>
      </c>
    </row>
    <row r="381" spans="1:7" x14ac:dyDescent="0.2">
      <c r="A381" t="s">
        <v>64</v>
      </c>
      <c r="B381" t="s">
        <v>64</v>
      </c>
      <c r="C381" s="3" t="s">
        <v>64</v>
      </c>
      <c r="D381" s="16" t="s">
        <v>64</v>
      </c>
      <c r="E381" s="16">
        <v>0</v>
      </c>
      <c r="F381" s="16" t="s">
        <v>64</v>
      </c>
      <c r="G381" s="16" t="s">
        <v>64</v>
      </c>
    </row>
    <row r="382" spans="1:7" x14ac:dyDescent="0.2">
      <c r="A382" t="s">
        <v>64</v>
      </c>
      <c r="B382" t="s">
        <v>64</v>
      </c>
      <c r="C382" s="3" t="s">
        <v>64</v>
      </c>
      <c r="D382" s="16" t="s">
        <v>64</v>
      </c>
      <c r="E382" s="16">
        <v>0</v>
      </c>
      <c r="F382" s="16" t="s">
        <v>64</v>
      </c>
      <c r="G382" s="16" t="s">
        <v>64</v>
      </c>
    </row>
    <row r="383" spans="1:7" x14ac:dyDescent="0.2">
      <c r="A383" t="s">
        <v>64</v>
      </c>
      <c r="B383" t="s">
        <v>64</v>
      </c>
      <c r="C383" s="3" t="s">
        <v>64</v>
      </c>
      <c r="D383" s="16" t="s">
        <v>64</v>
      </c>
      <c r="E383" s="16">
        <v>0</v>
      </c>
      <c r="F383" s="16" t="s">
        <v>64</v>
      </c>
      <c r="G383" s="16" t="s">
        <v>64</v>
      </c>
    </row>
    <row r="384" spans="1:7" x14ac:dyDescent="0.2">
      <c r="A384" t="s">
        <v>64</v>
      </c>
      <c r="B384" t="s">
        <v>64</v>
      </c>
      <c r="C384" s="3" t="s">
        <v>64</v>
      </c>
      <c r="D384" s="16" t="s">
        <v>64</v>
      </c>
      <c r="E384" s="16">
        <v>0</v>
      </c>
      <c r="F384" s="16" t="s">
        <v>64</v>
      </c>
      <c r="G384" s="16" t="s">
        <v>64</v>
      </c>
    </row>
    <row r="385" spans="1:7" x14ac:dyDescent="0.2">
      <c r="A385" t="s">
        <v>64</v>
      </c>
      <c r="B385" t="s">
        <v>64</v>
      </c>
      <c r="C385" s="3" t="s">
        <v>64</v>
      </c>
      <c r="D385" s="16" t="s">
        <v>64</v>
      </c>
      <c r="E385" s="16">
        <v>0</v>
      </c>
      <c r="F385" s="16" t="s">
        <v>64</v>
      </c>
      <c r="G385" s="16" t="s">
        <v>64</v>
      </c>
    </row>
    <row r="386" spans="1:7" x14ac:dyDescent="0.2">
      <c r="A386" t="s">
        <v>64</v>
      </c>
      <c r="B386" t="s">
        <v>64</v>
      </c>
      <c r="C386" s="3" t="s">
        <v>64</v>
      </c>
      <c r="D386" s="16" t="s">
        <v>64</v>
      </c>
      <c r="E386" s="16">
        <v>0</v>
      </c>
      <c r="F386" s="16" t="s">
        <v>64</v>
      </c>
      <c r="G386" s="16" t="s">
        <v>64</v>
      </c>
    </row>
    <row r="387" spans="1:7" x14ac:dyDescent="0.2">
      <c r="A387" t="s">
        <v>64</v>
      </c>
      <c r="B387" t="s">
        <v>64</v>
      </c>
      <c r="C387" s="3" t="s">
        <v>64</v>
      </c>
      <c r="D387" s="16" t="s">
        <v>64</v>
      </c>
      <c r="E387" s="16">
        <v>0</v>
      </c>
      <c r="F387" s="16" t="s">
        <v>64</v>
      </c>
      <c r="G387" s="16" t="s">
        <v>64</v>
      </c>
    </row>
    <row r="388" spans="1:7" x14ac:dyDescent="0.2">
      <c r="A388" t="s">
        <v>64</v>
      </c>
      <c r="B388" t="s">
        <v>64</v>
      </c>
      <c r="C388" s="3" t="s">
        <v>64</v>
      </c>
      <c r="D388" s="16" t="s">
        <v>64</v>
      </c>
      <c r="E388" s="16">
        <v>0</v>
      </c>
      <c r="F388" s="16" t="s">
        <v>64</v>
      </c>
      <c r="G388" s="16" t="s">
        <v>64</v>
      </c>
    </row>
    <row r="389" spans="1:7" x14ac:dyDescent="0.2">
      <c r="A389" t="s">
        <v>64</v>
      </c>
      <c r="B389" t="s">
        <v>64</v>
      </c>
      <c r="C389" s="3" t="s">
        <v>64</v>
      </c>
      <c r="D389" s="16" t="s">
        <v>64</v>
      </c>
      <c r="E389" s="16">
        <v>0</v>
      </c>
      <c r="F389" s="16" t="s">
        <v>64</v>
      </c>
      <c r="G389" s="16" t="s">
        <v>64</v>
      </c>
    </row>
    <row r="390" spans="1:7" x14ac:dyDescent="0.2">
      <c r="A390" t="s">
        <v>64</v>
      </c>
      <c r="B390" t="s">
        <v>64</v>
      </c>
      <c r="C390" s="3" t="s">
        <v>64</v>
      </c>
      <c r="D390" s="16" t="s">
        <v>64</v>
      </c>
      <c r="E390" s="16">
        <v>0</v>
      </c>
      <c r="F390" s="16" t="s">
        <v>64</v>
      </c>
      <c r="G390" s="16" t="s">
        <v>64</v>
      </c>
    </row>
    <row r="391" spans="1:7" x14ac:dyDescent="0.2">
      <c r="A391" t="s">
        <v>64</v>
      </c>
      <c r="B391" t="s">
        <v>64</v>
      </c>
      <c r="C391" s="3" t="s">
        <v>64</v>
      </c>
      <c r="D391" s="16" t="s">
        <v>64</v>
      </c>
      <c r="E391" s="16">
        <v>0</v>
      </c>
      <c r="F391" s="16" t="s">
        <v>64</v>
      </c>
      <c r="G391" s="16" t="s">
        <v>64</v>
      </c>
    </row>
    <row r="392" spans="1:7" x14ac:dyDescent="0.2">
      <c r="A392" t="s">
        <v>64</v>
      </c>
      <c r="B392" t="s">
        <v>64</v>
      </c>
      <c r="C392" s="3" t="s">
        <v>64</v>
      </c>
      <c r="D392" s="16" t="s">
        <v>64</v>
      </c>
      <c r="E392" s="16">
        <v>0</v>
      </c>
      <c r="F392" s="16" t="s">
        <v>64</v>
      </c>
      <c r="G392" s="16" t="s">
        <v>64</v>
      </c>
    </row>
    <row r="393" spans="1:7" x14ac:dyDescent="0.2">
      <c r="A393" t="s">
        <v>64</v>
      </c>
      <c r="B393" t="s">
        <v>64</v>
      </c>
      <c r="C393" s="3" t="s">
        <v>64</v>
      </c>
      <c r="D393" s="16" t="s">
        <v>64</v>
      </c>
      <c r="E393" s="16">
        <v>0</v>
      </c>
      <c r="F393" s="16" t="s">
        <v>64</v>
      </c>
      <c r="G393" s="16" t="s">
        <v>64</v>
      </c>
    </row>
    <row r="394" spans="1:7" x14ac:dyDescent="0.2">
      <c r="A394" t="s">
        <v>64</v>
      </c>
      <c r="B394" t="s">
        <v>64</v>
      </c>
      <c r="C394" s="3" t="s">
        <v>64</v>
      </c>
      <c r="D394" s="16" t="s">
        <v>64</v>
      </c>
      <c r="E394" s="16">
        <v>0</v>
      </c>
      <c r="F394" s="16" t="s">
        <v>64</v>
      </c>
      <c r="G394" s="16" t="s">
        <v>64</v>
      </c>
    </row>
    <row r="395" spans="1:7" x14ac:dyDescent="0.2">
      <c r="A395" t="s">
        <v>64</v>
      </c>
      <c r="B395" t="s">
        <v>64</v>
      </c>
      <c r="C395" s="3" t="s">
        <v>64</v>
      </c>
      <c r="D395" s="16" t="s">
        <v>64</v>
      </c>
      <c r="E395" s="16">
        <v>0</v>
      </c>
      <c r="F395" s="16" t="s">
        <v>64</v>
      </c>
      <c r="G395" s="16" t="s">
        <v>64</v>
      </c>
    </row>
    <row r="396" spans="1:7" x14ac:dyDescent="0.2">
      <c r="A396" t="s">
        <v>64</v>
      </c>
      <c r="B396" t="s">
        <v>64</v>
      </c>
      <c r="C396" s="3" t="s">
        <v>64</v>
      </c>
      <c r="D396" s="16" t="s">
        <v>64</v>
      </c>
      <c r="E396" s="16">
        <v>0</v>
      </c>
      <c r="F396" s="16" t="s">
        <v>64</v>
      </c>
      <c r="G396" s="16" t="s">
        <v>64</v>
      </c>
    </row>
    <row r="397" spans="1:7" x14ac:dyDescent="0.2">
      <c r="A397" t="s">
        <v>64</v>
      </c>
      <c r="B397" t="s">
        <v>64</v>
      </c>
      <c r="C397" s="3" t="s">
        <v>64</v>
      </c>
      <c r="D397" s="16" t="s">
        <v>64</v>
      </c>
      <c r="E397" s="16">
        <v>0</v>
      </c>
      <c r="F397" s="16" t="s">
        <v>64</v>
      </c>
      <c r="G397" s="16" t="s">
        <v>64</v>
      </c>
    </row>
    <row r="398" spans="1:7" x14ac:dyDescent="0.2">
      <c r="A398" t="s">
        <v>64</v>
      </c>
      <c r="B398" t="s">
        <v>64</v>
      </c>
      <c r="C398" s="3" t="s">
        <v>64</v>
      </c>
      <c r="D398" s="16" t="s">
        <v>64</v>
      </c>
      <c r="E398" s="16">
        <v>0</v>
      </c>
      <c r="F398" s="16" t="s">
        <v>64</v>
      </c>
      <c r="G398" s="16" t="s">
        <v>64</v>
      </c>
    </row>
    <row r="399" spans="1:7" x14ac:dyDescent="0.2">
      <c r="A399" t="s">
        <v>64</v>
      </c>
      <c r="B399" t="s">
        <v>64</v>
      </c>
      <c r="C399" s="3" t="s">
        <v>64</v>
      </c>
      <c r="D399" s="16" t="s">
        <v>64</v>
      </c>
      <c r="E399" s="16">
        <v>0</v>
      </c>
      <c r="F399" s="16" t="s">
        <v>64</v>
      </c>
      <c r="G399" s="16" t="s">
        <v>64</v>
      </c>
    </row>
    <row r="400" spans="1:7" x14ac:dyDescent="0.2">
      <c r="A400" t="s">
        <v>64</v>
      </c>
      <c r="B400" t="s">
        <v>64</v>
      </c>
      <c r="C400" s="3" t="s">
        <v>64</v>
      </c>
      <c r="D400" s="16" t="s">
        <v>64</v>
      </c>
      <c r="E400" s="16">
        <v>0</v>
      </c>
      <c r="F400" s="16" t="s">
        <v>64</v>
      </c>
      <c r="G400" s="16" t="s">
        <v>64</v>
      </c>
    </row>
    <row r="401" spans="1:7" x14ac:dyDescent="0.2">
      <c r="A401" t="s">
        <v>64</v>
      </c>
      <c r="B401" t="s">
        <v>64</v>
      </c>
      <c r="C401" s="3" t="s">
        <v>64</v>
      </c>
      <c r="D401" s="16" t="s">
        <v>64</v>
      </c>
      <c r="E401" s="16">
        <v>0</v>
      </c>
      <c r="F401" s="16" t="s">
        <v>64</v>
      </c>
      <c r="G401" s="16" t="s">
        <v>64</v>
      </c>
    </row>
    <row r="402" spans="1:7" x14ac:dyDescent="0.2">
      <c r="A402" t="s">
        <v>64</v>
      </c>
      <c r="B402" t="s">
        <v>64</v>
      </c>
      <c r="C402" s="3" t="s">
        <v>64</v>
      </c>
      <c r="D402" s="16" t="s">
        <v>64</v>
      </c>
      <c r="E402" s="16">
        <v>0</v>
      </c>
      <c r="F402" s="16" t="s">
        <v>64</v>
      </c>
      <c r="G402" s="16" t="s">
        <v>64</v>
      </c>
    </row>
    <row r="403" spans="1:7" x14ac:dyDescent="0.2">
      <c r="A403" t="s">
        <v>64</v>
      </c>
      <c r="B403" t="s">
        <v>64</v>
      </c>
      <c r="C403" s="3" t="s">
        <v>64</v>
      </c>
      <c r="D403" s="16" t="s">
        <v>64</v>
      </c>
      <c r="E403" s="16">
        <v>0</v>
      </c>
      <c r="F403" s="16" t="s">
        <v>64</v>
      </c>
      <c r="G403" s="16" t="s">
        <v>64</v>
      </c>
    </row>
    <row r="404" spans="1:7" x14ac:dyDescent="0.2">
      <c r="A404" t="s">
        <v>64</v>
      </c>
      <c r="B404" t="s">
        <v>64</v>
      </c>
      <c r="C404" s="3" t="s">
        <v>64</v>
      </c>
      <c r="D404" s="16" t="s">
        <v>64</v>
      </c>
      <c r="E404" s="16">
        <v>0</v>
      </c>
      <c r="F404" s="16" t="s">
        <v>64</v>
      </c>
      <c r="G404" s="16" t="s">
        <v>64</v>
      </c>
    </row>
    <row r="405" spans="1:7" x14ac:dyDescent="0.2">
      <c r="A405" t="s">
        <v>64</v>
      </c>
      <c r="B405" t="s">
        <v>64</v>
      </c>
      <c r="C405" s="3" t="s">
        <v>64</v>
      </c>
      <c r="D405" s="16" t="s">
        <v>64</v>
      </c>
      <c r="E405" s="16">
        <v>0</v>
      </c>
      <c r="F405" s="16" t="s">
        <v>64</v>
      </c>
      <c r="G405" s="16" t="s">
        <v>64</v>
      </c>
    </row>
    <row r="406" spans="1:7" x14ac:dyDescent="0.2">
      <c r="A406" t="s">
        <v>64</v>
      </c>
      <c r="B406" t="s">
        <v>64</v>
      </c>
      <c r="C406" s="3" t="s">
        <v>64</v>
      </c>
      <c r="D406" s="16" t="s">
        <v>64</v>
      </c>
      <c r="E406" s="16">
        <v>0</v>
      </c>
      <c r="F406" s="16" t="s">
        <v>64</v>
      </c>
      <c r="G406" s="16" t="s">
        <v>64</v>
      </c>
    </row>
    <row r="407" spans="1:7" x14ac:dyDescent="0.2">
      <c r="A407" t="s">
        <v>64</v>
      </c>
      <c r="B407" t="s">
        <v>64</v>
      </c>
      <c r="C407" s="3" t="s">
        <v>64</v>
      </c>
      <c r="D407" s="16" t="s">
        <v>64</v>
      </c>
      <c r="E407" s="16">
        <v>0</v>
      </c>
      <c r="F407" s="16" t="s">
        <v>64</v>
      </c>
      <c r="G407" s="16" t="s">
        <v>64</v>
      </c>
    </row>
    <row r="408" spans="1:7" x14ac:dyDescent="0.2">
      <c r="A408" t="s">
        <v>64</v>
      </c>
      <c r="B408" t="s">
        <v>64</v>
      </c>
      <c r="C408" s="3" t="s">
        <v>64</v>
      </c>
      <c r="D408" s="16" t="s">
        <v>64</v>
      </c>
      <c r="E408" s="16">
        <v>0</v>
      </c>
      <c r="F408" s="16" t="s">
        <v>64</v>
      </c>
      <c r="G408" s="16" t="s">
        <v>64</v>
      </c>
    </row>
    <row r="409" spans="1:7" x14ac:dyDescent="0.2">
      <c r="A409" t="s">
        <v>64</v>
      </c>
      <c r="B409" t="s">
        <v>64</v>
      </c>
      <c r="C409" s="3" t="s">
        <v>64</v>
      </c>
      <c r="D409" s="16" t="s">
        <v>64</v>
      </c>
      <c r="E409" s="16">
        <v>0</v>
      </c>
      <c r="F409" s="16" t="s">
        <v>64</v>
      </c>
      <c r="G409" s="16" t="s">
        <v>64</v>
      </c>
    </row>
    <row r="410" spans="1:7" x14ac:dyDescent="0.2">
      <c r="A410" t="s">
        <v>64</v>
      </c>
      <c r="B410" t="s">
        <v>64</v>
      </c>
      <c r="C410" s="3" t="s">
        <v>64</v>
      </c>
      <c r="D410" s="16" t="s">
        <v>64</v>
      </c>
      <c r="E410" s="16">
        <v>0</v>
      </c>
      <c r="F410" s="16" t="s">
        <v>64</v>
      </c>
      <c r="G410" s="16" t="s">
        <v>64</v>
      </c>
    </row>
    <row r="411" spans="1:7" x14ac:dyDescent="0.2">
      <c r="A411" t="s">
        <v>64</v>
      </c>
      <c r="B411" t="s">
        <v>64</v>
      </c>
      <c r="C411" s="3" t="s">
        <v>64</v>
      </c>
      <c r="D411" s="16" t="s">
        <v>64</v>
      </c>
      <c r="E411" s="16">
        <v>0</v>
      </c>
      <c r="F411" s="16" t="s">
        <v>64</v>
      </c>
      <c r="G411" s="16" t="s">
        <v>64</v>
      </c>
    </row>
    <row r="412" spans="1:7" x14ac:dyDescent="0.2">
      <c r="A412" t="s">
        <v>64</v>
      </c>
      <c r="B412" t="s">
        <v>64</v>
      </c>
      <c r="C412" s="3" t="s">
        <v>64</v>
      </c>
      <c r="D412" s="16" t="s">
        <v>64</v>
      </c>
      <c r="E412" s="16">
        <v>0</v>
      </c>
      <c r="F412" s="16" t="s">
        <v>64</v>
      </c>
      <c r="G412" s="16" t="s">
        <v>64</v>
      </c>
    </row>
    <row r="413" spans="1:7" x14ac:dyDescent="0.2">
      <c r="A413" t="s">
        <v>64</v>
      </c>
      <c r="B413" t="s">
        <v>64</v>
      </c>
      <c r="C413" s="3" t="s">
        <v>64</v>
      </c>
      <c r="D413" s="16" t="s">
        <v>64</v>
      </c>
      <c r="E413" s="16">
        <v>0</v>
      </c>
      <c r="F413" s="16" t="s">
        <v>64</v>
      </c>
      <c r="G413" s="16" t="s">
        <v>64</v>
      </c>
    </row>
    <row r="414" spans="1:7" x14ac:dyDescent="0.2">
      <c r="A414" t="s">
        <v>64</v>
      </c>
      <c r="B414" t="s">
        <v>64</v>
      </c>
      <c r="C414" s="3" t="s">
        <v>64</v>
      </c>
      <c r="D414" s="16" t="s">
        <v>64</v>
      </c>
      <c r="E414" s="16">
        <v>0</v>
      </c>
      <c r="F414" s="16" t="s">
        <v>64</v>
      </c>
      <c r="G414" s="16" t="s">
        <v>64</v>
      </c>
    </row>
    <row r="415" spans="1:7" x14ac:dyDescent="0.2">
      <c r="A415" t="s">
        <v>64</v>
      </c>
      <c r="B415" t="s">
        <v>64</v>
      </c>
      <c r="C415" s="3" t="s">
        <v>64</v>
      </c>
      <c r="D415" s="16" t="s">
        <v>64</v>
      </c>
      <c r="E415" s="16">
        <v>0</v>
      </c>
      <c r="F415" s="16" t="s">
        <v>64</v>
      </c>
      <c r="G415" s="16" t="s">
        <v>64</v>
      </c>
    </row>
    <row r="416" spans="1:7" x14ac:dyDescent="0.2">
      <c r="A416" t="s">
        <v>64</v>
      </c>
      <c r="B416" t="s">
        <v>64</v>
      </c>
      <c r="C416" s="3" t="s">
        <v>64</v>
      </c>
      <c r="D416" s="16" t="s">
        <v>64</v>
      </c>
      <c r="E416" s="16">
        <v>0</v>
      </c>
      <c r="F416" s="16" t="s">
        <v>64</v>
      </c>
      <c r="G416" s="16" t="s">
        <v>64</v>
      </c>
    </row>
    <row r="417" spans="1:7" x14ac:dyDescent="0.2">
      <c r="A417" t="s">
        <v>64</v>
      </c>
      <c r="B417" t="s">
        <v>64</v>
      </c>
      <c r="C417" s="3" t="s">
        <v>64</v>
      </c>
      <c r="D417" s="16" t="s">
        <v>64</v>
      </c>
      <c r="E417" s="16">
        <v>0</v>
      </c>
      <c r="F417" s="16" t="s">
        <v>64</v>
      </c>
      <c r="G417" s="16" t="s">
        <v>64</v>
      </c>
    </row>
    <row r="418" spans="1:7" x14ac:dyDescent="0.2">
      <c r="A418" t="s">
        <v>64</v>
      </c>
      <c r="B418" t="s">
        <v>64</v>
      </c>
      <c r="C418" s="3" t="s">
        <v>64</v>
      </c>
      <c r="D418" s="16" t="s">
        <v>64</v>
      </c>
      <c r="E418" s="16">
        <v>0</v>
      </c>
      <c r="F418" s="16" t="s">
        <v>64</v>
      </c>
      <c r="G418" s="16" t="s">
        <v>64</v>
      </c>
    </row>
    <row r="419" spans="1:7" x14ac:dyDescent="0.2">
      <c r="A419" t="s">
        <v>64</v>
      </c>
      <c r="B419" t="s">
        <v>64</v>
      </c>
      <c r="C419" s="3" t="s">
        <v>64</v>
      </c>
      <c r="D419" s="16" t="s">
        <v>64</v>
      </c>
      <c r="E419" s="16">
        <v>0</v>
      </c>
      <c r="F419" s="16" t="s">
        <v>64</v>
      </c>
      <c r="G419" s="16" t="s">
        <v>64</v>
      </c>
    </row>
    <row r="420" spans="1:7" x14ac:dyDescent="0.2">
      <c r="A420" t="s">
        <v>64</v>
      </c>
      <c r="B420" t="s">
        <v>64</v>
      </c>
      <c r="C420" s="3" t="s">
        <v>64</v>
      </c>
      <c r="D420" s="16" t="s">
        <v>64</v>
      </c>
      <c r="E420" s="16">
        <v>0</v>
      </c>
      <c r="F420" s="16" t="s">
        <v>64</v>
      </c>
      <c r="G420" s="16" t="s">
        <v>64</v>
      </c>
    </row>
    <row r="421" spans="1:7" x14ac:dyDescent="0.2">
      <c r="A421" t="s">
        <v>64</v>
      </c>
      <c r="B421" t="s">
        <v>64</v>
      </c>
      <c r="C421" s="3" t="s">
        <v>64</v>
      </c>
      <c r="D421" s="16" t="s">
        <v>64</v>
      </c>
      <c r="E421" s="16">
        <v>0</v>
      </c>
      <c r="F421" s="16" t="s">
        <v>64</v>
      </c>
      <c r="G421" s="16" t="s">
        <v>64</v>
      </c>
    </row>
    <row r="422" spans="1:7" x14ac:dyDescent="0.2">
      <c r="A422" t="s">
        <v>64</v>
      </c>
      <c r="B422" t="s">
        <v>64</v>
      </c>
      <c r="C422" s="3" t="s">
        <v>64</v>
      </c>
      <c r="D422" s="16" t="s">
        <v>64</v>
      </c>
      <c r="E422" s="16">
        <v>0</v>
      </c>
      <c r="F422" s="16" t="s">
        <v>64</v>
      </c>
      <c r="G422" s="16" t="s">
        <v>64</v>
      </c>
    </row>
    <row r="423" spans="1:7" x14ac:dyDescent="0.2">
      <c r="A423" t="s">
        <v>64</v>
      </c>
      <c r="B423" t="s">
        <v>64</v>
      </c>
      <c r="C423" s="3" t="s">
        <v>64</v>
      </c>
      <c r="D423" s="16" t="s">
        <v>64</v>
      </c>
      <c r="E423" s="16">
        <v>0</v>
      </c>
      <c r="F423" s="16" t="s">
        <v>64</v>
      </c>
      <c r="G423" s="16" t="s">
        <v>64</v>
      </c>
    </row>
    <row r="424" spans="1:7" x14ac:dyDescent="0.2">
      <c r="A424" t="s">
        <v>64</v>
      </c>
      <c r="B424" t="s">
        <v>64</v>
      </c>
      <c r="C424" s="3" t="s">
        <v>64</v>
      </c>
      <c r="D424" s="16" t="s">
        <v>64</v>
      </c>
      <c r="E424" s="16">
        <v>0</v>
      </c>
      <c r="F424" s="16" t="s">
        <v>64</v>
      </c>
      <c r="G424" s="16" t="s">
        <v>64</v>
      </c>
    </row>
    <row r="425" spans="1:7" x14ac:dyDescent="0.2">
      <c r="A425" t="s">
        <v>64</v>
      </c>
      <c r="B425" t="s">
        <v>64</v>
      </c>
      <c r="C425" s="3" t="s">
        <v>64</v>
      </c>
      <c r="D425" s="16" t="s">
        <v>64</v>
      </c>
      <c r="E425" s="16">
        <v>0</v>
      </c>
      <c r="F425" s="16" t="s">
        <v>64</v>
      </c>
      <c r="G425" s="16" t="s">
        <v>64</v>
      </c>
    </row>
    <row r="426" spans="1:7" x14ac:dyDescent="0.2">
      <c r="A426" t="s">
        <v>64</v>
      </c>
      <c r="B426" t="s">
        <v>64</v>
      </c>
      <c r="C426" s="3" t="s">
        <v>64</v>
      </c>
      <c r="D426" s="16" t="s">
        <v>64</v>
      </c>
      <c r="E426" s="16">
        <v>0</v>
      </c>
      <c r="F426" s="16" t="s">
        <v>64</v>
      </c>
      <c r="G426" s="16" t="s">
        <v>64</v>
      </c>
    </row>
    <row r="427" spans="1:7" x14ac:dyDescent="0.2">
      <c r="A427" t="s">
        <v>64</v>
      </c>
      <c r="B427" t="s">
        <v>64</v>
      </c>
      <c r="C427" s="3" t="s">
        <v>64</v>
      </c>
      <c r="D427" s="16" t="s">
        <v>64</v>
      </c>
      <c r="E427" s="16">
        <v>0</v>
      </c>
      <c r="F427" s="16" t="s">
        <v>64</v>
      </c>
      <c r="G427" s="16" t="s">
        <v>64</v>
      </c>
    </row>
    <row r="428" spans="1:7" x14ac:dyDescent="0.2">
      <c r="A428" t="s">
        <v>64</v>
      </c>
      <c r="B428" t="s">
        <v>64</v>
      </c>
      <c r="C428" s="3" t="s">
        <v>64</v>
      </c>
      <c r="D428" s="16" t="s">
        <v>64</v>
      </c>
      <c r="E428" s="16">
        <v>0</v>
      </c>
      <c r="F428" s="16" t="s">
        <v>64</v>
      </c>
      <c r="G428" s="16" t="s">
        <v>64</v>
      </c>
    </row>
    <row r="429" spans="1:7" x14ac:dyDescent="0.2">
      <c r="A429" t="s">
        <v>64</v>
      </c>
      <c r="B429" t="s">
        <v>64</v>
      </c>
      <c r="C429" s="3" t="s">
        <v>64</v>
      </c>
      <c r="D429" s="16" t="s">
        <v>64</v>
      </c>
      <c r="E429" s="16">
        <v>0</v>
      </c>
      <c r="F429" s="16" t="s">
        <v>64</v>
      </c>
      <c r="G429" s="16" t="s">
        <v>64</v>
      </c>
    </row>
    <row r="430" spans="1:7" x14ac:dyDescent="0.2">
      <c r="A430" t="s">
        <v>64</v>
      </c>
      <c r="B430" t="s">
        <v>64</v>
      </c>
      <c r="C430" s="3" t="s">
        <v>64</v>
      </c>
      <c r="D430" s="16" t="s">
        <v>64</v>
      </c>
      <c r="E430" s="16">
        <v>0</v>
      </c>
      <c r="F430" s="16" t="s">
        <v>64</v>
      </c>
      <c r="G430" s="16" t="s">
        <v>64</v>
      </c>
    </row>
    <row r="431" spans="1:7" x14ac:dyDescent="0.2">
      <c r="A431" t="s">
        <v>64</v>
      </c>
      <c r="B431" t="s">
        <v>64</v>
      </c>
      <c r="C431" s="3" t="s">
        <v>64</v>
      </c>
      <c r="D431" s="16" t="s">
        <v>64</v>
      </c>
      <c r="E431" s="16">
        <v>0</v>
      </c>
      <c r="F431" s="16" t="s">
        <v>64</v>
      </c>
      <c r="G431" s="16" t="s">
        <v>64</v>
      </c>
    </row>
    <row r="432" spans="1:7" x14ac:dyDescent="0.2">
      <c r="A432" t="s">
        <v>64</v>
      </c>
      <c r="B432" t="s">
        <v>64</v>
      </c>
      <c r="C432" s="3" t="s">
        <v>64</v>
      </c>
      <c r="D432" s="16" t="s">
        <v>64</v>
      </c>
      <c r="E432" s="16">
        <v>0</v>
      </c>
      <c r="F432" s="16" t="s">
        <v>64</v>
      </c>
      <c r="G432" s="16" t="s">
        <v>64</v>
      </c>
    </row>
    <row r="433" spans="1:7" x14ac:dyDescent="0.2">
      <c r="A433" t="s">
        <v>64</v>
      </c>
      <c r="B433" t="s">
        <v>64</v>
      </c>
      <c r="C433" s="3" t="s">
        <v>64</v>
      </c>
      <c r="D433" s="16" t="s">
        <v>64</v>
      </c>
      <c r="E433" s="16">
        <v>0</v>
      </c>
      <c r="F433" s="16" t="s">
        <v>64</v>
      </c>
      <c r="G433" s="16" t="s">
        <v>64</v>
      </c>
    </row>
    <row r="434" spans="1:7" x14ac:dyDescent="0.2">
      <c r="A434" t="s">
        <v>64</v>
      </c>
      <c r="B434" t="s">
        <v>64</v>
      </c>
      <c r="C434" s="3" t="s">
        <v>64</v>
      </c>
      <c r="D434" s="16" t="s">
        <v>64</v>
      </c>
      <c r="E434" s="16">
        <v>0</v>
      </c>
      <c r="F434" s="16" t="s">
        <v>64</v>
      </c>
      <c r="G434" s="16" t="s">
        <v>64</v>
      </c>
    </row>
    <row r="435" spans="1:7" x14ac:dyDescent="0.2">
      <c r="A435" t="s">
        <v>64</v>
      </c>
      <c r="B435" t="s">
        <v>64</v>
      </c>
      <c r="C435" s="3" t="s">
        <v>64</v>
      </c>
      <c r="D435" s="16" t="s">
        <v>64</v>
      </c>
      <c r="E435" s="16">
        <v>0</v>
      </c>
      <c r="F435" s="16" t="s">
        <v>64</v>
      </c>
      <c r="G435" s="16" t="s">
        <v>64</v>
      </c>
    </row>
    <row r="436" spans="1:7" x14ac:dyDescent="0.2">
      <c r="A436" t="s">
        <v>64</v>
      </c>
      <c r="B436" t="s">
        <v>64</v>
      </c>
      <c r="C436" s="3" t="s">
        <v>64</v>
      </c>
      <c r="D436" s="16" t="s">
        <v>64</v>
      </c>
      <c r="E436" s="16">
        <v>0</v>
      </c>
      <c r="F436" s="16" t="s">
        <v>64</v>
      </c>
      <c r="G436" s="16" t="s">
        <v>64</v>
      </c>
    </row>
    <row r="437" spans="1:7" x14ac:dyDescent="0.2">
      <c r="A437" t="s">
        <v>64</v>
      </c>
      <c r="B437" t="s">
        <v>64</v>
      </c>
      <c r="C437" s="3" t="s">
        <v>64</v>
      </c>
      <c r="D437" s="16" t="s">
        <v>64</v>
      </c>
      <c r="E437" s="16">
        <v>0</v>
      </c>
      <c r="F437" s="16" t="s">
        <v>64</v>
      </c>
      <c r="G437" s="16" t="s">
        <v>64</v>
      </c>
    </row>
    <row r="438" spans="1:7" x14ac:dyDescent="0.2">
      <c r="A438" t="s">
        <v>64</v>
      </c>
      <c r="B438" t="s">
        <v>64</v>
      </c>
      <c r="C438" s="3" t="s">
        <v>64</v>
      </c>
      <c r="D438" s="16" t="s">
        <v>64</v>
      </c>
      <c r="E438" s="16">
        <v>0</v>
      </c>
      <c r="F438" s="16" t="s">
        <v>64</v>
      </c>
      <c r="G438" s="16" t="s">
        <v>64</v>
      </c>
    </row>
    <row r="439" spans="1:7" x14ac:dyDescent="0.2">
      <c r="A439" t="s">
        <v>64</v>
      </c>
      <c r="B439" t="s">
        <v>64</v>
      </c>
      <c r="C439" s="3" t="s">
        <v>64</v>
      </c>
      <c r="D439" s="16" t="s">
        <v>64</v>
      </c>
      <c r="E439" s="16">
        <v>0</v>
      </c>
      <c r="F439" s="16" t="s">
        <v>64</v>
      </c>
      <c r="G439" s="16" t="s">
        <v>64</v>
      </c>
    </row>
    <row r="440" spans="1:7" x14ac:dyDescent="0.2">
      <c r="A440" t="s">
        <v>64</v>
      </c>
      <c r="B440" t="s">
        <v>64</v>
      </c>
      <c r="C440" s="3" t="s">
        <v>64</v>
      </c>
      <c r="D440" s="16" t="s">
        <v>64</v>
      </c>
      <c r="E440" s="16">
        <v>0</v>
      </c>
      <c r="F440" s="16" t="s">
        <v>64</v>
      </c>
      <c r="G440" s="16" t="s">
        <v>64</v>
      </c>
    </row>
    <row r="441" spans="1:7" x14ac:dyDescent="0.2">
      <c r="A441" t="s">
        <v>64</v>
      </c>
      <c r="B441" t="s">
        <v>64</v>
      </c>
      <c r="C441" s="3" t="s">
        <v>64</v>
      </c>
      <c r="D441" s="16" t="s">
        <v>64</v>
      </c>
      <c r="E441" s="16">
        <v>0</v>
      </c>
      <c r="F441" s="16" t="s">
        <v>64</v>
      </c>
      <c r="G441" s="16" t="s">
        <v>64</v>
      </c>
    </row>
    <row r="442" spans="1:7" x14ac:dyDescent="0.2">
      <c r="A442" t="s">
        <v>64</v>
      </c>
      <c r="B442" t="s">
        <v>64</v>
      </c>
      <c r="C442" s="3" t="s">
        <v>64</v>
      </c>
      <c r="D442" s="16" t="s">
        <v>64</v>
      </c>
      <c r="E442" s="16">
        <v>0</v>
      </c>
      <c r="F442" s="16" t="s">
        <v>64</v>
      </c>
      <c r="G442" s="16" t="s">
        <v>64</v>
      </c>
    </row>
    <row r="443" spans="1:7" x14ac:dyDescent="0.2">
      <c r="A443" t="s">
        <v>64</v>
      </c>
      <c r="B443" t="s">
        <v>64</v>
      </c>
      <c r="C443" s="3" t="s">
        <v>64</v>
      </c>
      <c r="D443" s="16" t="s">
        <v>64</v>
      </c>
      <c r="E443" s="16">
        <v>0</v>
      </c>
      <c r="F443" s="16" t="s">
        <v>64</v>
      </c>
      <c r="G443" s="16" t="s">
        <v>64</v>
      </c>
    </row>
    <row r="444" spans="1:7" x14ac:dyDescent="0.2">
      <c r="A444" t="s">
        <v>64</v>
      </c>
      <c r="B444" t="s">
        <v>64</v>
      </c>
      <c r="C444" s="3" t="s">
        <v>64</v>
      </c>
      <c r="D444" s="16" t="s">
        <v>64</v>
      </c>
      <c r="E444" s="16">
        <v>0</v>
      </c>
      <c r="F444" s="16" t="s">
        <v>64</v>
      </c>
      <c r="G444" s="16" t="s">
        <v>64</v>
      </c>
    </row>
    <row r="445" spans="1:7" x14ac:dyDescent="0.2">
      <c r="A445" t="s">
        <v>64</v>
      </c>
      <c r="B445" t="s">
        <v>64</v>
      </c>
      <c r="C445" s="3" t="s">
        <v>64</v>
      </c>
      <c r="D445" s="16" t="s">
        <v>64</v>
      </c>
      <c r="E445" s="16">
        <v>0</v>
      </c>
      <c r="F445" s="16" t="s">
        <v>64</v>
      </c>
      <c r="G445" s="16" t="s">
        <v>64</v>
      </c>
    </row>
    <row r="446" spans="1:7" x14ac:dyDescent="0.2">
      <c r="A446" t="s">
        <v>64</v>
      </c>
      <c r="B446" t="s">
        <v>64</v>
      </c>
      <c r="C446" s="3" t="s">
        <v>64</v>
      </c>
      <c r="D446" s="16" t="s">
        <v>64</v>
      </c>
      <c r="E446" s="16">
        <v>0</v>
      </c>
      <c r="F446" s="16" t="s">
        <v>64</v>
      </c>
      <c r="G446" s="16" t="s">
        <v>64</v>
      </c>
    </row>
    <row r="447" spans="1:7" x14ac:dyDescent="0.2">
      <c r="A447" t="s">
        <v>64</v>
      </c>
      <c r="B447" t="s">
        <v>64</v>
      </c>
      <c r="C447" s="3" t="s">
        <v>64</v>
      </c>
      <c r="D447" s="16" t="s">
        <v>64</v>
      </c>
      <c r="E447" s="16">
        <v>0</v>
      </c>
      <c r="F447" s="16" t="s">
        <v>64</v>
      </c>
      <c r="G447" s="16" t="s">
        <v>64</v>
      </c>
    </row>
    <row r="448" spans="1:7" x14ac:dyDescent="0.2">
      <c r="A448" t="s">
        <v>64</v>
      </c>
      <c r="B448" t="s">
        <v>64</v>
      </c>
      <c r="C448" s="3" t="s">
        <v>64</v>
      </c>
      <c r="D448" s="16" t="s">
        <v>64</v>
      </c>
      <c r="E448" s="16">
        <v>0</v>
      </c>
      <c r="F448" s="16" t="s">
        <v>64</v>
      </c>
      <c r="G448" s="16" t="s">
        <v>64</v>
      </c>
    </row>
    <row r="449" spans="1:7" x14ac:dyDescent="0.2">
      <c r="A449" t="s">
        <v>64</v>
      </c>
      <c r="B449" t="s">
        <v>64</v>
      </c>
      <c r="C449" s="3" t="s">
        <v>64</v>
      </c>
      <c r="D449" s="16" t="s">
        <v>64</v>
      </c>
      <c r="E449" s="16">
        <v>0</v>
      </c>
      <c r="F449" s="16" t="s">
        <v>64</v>
      </c>
      <c r="G449" s="16" t="s">
        <v>64</v>
      </c>
    </row>
    <row r="450" spans="1:7" x14ac:dyDescent="0.2">
      <c r="A450" t="s">
        <v>64</v>
      </c>
      <c r="B450" t="s">
        <v>64</v>
      </c>
      <c r="C450" s="3" t="s">
        <v>64</v>
      </c>
      <c r="D450" s="16" t="s">
        <v>64</v>
      </c>
      <c r="E450" s="16">
        <v>0</v>
      </c>
      <c r="F450" s="16" t="s">
        <v>64</v>
      </c>
      <c r="G450" s="16" t="s">
        <v>64</v>
      </c>
    </row>
    <row r="451" spans="1:7" x14ac:dyDescent="0.2">
      <c r="A451" t="s">
        <v>64</v>
      </c>
      <c r="B451" t="s">
        <v>64</v>
      </c>
      <c r="C451" s="3" t="s">
        <v>64</v>
      </c>
      <c r="D451" s="16" t="s">
        <v>64</v>
      </c>
      <c r="E451" s="16">
        <v>0</v>
      </c>
      <c r="F451" s="16" t="s">
        <v>64</v>
      </c>
      <c r="G451" s="16" t="s">
        <v>64</v>
      </c>
    </row>
    <row r="452" spans="1:7" x14ac:dyDescent="0.2">
      <c r="A452" t="s">
        <v>64</v>
      </c>
      <c r="B452" t="s">
        <v>64</v>
      </c>
      <c r="C452" s="3" t="s">
        <v>64</v>
      </c>
      <c r="D452" s="16" t="s">
        <v>64</v>
      </c>
      <c r="E452" s="16">
        <v>0</v>
      </c>
      <c r="F452" s="16" t="s">
        <v>64</v>
      </c>
      <c r="G452" s="16" t="s">
        <v>64</v>
      </c>
    </row>
    <row r="453" spans="1:7" x14ac:dyDescent="0.2">
      <c r="A453" t="s">
        <v>64</v>
      </c>
      <c r="B453" t="s">
        <v>64</v>
      </c>
      <c r="C453" s="3" t="s">
        <v>64</v>
      </c>
      <c r="D453" s="16" t="s">
        <v>64</v>
      </c>
      <c r="E453" s="16">
        <v>0</v>
      </c>
      <c r="F453" s="16" t="s">
        <v>64</v>
      </c>
      <c r="G453" s="16" t="s">
        <v>64</v>
      </c>
    </row>
    <row r="454" spans="1:7" x14ac:dyDescent="0.2">
      <c r="A454" t="s">
        <v>64</v>
      </c>
      <c r="B454" t="s">
        <v>64</v>
      </c>
      <c r="C454" s="3" t="s">
        <v>64</v>
      </c>
      <c r="D454" s="16" t="s">
        <v>64</v>
      </c>
      <c r="E454" s="16">
        <v>0</v>
      </c>
      <c r="F454" s="16" t="s">
        <v>64</v>
      </c>
      <c r="G454" s="16" t="s">
        <v>64</v>
      </c>
    </row>
    <row r="455" spans="1:7" x14ac:dyDescent="0.2">
      <c r="A455" t="s">
        <v>64</v>
      </c>
      <c r="B455" t="s">
        <v>64</v>
      </c>
      <c r="C455" s="3" t="s">
        <v>64</v>
      </c>
      <c r="D455" s="16" t="s">
        <v>64</v>
      </c>
      <c r="E455" s="16">
        <v>0</v>
      </c>
      <c r="F455" s="16" t="s">
        <v>64</v>
      </c>
      <c r="G455" s="16" t="s">
        <v>64</v>
      </c>
    </row>
    <row r="456" spans="1:7" x14ac:dyDescent="0.2">
      <c r="A456" t="s">
        <v>64</v>
      </c>
      <c r="B456" t="s">
        <v>64</v>
      </c>
      <c r="C456" s="3" t="s">
        <v>64</v>
      </c>
      <c r="D456" s="16" t="s">
        <v>64</v>
      </c>
      <c r="E456" s="16">
        <v>0</v>
      </c>
      <c r="F456" s="16" t="s">
        <v>64</v>
      </c>
      <c r="G456" s="16" t="s">
        <v>64</v>
      </c>
    </row>
    <row r="457" spans="1:7" x14ac:dyDescent="0.2">
      <c r="A457" t="s">
        <v>64</v>
      </c>
      <c r="B457" t="s">
        <v>64</v>
      </c>
      <c r="C457" s="3" t="s">
        <v>64</v>
      </c>
      <c r="D457" s="16" t="s">
        <v>64</v>
      </c>
      <c r="E457" s="16">
        <v>0</v>
      </c>
      <c r="F457" s="16" t="s">
        <v>64</v>
      </c>
      <c r="G457" s="16" t="s">
        <v>64</v>
      </c>
    </row>
    <row r="458" spans="1:7" x14ac:dyDescent="0.2">
      <c r="A458" t="s">
        <v>64</v>
      </c>
      <c r="B458" t="s">
        <v>64</v>
      </c>
      <c r="C458" s="3" t="s">
        <v>64</v>
      </c>
      <c r="D458" s="16" t="s">
        <v>64</v>
      </c>
      <c r="E458" s="16">
        <v>0</v>
      </c>
      <c r="F458" s="16" t="s">
        <v>64</v>
      </c>
      <c r="G458" s="16" t="s">
        <v>64</v>
      </c>
    </row>
    <row r="459" spans="1:7" x14ac:dyDescent="0.2">
      <c r="A459" t="s">
        <v>64</v>
      </c>
      <c r="B459" t="s">
        <v>64</v>
      </c>
      <c r="C459" s="3" t="s">
        <v>64</v>
      </c>
      <c r="D459" s="16" t="s">
        <v>64</v>
      </c>
      <c r="E459" s="16">
        <v>0</v>
      </c>
      <c r="F459" s="16" t="s">
        <v>64</v>
      </c>
      <c r="G459" s="16" t="s">
        <v>64</v>
      </c>
    </row>
    <row r="460" spans="1:7" x14ac:dyDescent="0.2">
      <c r="A460" t="s">
        <v>64</v>
      </c>
      <c r="B460" t="s">
        <v>64</v>
      </c>
      <c r="C460" s="3" t="s">
        <v>64</v>
      </c>
      <c r="D460" s="16" t="s">
        <v>64</v>
      </c>
      <c r="E460" s="16">
        <v>0</v>
      </c>
      <c r="F460" s="16" t="s">
        <v>64</v>
      </c>
      <c r="G460" s="16" t="s">
        <v>64</v>
      </c>
    </row>
    <row r="461" spans="1:7" x14ac:dyDescent="0.2">
      <c r="A461" t="s">
        <v>64</v>
      </c>
      <c r="B461" t="s">
        <v>64</v>
      </c>
      <c r="C461" s="3" t="s">
        <v>64</v>
      </c>
      <c r="D461" s="16" t="s">
        <v>64</v>
      </c>
      <c r="E461" s="16">
        <v>0</v>
      </c>
      <c r="F461" s="16" t="s">
        <v>64</v>
      </c>
      <c r="G461" s="16" t="s">
        <v>64</v>
      </c>
    </row>
    <row r="462" spans="1:7" x14ac:dyDescent="0.2">
      <c r="A462" t="s">
        <v>64</v>
      </c>
      <c r="B462" t="s">
        <v>64</v>
      </c>
      <c r="C462" s="3" t="s">
        <v>64</v>
      </c>
      <c r="D462" s="16" t="s">
        <v>64</v>
      </c>
      <c r="E462" s="16">
        <v>0</v>
      </c>
      <c r="F462" s="16" t="s">
        <v>64</v>
      </c>
      <c r="G462" s="16" t="s">
        <v>64</v>
      </c>
    </row>
    <row r="463" spans="1:7" x14ac:dyDescent="0.2">
      <c r="A463" t="s">
        <v>64</v>
      </c>
      <c r="B463" t="s">
        <v>64</v>
      </c>
      <c r="C463" s="3" t="s">
        <v>64</v>
      </c>
      <c r="D463" s="16" t="s">
        <v>64</v>
      </c>
      <c r="E463" s="16">
        <v>0</v>
      </c>
      <c r="F463" s="16" t="s">
        <v>64</v>
      </c>
      <c r="G463" s="16" t="s">
        <v>64</v>
      </c>
    </row>
    <row r="464" spans="1:7" x14ac:dyDescent="0.2">
      <c r="A464" t="s">
        <v>64</v>
      </c>
      <c r="B464" t="s">
        <v>64</v>
      </c>
      <c r="C464" s="3" t="s">
        <v>64</v>
      </c>
      <c r="D464" s="16" t="s">
        <v>64</v>
      </c>
      <c r="E464" s="16">
        <v>0</v>
      </c>
      <c r="F464" s="16" t="s">
        <v>64</v>
      </c>
      <c r="G464" s="16" t="s">
        <v>64</v>
      </c>
    </row>
    <row r="465" spans="1:7" x14ac:dyDescent="0.2">
      <c r="A465" t="s">
        <v>64</v>
      </c>
      <c r="B465" t="s">
        <v>64</v>
      </c>
      <c r="C465" s="3" t="s">
        <v>64</v>
      </c>
      <c r="D465" s="16" t="s">
        <v>64</v>
      </c>
      <c r="E465" s="16">
        <v>0</v>
      </c>
      <c r="F465" s="16" t="s">
        <v>64</v>
      </c>
      <c r="G465" s="16" t="s">
        <v>64</v>
      </c>
    </row>
    <row r="466" spans="1:7" x14ac:dyDescent="0.2">
      <c r="A466" t="s">
        <v>64</v>
      </c>
      <c r="B466" t="s">
        <v>64</v>
      </c>
      <c r="C466" s="3" t="s">
        <v>64</v>
      </c>
      <c r="D466" s="16" t="s">
        <v>64</v>
      </c>
      <c r="E466" s="16">
        <v>0</v>
      </c>
      <c r="F466" s="16" t="s">
        <v>64</v>
      </c>
      <c r="G466" s="16" t="s">
        <v>64</v>
      </c>
    </row>
    <row r="467" spans="1:7" x14ac:dyDescent="0.2">
      <c r="A467" t="s">
        <v>64</v>
      </c>
      <c r="B467" t="s">
        <v>64</v>
      </c>
      <c r="C467" s="3" t="s">
        <v>64</v>
      </c>
      <c r="D467" s="16" t="s">
        <v>64</v>
      </c>
      <c r="E467" s="16">
        <v>0</v>
      </c>
      <c r="F467" s="16" t="s">
        <v>64</v>
      </c>
      <c r="G467" s="16" t="s">
        <v>64</v>
      </c>
    </row>
    <row r="468" spans="1:7" x14ac:dyDescent="0.2">
      <c r="A468" t="s">
        <v>64</v>
      </c>
      <c r="B468" t="s">
        <v>64</v>
      </c>
      <c r="C468" s="3" t="s">
        <v>64</v>
      </c>
      <c r="D468" s="16" t="s">
        <v>64</v>
      </c>
      <c r="E468" s="16">
        <v>0</v>
      </c>
      <c r="F468" s="16" t="s">
        <v>64</v>
      </c>
      <c r="G468" s="16" t="s">
        <v>64</v>
      </c>
    </row>
    <row r="469" spans="1:7" x14ac:dyDescent="0.2">
      <c r="A469" t="s">
        <v>64</v>
      </c>
      <c r="B469" t="s">
        <v>64</v>
      </c>
      <c r="C469" s="3" t="s">
        <v>64</v>
      </c>
      <c r="D469" s="16" t="s">
        <v>64</v>
      </c>
      <c r="E469" s="16">
        <v>0</v>
      </c>
      <c r="F469" s="16" t="s">
        <v>64</v>
      </c>
      <c r="G469" s="16" t="s">
        <v>64</v>
      </c>
    </row>
    <row r="470" spans="1:7" x14ac:dyDescent="0.2">
      <c r="A470" t="s">
        <v>64</v>
      </c>
      <c r="B470" t="s">
        <v>64</v>
      </c>
      <c r="C470" s="3" t="s">
        <v>64</v>
      </c>
      <c r="D470" s="16" t="s">
        <v>64</v>
      </c>
      <c r="E470" s="16">
        <v>0</v>
      </c>
      <c r="F470" s="16" t="s">
        <v>64</v>
      </c>
      <c r="G470" s="16" t="s">
        <v>64</v>
      </c>
    </row>
    <row r="471" spans="1:7" x14ac:dyDescent="0.2">
      <c r="A471" t="s">
        <v>64</v>
      </c>
      <c r="B471" t="s">
        <v>64</v>
      </c>
      <c r="C471" s="3" t="s">
        <v>64</v>
      </c>
      <c r="D471" s="16" t="s">
        <v>64</v>
      </c>
      <c r="E471" s="16">
        <v>0</v>
      </c>
      <c r="F471" s="16" t="s">
        <v>64</v>
      </c>
      <c r="G471" s="16" t="s">
        <v>64</v>
      </c>
    </row>
    <row r="472" spans="1:7" x14ac:dyDescent="0.2">
      <c r="A472" t="s">
        <v>64</v>
      </c>
      <c r="B472" t="s">
        <v>64</v>
      </c>
      <c r="C472" s="3" t="s">
        <v>64</v>
      </c>
      <c r="D472" s="16" t="s">
        <v>64</v>
      </c>
      <c r="E472" s="16">
        <v>0</v>
      </c>
      <c r="F472" s="16" t="s">
        <v>64</v>
      </c>
      <c r="G472" s="16" t="s">
        <v>64</v>
      </c>
    </row>
    <row r="473" spans="1:7" x14ac:dyDescent="0.2">
      <c r="A473" t="s">
        <v>64</v>
      </c>
      <c r="B473" t="s">
        <v>64</v>
      </c>
      <c r="C473" s="3" t="s">
        <v>64</v>
      </c>
      <c r="D473" s="16" t="s">
        <v>64</v>
      </c>
      <c r="E473" s="16">
        <v>0</v>
      </c>
      <c r="F473" s="16" t="s">
        <v>64</v>
      </c>
      <c r="G473" s="16" t="s">
        <v>64</v>
      </c>
    </row>
    <row r="474" spans="1:7" x14ac:dyDescent="0.2">
      <c r="A474" t="s">
        <v>64</v>
      </c>
      <c r="B474" t="s">
        <v>64</v>
      </c>
      <c r="C474" s="3" t="s">
        <v>64</v>
      </c>
      <c r="D474" s="16" t="s">
        <v>64</v>
      </c>
      <c r="E474" s="16">
        <v>0</v>
      </c>
      <c r="F474" s="16" t="s">
        <v>64</v>
      </c>
      <c r="G474" s="16" t="s">
        <v>64</v>
      </c>
    </row>
    <row r="475" spans="1:7" x14ac:dyDescent="0.2">
      <c r="A475" t="s">
        <v>64</v>
      </c>
      <c r="B475" t="s">
        <v>64</v>
      </c>
      <c r="C475" s="3" t="s">
        <v>64</v>
      </c>
      <c r="D475" s="16" t="s">
        <v>64</v>
      </c>
      <c r="E475" s="16">
        <v>0</v>
      </c>
      <c r="F475" s="16" t="s">
        <v>64</v>
      </c>
      <c r="G475" s="16" t="s">
        <v>64</v>
      </c>
    </row>
    <row r="476" spans="1:7" x14ac:dyDescent="0.2">
      <c r="A476" t="s">
        <v>64</v>
      </c>
      <c r="B476" t="s">
        <v>64</v>
      </c>
      <c r="C476" s="3" t="s">
        <v>64</v>
      </c>
      <c r="D476" s="16" t="s">
        <v>64</v>
      </c>
      <c r="E476" s="16">
        <v>0</v>
      </c>
      <c r="F476" s="16" t="s">
        <v>64</v>
      </c>
      <c r="G476" s="16" t="s">
        <v>64</v>
      </c>
    </row>
    <row r="477" spans="1:7" x14ac:dyDescent="0.2">
      <c r="A477" t="s">
        <v>64</v>
      </c>
      <c r="B477" t="s">
        <v>64</v>
      </c>
      <c r="C477" s="3" t="s">
        <v>64</v>
      </c>
      <c r="D477" s="16" t="s">
        <v>64</v>
      </c>
      <c r="E477" s="16">
        <v>0</v>
      </c>
      <c r="F477" s="16" t="s">
        <v>64</v>
      </c>
      <c r="G477" s="16" t="s">
        <v>64</v>
      </c>
    </row>
    <row r="478" spans="1:7" x14ac:dyDescent="0.2">
      <c r="A478" t="s">
        <v>64</v>
      </c>
      <c r="B478" t="s">
        <v>64</v>
      </c>
      <c r="C478" s="3" t="s">
        <v>64</v>
      </c>
      <c r="D478" s="16" t="s">
        <v>64</v>
      </c>
      <c r="E478" s="16">
        <v>0</v>
      </c>
      <c r="F478" s="16" t="s">
        <v>64</v>
      </c>
      <c r="G478" s="16" t="s">
        <v>64</v>
      </c>
    </row>
    <row r="479" spans="1:7" x14ac:dyDescent="0.2">
      <c r="A479" t="s">
        <v>64</v>
      </c>
      <c r="B479" t="s">
        <v>64</v>
      </c>
      <c r="C479" s="3" t="s">
        <v>64</v>
      </c>
      <c r="D479" s="16" t="s">
        <v>64</v>
      </c>
      <c r="E479" s="16">
        <v>0</v>
      </c>
      <c r="F479" s="16" t="s">
        <v>64</v>
      </c>
      <c r="G479" s="16" t="s">
        <v>64</v>
      </c>
    </row>
    <row r="480" spans="1:7" x14ac:dyDescent="0.2">
      <c r="A480" t="s">
        <v>64</v>
      </c>
      <c r="B480" t="s">
        <v>64</v>
      </c>
      <c r="C480" s="3" t="s">
        <v>64</v>
      </c>
      <c r="D480" s="16" t="s">
        <v>64</v>
      </c>
      <c r="E480" s="16">
        <v>0</v>
      </c>
      <c r="F480" s="16" t="s">
        <v>64</v>
      </c>
      <c r="G480" s="16" t="s">
        <v>64</v>
      </c>
    </row>
    <row r="481" spans="1:7" x14ac:dyDescent="0.2">
      <c r="A481" t="s">
        <v>64</v>
      </c>
      <c r="B481" t="s">
        <v>64</v>
      </c>
      <c r="C481" s="3" t="s">
        <v>64</v>
      </c>
      <c r="D481" s="16" t="s">
        <v>64</v>
      </c>
      <c r="E481" s="16">
        <v>0</v>
      </c>
      <c r="F481" s="16" t="s">
        <v>64</v>
      </c>
      <c r="G481" s="16" t="s">
        <v>64</v>
      </c>
    </row>
    <row r="482" spans="1:7" x14ac:dyDescent="0.2">
      <c r="A482" t="s">
        <v>64</v>
      </c>
      <c r="B482" t="s">
        <v>64</v>
      </c>
      <c r="C482" s="3" t="s">
        <v>64</v>
      </c>
      <c r="D482" s="16" t="s">
        <v>64</v>
      </c>
      <c r="E482" s="16">
        <v>0</v>
      </c>
      <c r="F482" s="16" t="s">
        <v>64</v>
      </c>
      <c r="G482" s="16" t="s">
        <v>64</v>
      </c>
    </row>
    <row r="483" spans="1:7" x14ac:dyDescent="0.2">
      <c r="A483" t="s">
        <v>64</v>
      </c>
      <c r="B483" t="s">
        <v>64</v>
      </c>
      <c r="C483" s="3" t="s">
        <v>64</v>
      </c>
      <c r="D483" s="16" t="s">
        <v>64</v>
      </c>
      <c r="E483" s="16">
        <v>0</v>
      </c>
      <c r="F483" s="16" t="s">
        <v>64</v>
      </c>
      <c r="G483" s="16" t="s">
        <v>64</v>
      </c>
    </row>
    <row r="484" spans="1:7" x14ac:dyDescent="0.2">
      <c r="A484" t="s">
        <v>64</v>
      </c>
      <c r="B484" t="s">
        <v>64</v>
      </c>
      <c r="C484" s="3" t="s">
        <v>64</v>
      </c>
      <c r="D484" s="16" t="s">
        <v>64</v>
      </c>
      <c r="E484" s="16">
        <v>0</v>
      </c>
      <c r="F484" s="16" t="s">
        <v>64</v>
      </c>
      <c r="G484" s="16" t="s">
        <v>64</v>
      </c>
    </row>
    <row r="485" spans="1:7" x14ac:dyDescent="0.2">
      <c r="A485" t="s">
        <v>64</v>
      </c>
      <c r="B485" t="s">
        <v>64</v>
      </c>
      <c r="C485" s="3" t="s">
        <v>64</v>
      </c>
      <c r="D485" s="16" t="s">
        <v>64</v>
      </c>
      <c r="E485" s="16">
        <v>0</v>
      </c>
      <c r="F485" s="16" t="s">
        <v>64</v>
      </c>
      <c r="G485" s="16" t="s">
        <v>64</v>
      </c>
    </row>
    <row r="486" spans="1:7" x14ac:dyDescent="0.2">
      <c r="A486" t="s">
        <v>64</v>
      </c>
      <c r="B486" t="s">
        <v>64</v>
      </c>
      <c r="C486" s="3" t="s">
        <v>64</v>
      </c>
      <c r="D486" s="16" t="s">
        <v>64</v>
      </c>
      <c r="E486" s="16">
        <v>0</v>
      </c>
      <c r="F486" s="16" t="s">
        <v>64</v>
      </c>
      <c r="G486" s="16" t="s">
        <v>64</v>
      </c>
    </row>
    <row r="487" spans="1:7" x14ac:dyDescent="0.2">
      <c r="A487" t="s">
        <v>64</v>
      </c>
      <c r="B487" t="s">
        <v>64</v>
      </c>
      <c r="C487" s="3" t="s">
        <v>64</v>
      </c>
      <c r="D487" s="16" t="s">
        <v>64</v>
      </c>
      <c r="E487" s="16">
        <v>0</v>
      </c>
      <c r="F487" s="16" t="s">
        <v>64</v>
      </c>
      <c r="G487" s="16" t="s">
        <v>64</v>
      </c>
    </row>
    <row r="488" spans="1:7" x14ac:dyDescent="0.2">
      <c r="A488" t="s">
        <v>64</v>
      </c>
      <c r="B488" t="s">
        <v>64</v>
      </c>
      <c r="C488" s="3" t="s">
        <v>64</v>
      </c>
      <c r="D488" s="16" t="s">
        <v>64</v>
      </c>
      <c r="E488" s="16">
        <v>0</v>
      </c>
      <c r="F488" s="16" t="s">
        <v>64</v>
      </c>
      <c r="G488" s="16" t="s">
        <v>64</v>
      </c>
    </row>
    <row r="489" spans="1:7" x14ac:dyDescent="0.2">
      <c r="A489" t="s">
        <v>64</v>
      </c>
      <c r="B489" t="s">
        <v>64</v>
      </c>
      <c r="C489" s="3" t="s">
        <v>64</v>
      </c>
      <c r="D489" s="16" t="s">
        <v>64</v>
      </c>
      <c r="E489" s="16">
        <v>0</v>
      </c>
      <c r="F489" s="16" t="s">
        <v>64</v>
      </c>
      <c r="G489" s="16" t="s">
        <v>64</v>
      </c>
    </row>
    <row r="490" spans="1:7" x14ac:dyDescent="0.2">
      <c r="A490" t="s">
        <v>64</v>
      </c>
      <c r="B490" t="s">
        <v>64</v>
      </c>
      <c r="C490" s="3" t="s">
        <v>64</v>
      </c>
      <c r="D490" s="16" t="s">
        <v>64</v>
      </c>
      <c r="E490" s="16">
        <v>0</v>
      </c>
      <c r="F490" s="16" t="s">
        <v>64</v>
      </c>
      <c r="G490" s="16" t="s">
        <v>64</v>
      </c>
    </row>
    <row r="491" spans="1:7" x14ac:dyDescent="0.2">
      <c r="A491" t="s">
        <v>64</v>
      </c>
      <c r="B491" t="s">
        <v>64</v>
      </c>
      <c r="C491" s="3" t="s">
        <v>64</v>
      </c>
      <c r="D491" s="16" t="s">
        <v>64</v>
      </c>
      <c r="E491" s="16">
        <v>0</v>
      </c>
      <c r="F491" s="16" t="s">
        <v>64</v>
      </c>
      <c r="G491" s="16" t="s">
        <v>64</v>
      </c>
    </row>
    <row r="492" spans="1:7" x14ac:dyDescent="0.2">
      <c r="A492" t="s">
        <v>64</v>
      </c>
      <c r="B492" t="s">
        <v>64</v>
      </c>
      <c r="C492" s="3" t="s">
        <v>64</v>
      </c>
      <c r="D492" s="16" t="s">
        <v>64</v>
      </c>
      <c r="E492" s="16">
        <v>0</v>
      </c>
      <c r="F492" s="16" t="s">
        <v>64</v>
      </c>
      <c r="G492" s="16" t="s">
        <v>64</v>
      </c>
    </row>
    <row r="493" spans="1:7" x14ac:dyDescent="0.2">
      <c r="A493" t="s">
        <v>64</v>
      </c>
      <c r="B493" t="s">
        <v>64</v>
      </c>
      <c r="C493" s="3" t="s">
        <v>64</v>
      </c>
      <c r="D493" s="16" t="s">
        <v>64</v>
      </c>
      <c r="E493" s="16">
        <v>0</v>
      </c>
      <c r="F493" s="16" t="s">
        <v>64</v>
      </c>
      <c r="G493" s="16" t="s">
        <v>64</v>
      </c>
    </row>
    <row r="494" spans="1:7" x14ac:dyDescent="0.2">
      <c r="A494" t="s">
        <v>64</v>
      </c>
      <c r="B494" t="s">
        <v>64</v>
      </c>
      <c r="C494" s="3" t="s">
        <v>64</v>
      </c>
      <c r="D494" s="16" t="s">
        <v>64</v>
      </c>
      <c r="E494" s="16">
        <v>0</v>
      </c>
      <c r="F494" s="16" t="s">
        <v>64</v>
      </c>
      <c r="G494" s="16" t="s">
        <v>64</v>
      </c>
    </row>
    <row r="495" spans="1:7" x14ac:dyDescent="0.2">
      <c r="A495" t="s">
        <v>64</v>
      </c>
      <c r="B495" t="s">
        <v>64</v>
      </c>
      <c r="C495" s="3" t="s">
        <v>64</v>
      </c>
      <c r="D495" s="16" t="s">
        <v>64</v>
      </c>
      <c r="E495" s="16">
        <v>0</v>
      </c>
      <c r="F495" s="16" t="s">
        <v>64</v>
      </c>
      <c r="G495" s="16" t="s">
        <v>64</v>
      </c>
    </row>
    <row r="496" spans="1:7" x14ac:dyDescent="0.2">
      <c r="A496" t="s">
        <v>64</v>
      </c>
      <c r="B496" t="s">
        <v>64</v>
      </c>
      <c r="C496" s="3" t="s">
        <v>64</v>
      </c>
      <c r="D496" s="16" t="s">
        <v>64</v>
      </c>
      <c r="E496" s="16">
        <v>0</v>
      </c>
      <c r="F496" s="16" t="s">
        <v>64</v>
      </c>
      <c r="G496" s="16" t="s">
        <v>64</v>
      </c>
    </row>
    <row r="497" spans="1:7" x14ac:dyDescent="0.2">
      <c r="A497" t="s">
        <v>64</v>
      </c>
      <c r="B497" t="s">
        <v>64</v>
      </c>
      <c r="C497" s="3" t="s">
        <v>64</v>
      </c>
      <c r="D497" s="16" t="s">
        <v>64</v>
      </c>
      <c r="E497" s="16">
        <v>0</v>
      </c>
      <c r="F497" s="16" t="s">
        <v>64</v>
      </c>
      <c r="G497" s="16" t="s">
        <v>64</v>
      </c>
    </row>
    <row r="498" spans="1:7" x14ac:dyDescent="0.2">
      <c r="A498" t="s">
        <v>64</v>
      </c>
      <c r="B498" t="s">
        <v>64</v>
      </c>
      <c r="C498" s="3" t="s">
        <v>64</v>
      </c>
      <c r="D498" s="16" t="s">
        <v>64</v>
      </c>
      <c r="E498" s="16">
        <v>0</v>
      </c>
      <c r="F498" s="16" t="s">
        <v>64</v>
      </c>
      <c r="G498" s="16" t="s">
        <v>64</v>
      </c>
    </row>
    <row r="499" spans="1:7" x14ac:dyDescent="0.2">
      <c r="A499" t="s">
        <v>64</v>
      </c>
      <c r="B499" t="s">
        <v>64</v>
      </c>
      <c r="C499" s="3" t="s">
        <v>64</v>
      </c>
      <c r="D499" s="16" t="s">
        <v>64</v>
      </c>
      <c r="E499" s="16">
        <v>0</v>
      </c>
      <c r="F499" s="16" t="s">
        <v>64</v>
      </c>
      <c r="G499" s="16" t="s">
        <v>64</v>
      </c>
    </row>
    <row r="500" spans="1:7" x14ac:dyDescent="0.2">
      <c r="A500" t="s">
        <v>64</v>
      </c>
      <c r="B500" t="s">
        <v>64</v>
      </c>
      <c r="C500" s="3" t="s">
        <v>64</v>
      </c>
      <c r="D500" s="16" t="s">
        <v>64</v>
      </c>
      <c r="E500" s="16">
        <v>0</v>
      </c>
      <c r="F500" s="16" t="s">
        <v>64</v>
      </c>
      <c r="G500" s="16" t="s">
        <v>64</v>
      </c>
    </row>
    <row r="501" spans="1:7" x14ac:dyDescent="0.2">
      <c r="A501" t="s">
        <v>64</v>
      </c>
      <c r="B501" t="s">
        <v>64</v>
      </c>
      <c r="C501" s="3" t="s">
        <v>64</v>
      </c>
      <c r="D501" s="16" t="s">
        <v>64</v>
      </c>
      <c r="E501" s="16">
        <v>0</v>
      </c>
      <c r="F501" s="16" t="s">
        <v>64</v>
      </c>
      <c r="G501" s="16" t="s">
        <v>64</v>
      </c>
    </row>
    <row r="502" spans="1:7" x14ac:dyDescent="0.2">
      <c r="A502" t="s">
        <v>64</v>
      </c>
      <c r="B502" t="s">
        <v>64</v>
      </c>
      <c r="C502" s="3" t="s">
        <v>64</v>
      </c>
      <c r="D502" s="16" t="s">
        <v>64</v>
      </c>
      <c r="E502" s="16">
        <v>0</v>
      </c>
      <c r="F502" s="16" t="s">
        <v>64</v>
      </c>
      <c r="G502" s="16" t="s">
        <v>64</v>
      </c>
    </row>
    <row r="503" spans="1:7" x14ac:dyDescent="0.2">
      <c r="A503" t="s">
        <v>64</v>
      </c>
      <c r="B503" t="s">
        <v>64</v>
      </c>
      <c r="C503" s="3" t="s">
        <v>64</v>
      </c>
      <c r="D503" s="16" t="s">
        <v>64</v>
      </c>
      <c r="E503" s="16">
        <v>0</v>
      </c>
      <c r="F503" s="16" t="s">
        <v>64</v>
      </c>
      <c r="G503" s="16" t="s">
        <v>64</v>
      </c>
    </row>
    <row r="504" spans="1:7" x14ac:dyDescent="0.2">
      <c r="A504" t="s">
        <v>64</v>
      </c>
      <c r="B504" t="s">
        <v>64</v>
      </c>
      <c r="C504" s="3" t="s">
        <v>64</v>
      </c>
      <c r="D504" s="16" t="s">
        <v>64</v>
      </c>
      <c r="E504" s="16">
        <v>0</v>
      </c>
      <c r="F504" s="16" t="s">
        <v>64</v>
      </c>
      <c r="G504" s="16" t="s">
        <v>64</v>
      </c>
    </row>
    <row r="505" spans="1:7" x14ac:dyDescent="0.2">
      <c r="A505" t="s">
        <v>64</v>
      </c>
      <c r="B505" t="s">
        <v>64</v>
      </c>
      <c r="C505" s="3" t="s">
        <v>64</v>
      </c>
      <c r="D505" s="16" t="s">
        <v>64</v>
      </c>
      <c r="E505" s="16">
        <v>0</v>
      </c>
      <c r="F505" s="16" t="s">
        <v>64</v>
      </c>
      <c r="G505" s="16" t="s">
        <v>64</v>
      </c>
    </row>
    <row r="506" spans="1:7" x14ac:dyDescent="0.2">
      <c r="A506" t="s">
        <v>64</v>
      </c>
      <c r="B506" t="s">
        <v>64</v>
      </c>
      <c r="C506" s="3" t="s">
        <v>64</v>
      </c>
      <c r="D506" s="16" t="s">
        <v>64</v>
      </c>
      <c r="E506" s="16">
        <v>0</v>
      </c>
      <c r="F506" s="16" t="s">
        <v>64</v>
      </c>
      <c r="G506" s="16" t="s">
        <v>64</v>
      </c>
    </row>
    <row r="507" spans="1:7" x14ac:dyDescent="0.2">
      <c r="A507" t="s">
        <v>64</v>
      </c>
      <c r="B507" t="s">
        <v>64</v>
      </c>
      <c r="C507" s="3" t="s">
        <v>64</v>
      </c>
      <c r="D507" s="16" t="s">
        <v>64</v>
      </c>
      <c r="E507" s="16">
        <v>0</v>
      </c>
      <c r="F507" s="16" t="s">
        <v>64</v>
      </c>
      <c r="G507" s="16" t="s">
        <v>64</v>
      </c>
    </row>
    <row r="508" spans="1:7" x14ac:dyDescent="0.2">
      <c r="A508" t="s">
        <v>64</v>
      </c>
      <c r="B508" t="s">
        <v>64</v>
      </c>
      <c r="C508" s="3" t="s">
        <v>64</v>
      </c>
      <c r="D508" s="16" t="s">
        <v>64</v>
      </c>
      <c r="E508" s="16">
        <v>0</v>
      </c>
      <c r="F508" s="16" t="s">
        <v>64</v>
      </c>
      <c r="G508" s="16" t="s">
        <v>64</v>
      </c>
    </row>
    <row r="509" spans="1:7" x14ac:dyDescent="0.2">
      <c r="A509" t="s">
        <v>64</v>
      </c>
      <c r="B509" t="s">
        <v>64</v>
      </c>
      <c r="C509" s="3" t="s">
        <v>64</v>
      </c>
      <c r="D509" s="16" t="s">
        <v>64</v>
      </c>
      <c r="E509" s="16">
        <v>0</v>
      </c>
      <c r="F509" s="16" t="s">
        <v>64</v>
      </c>
      <c r="G509" s="16" t="s">
        <v>64</v>
      </c>
    </row>
    <row r="510" spans="1:7" x14ac:dyDescent="0.2">
      <c r="A510" t="s">
        <v>64</v>
      </c>
      <c r="B510" t="s">
        <v>64</v>
      </c>
      <c r="C510" s="3" t="s">
        <v>64</v>
      </c>
      <c r="D510" s="16" t="s">
        <v>64</v>
      </c>
      <c r="E510" s="16">
        <v>0</v>
      </c>
      <c r="F510" s="16" t="s">
        <v>64</v>
      </c>
      <c r="G510" s="16" t="s">
        <v>64</v>
      </c>
    </row>
    <row r="511" spans="1:7" x14ac:dyDescent="0.2">
      <c r="A511" t="s">
        <v>64</v>
      </c>
      <c r="B511" t="s">
        <v>64</v>
      </c>
      <c r="C511" s="3" t="s">
        <v>64</v>
      </c>
      <c r="D511" s="16" t="s">
        <v>64</v>
      </c>
      <c r="E511" s="16">
        <v>0</v>
      </c>
      <c r="F511" s="16" t="s">
        <v>64</v>
      </c>
      <c r="G511" s="16" t="s">
        <v>64</v>
      </c>
    </row>
    <row r="512" spans="1:7" x14ac:dyDescent="0.2">
      <c r="A512" t="s">
        <v>64</v>
      </c>
      <c r="B512" t="s">
        <v>64</v>
      </c>
      <c r="C512" s="3" t="s">
        <v>64</v>
      </c>
      <c r="D512" s="16" t="s">
        <v>64</v>
      </c>
      <c r="E512" s="16">
        <v>0</v>
      </c>
      <c r="F512" s="16" t="s">
        <v>64</v>
      </c>
      <c r="G512" s="16" t="s">
        <v>64</v>
      </c>
    </row>
    <row r="513" spans="1:7" x14ac:dyDescent="0.2">
      <c r="A513" t="s">
        <v>64</v>
      </c>
      <c r="B513" t="s">
        <v>64</v>
      </c>
      <c r="C513" s="3" t="s">
        <v>64</v>
      </c>
      <c r="D513" s="16" t="s">
        <v>64</v>
      </c>
      <c r="E513" s="16">
        <v>0</v>
      </c>
      <c r="F513" s="16" t="s">
        <v>64</v>
      </c>
      <c r="G513" s="16" t="s">
        <v>64</v>
      </c>
    </row>
    <row r="514" spans="1:7" x14ac:dyDescent="0.2">
      <c r="A514" t="s">
        <v>64</v>
      </c>
      <c r="B514" t="s">
        <v>64</v>
      </c>
      <c r="C514" s="3" t="s">
        <v>64</v>
      </c>
      <c r="D514" s="16" t="s">
        <v>64</v>
      </c>
      <c r="E514" s="16">
        <v>0</v>
      </c>
      <c r="F514" s="16" t="s">
        <v>64</v>
      </c>
      <c r="G514" s="16" t="s">
        <v>64</v>
      </c>
    </row>
    <row r="515" spans="1:7" x14ac:dyDescent="0.2">
      <c r="A515" t="s">
        <v>64</v>
      </c>
      <c r="B515" t="s">
        <v>64</v>
      </c>
      <c r="C515" s="3" t="s">
        <v>64</v>
      </c>
      <c r="D515" s="16" t="s">
        <v>64</v>
      </c>
      <c r="E515" s="16">
        <v>0</v>
      </c>
      <c r="F515" s="16" t="s">
        <v>64</v>
      </c>
      <c r="G515" s="16" t="s">
        <v>64</v>
      </c>
    </row>
    <row r="516" spans="1:7" x14ac:dyDescent="0.2">
      <c r="A516" t="s">
        <v>64</v>
      </c>
      <c r="B516" t="s">
        <v>64</v>
      </c>
      <c r="C516" s="3" t="s">
        <v>64</v>
      </c>
      <c r="D516" s="16" t="s">
        <v>64</v>
      </c>
      <c r="E516" s="16">
        <v>0</v>
      </c>
      <c r="F516" s="16" t="s">
        <v>64</v>
      </c>
      <c r="G516" s="16" t="s">
        <v>64</v>
      </c>
    </row>
    <row r="517" spans="1:7" x14ac:dyDescent="0.2">
      <c r="A517" t="s">
        <v>64</v>
      </c>
      <c r="B517" t="s">
        <v>64</v>
      </c>
      <c r="C517" s="3" t="s">
        <v>64</v>
      </c>
      <c r="D517" s="16" t="s">
        <v>64</v>
      </c>
      <c r="E517" s="16">
        <v>0</v>
      </c>
      <c r="F517" s="16" t="s">
        <v>64</v>
      </c>
      <c r="G517" s="16" t="s">
        <v>64</v>
      </c>
    </row>
    <row r="518" spans="1:7" x14ac:dyDescent="0.2">
      <c r="A518" t="s">
        <v>64</v>
      </c>
      <c r="B518" t="s">
        <v>64</v>
      </c>
      <c r="C518" s="3" t="s">
        <v>64</v>
      </c>
      <c r="D518" s="16" t="s">
        <v>64</v>
      </c>
      <c r="E518" s="16">
        <v>0</v>
      </c>
      <c r="F518" s="16" t="s">
        <v>64</v>
      </c>
      <c r="G518" s="16" t="s">
        <v>64</v>
      </c>
    </row>
    <row r="519" spans="1:7" x14ac:dyDescent="0.2">
      <c r="A519" t="s">
        <v>64</v>
      </c>
      <c r="B519" t="s">
        <v>64</v>
      </c>
      <c r="C519" s="3" t="s">
        <v>64</v>
      </c>
      <c r="D519" s="16" t="s">
        <v>64</v>
      </c>
      <c r="E519" s="16">
        <v>0</v>
      </c>
      <c r="F519" s="16" t="s">
        <v>64</v>
      </c>
      <c r="G519" s="16" t="s">
        <v>64</v>
      </c>
    </row>
    <row r="520" spans="1:7" x14ac:dyDescent="0.2">
      <c r="A520" t="s">
        <v>64</v>
      </c>
      <c r="B520" t="s">
        <v>64</v>
      </c>
      <c r="C520" s="3" t="s">
        <v>64</v>
      </c>
      <c r="D520" s="16" t="s">
        <v>64</v>
      </c>
      <c r="E520" s="16">
        <v>0</v>
      </c>
      <c r="F520" s="16" t="s">
        <v>64</v>
      </c>
      <c r="G520" s="16" t="s">
        <v>64</v>
      </c>
    </row>
    <row r="521" spans="1:7" x14ac:dyDescent="0.2">
      <c r="A521" t="s">
        <v>64</v>
      </c>
      <c r="B521" t="s">
        <v>64</v>
      </c>
      <c r="C521" s="3" t="s">
        <v>64</v>
      </c>
      <c r="D521" s="16" t="s">
        <v>64</v>
      </c>
      <c r="E521" s="16">
        <v>0</v>
      </c>
      <c r="F521" s="16" t="s">
        <v>64</v>
      </c>
      <c r="G521" s="16" t="s">
        <v>64</v>
      </c>
    </row>
    <row r="522" spans="1:7" x14ac:dyDescent="0.2">
      <c r="A522" t="s">
        <v>64</v>
      </c>
      <c r="B522" t="s">
        <v>64</v>
      </c>
      <c r="C522" s="3" t="s">
        <v>64</v>
      </c>
      <c r="D522" s="16" t="s">
        <v>64</v>
      </c>
      <c r="E522" s="16">
        <v>0</v>
      </c>
      <c r="F522" s="16" t="s">
        <v>64</v>
      </c>
      <c r="G522" s="16" t="s">
        <v>64</v>
      </c>
    </row>
    <row r="523" spans="1:7" x14ac:dyDescent="0.2">
      <c r="A523" t="s">
        <v>64</v>
      </c>
      <c r="B523" t="s">
        <v>64</v>
      </c>
      <c r="C523" s="3" t="s">
        <v>64</v>
      </c>
      <c r="D523" s="16" t="s">
        <v>64</v>
      </c>
      <c r="E523" s="16">
        <v>0</v>
      </c>
      <c r="F523" s="16" t="s">
        <v>64</v>
      </c>
      <c r="G523" s="16" t="s">
        <v>64</v>
      </c>
    </row>
    <row r="524" spans="1:7" x14ac:dyDescent="0.2">
      <c r="A524" t="s">
        <v>64</v>
      </c>
      <c r="B524" t="s">
        <v>64</v>
      </c>
      <c r="C524" s="3" t="s">
        <v>64</v>
      </c>
      <c r="D524" s="16" t="s">
        <v>64</v>
      </c>
      <c r="E524" s="16">
        <v>0</v>
      </c>
      <c r="F524" s="16" t="s">
        <v>64</v>
      </c>
      <c r="G524" s="16" t="s">
        <v>64</v>
      </c>
    </row>
    <row r="525" spans="1:7" x14ac:dyDescent="0.2">
      <c r="A525" t="s">
        <v>64</v>
      </c>
      <c r="B525" t="s">
        <v>64</v>
      </c>
      <c r="C525" s="3" t="s">
        <v>64</v>
      </c>
      <c r="D525" s="16" t="s">
        <v>64</v>
      </c>
      <c r="E525" s="16">
        <v>0</v>
      </c>
      <c r="F525" s="16" t="s">
        <v>64</v>
      </c>
      <c r="G525" s="16" t="s">
        <v>64</v>
      </c>
    </row>
    <row r="526" spans="1:7" x14ac:dyDescent="0.2">
      <c r="A526" t="s">
        <v>64</v>
      </c>
      <c r="B526" t="s">
        <v>64</v>
      </c>
      <c r="C526" s="3" t="s">
        <v>64</v>
      </c>
      <c r="D526" s="16" t="s">
        <v>64</v>
      </c>
      <c r="E526" s="16">
        <v>0</v>
      </c>
      <c r="F526" s="16" t="s">
        <v>64</v>
      </c>
      <c r="G526" s="16" t="s">
        <v>64</v>
      </c>
    </row>
    <row r="527" spans="1:7" x14ac:dyDescent="0.2">
      <c r="A527" t="s">
        <v>64</v>
      </c>
      <c r="B527" t="s">
        <v>64</v>
      </c>
      <c r="C527" s="3" t="s">
        <v>64</v>
      </c>
      <c r="D527" s="16" t="s">
        <v>64</v>
      </c>
      <c r="E527" s="16">
        <v>0</v>
      </c>
      <c r="F527" s="16" t="s">
        <v>64</v>
      </c>
      <c r="G527" s="16" t="s">
        <v>64</v>
      </c>
    </row>
    <row r="528" spans="1:7" x14ac:dyDescent="0.2">
      <c r="A528" t="s">
        <v>64</v>
      </c>
      <c r="B528" t="s">
        <v>64</v>
      </c>
      <c r="C528" s="3" t="s">
        <v>64</v>
      </c>
      <c r="D528" s="16" t="s">
        <v>64</v>
      </c>
      <c r="E528" s="16">
        <v>0</v>
      </c>
      <c r="F528" s="16" t="s">
        <v>64</v>
      </c>
      <c r="G528" s="16" t="s">
        <v>64</v>
      </c>
    </row>
    <row r="529" spans="1:7" x14ac:dyDescent="0.2">
      <c r="A529" t="s">
        <v>64</v>
      </c>
      <c r="B529" t="s">
        <v>64</v>
      </c>
      <c r="C529" s="3" t="s">
        <v>64</v>
      </c>
      <c r="D529" s="16" t="s">
        <v>64</v>
      </c>
      <c r="E529" s="16">
        <v>0</v>
      </c>
      <c r="F529" s="16" t="s">
        <v>64</v>
      </c>
      <c r="G529" s="16" t="s">
        <v>64</v>
      </c>
    </row>
    <row r="530" spans="1:7" x14ac:dyDescent="0.2">
      <c r="A530" t="s">
        <v>64</v>
      </c>
      <c r="B530" t="s">
        <v>64</v>
      </c>
      <c r="C530" s="3" t="s">
        <v>64</v>
      </c>
      <c r="D530" s="16" t="s">
        <v>64</v>
      </c>
      <c r="E530" s="16">
        <v>0</v>
      </c>
      <c r="F530" s="16" t="s">
        <v>64</v>
      </c>
      <c r="G530" s="16" t="s">
        <v>64</v>
      </c>
    </row>
    <row r="531" spans="1:7" x14ac:dyDescent="0.2">
      <c r="A531" t="s">
        <v>64</v>
      </c>
      <c r="B531" t="s">
        <v>64</v>
      </c>
      <c r="C531" s="3" t="s">
        <v>64</v>
      </c>
      <c r="D531" s="16" t="s">
        <v>64</v>
      </c>
      <c r="E531" s="16">
        <v>0</v>
      </c>
      <c r="F531" s="16" t="s">
        <v>64</v>
      </c>
      <c r="G531" s="16" t="s">
        <v>64</v>
      </c>
    </row>
    <row r="532" spans="1:7" x14ac:dyDescent="0.2">
      <c r="A532" t="s">
        <v>64</v>
      </c>
      <c r="B532" t="s">
        <v>64</v>
      </c>
      <c r="C532" s="3" t="s">
        <v>64</v>
      </c>
      <c r="D532" s="16" t="s">
        <v>64</v>
      </c>
      <c r="E532" s="16">
        <v>0</v>
      </c>
      <c r="F532" s="16" t="s">
        <v>64</v>
      </c>
      <c r="G532" s="16" t="s">
        <v>64</v>
      </c>
    </row>
    <row r="533" spans="1:7" x14ac:dyDescent="0.2">
      <c r="A533" t="s">
        <v>64</v>
      </c>
      <c r="B533" t="s">
        <v>64</v>
      </c>
      <c r="C533" s="3" t="s">
        <v>64</v>
      </c>
      <c r="D533" s="16" t="s">
        <v>64</v>
      </c>
      <c r="E533" s="16">
        <v>0</v>
      </c>
      <c r="F533" s="16" t="s">
        <v>64</v>
      </c>
      <c r="G533" s="16" t="s">
        <v>64</v>
      </c>
    </row>
    <row r="534" spans="1:7" x14ac:dyDescent="0.2">
      <c r="A534" t="s">
        <v>64</v>
      </c>
      <c r="B534" t="s">
        <v>64</v>
      </c>
      <c r="C534" s="3" t="s">
        <v>64</v>
      </c>
      <c r="D534" s="16" t="s">
        <v>64</v>
      </c>
      <c r="E534" s="16">
        <v>0</v>
      </c>
      <c r="F534" s="16" t="s">
        <v>64</v>
      </c>
      <c r="G534" s="16" t="s">
        <v>64</v>
      </c>
    </row>
    <row r="535" spans="1:7" x14ac:dyDescent="0.2">
      <c r="A535" t="s">
        <v>64</v>
      </c>
      <c r="B535" t="s">
        <v>64</v>
      </c>
      <c r="C535" s="3" t="s">
        <v>64</v>
      </c>
      <c r="D535" s="16" t="s">
        <v>64</v>
      </c>
      <c r="E535" s="16">
        <v>0</v>
      </c>
      <c r="F535" s="16" t="s">
        <v>64</v>
      </c>
      <c r="G535" s="16" t="s">
        <v>64</v>
      </c>
    </row>
    <row r="536" spans="1:7" x14ac:dyDescent="0.2">
      <c r="A536" t="s">
        <v>64</v>
      </c>
      <c r="B536" t="s">
        <v>64</v>
      </c>
      <c r="C536" s="3" t="s">
        <v>64</v>
      </c>
      <c r="D536" s="16" t="s">
        <v>64</v>
      </c>
      <c r="E536" s="16">
        <v>0</v>
      </c>
      <c r="F536" s="16" t="s">
        <v>64</v>
      </c>
      <c r="G536" s="16" t="s">
        <v>64</v>
      </c>
    </row>
    <row r="537" spans="1:7" x14ac:dyDescent="0.2">
      <c r="A537" t="s">
        <v>64</v>
      </c>
      <c r="B537" t="s">
        <v>64</v>
      </c>
      <c r="C537" s="3" t="s">
        <v>64</v>
      </c>
      <c r="D537" s="16" t="s">
        <v>64</v>
      </c>
      <c r="E537" s="16">
        <v>0</v>
      </c>
      <c r="F537" s="16" t="s">
        <v>64</v>
      </c>
      <c r="G537" s="16" t="s">
        <v>64</v>
      </c>
    </row>
    <row r="538" spans="1:7" x14ac:dyDescent="0.2">
      <c r="A538" t="s">
        <v>64</v>
      </c>
      <c r="B538" t="s">
        <v>64</v>
      </c>
      <c r="C538" s="3" t="s">
        <v>64</v>
      </c>
      <c r="D538" s="16" t="s">
        <v>64</v>
      </c>
      <c r="E538" s="16">
        <v>0</v>
      </c>
      <c r="F538" s="16" t="s">
        <v>64</v>
      </c>
      <c r="G538" s="16" t="s">
        <v>64</v>
      </c>
    </row>
    <row r="539" spans="1:7" x14ac:dyDescent="0.2">
      <c r="A539" t="s">
        <v>64</v>
      </c>
      <c r="B539" t="s">
        <v>64</v>
      </c>
      <c r="C539" s="3" t="s">
        <v>64</v>
      </c>
      <c r="D539" s="16" t="s">
        <v>64</v>
      </c>
      <c r="E539" s="16">
        <v>0</v>
      </c>
      <c r="F539" s="16" t="s">
        <v>64</v>
      </c>
      <c r="G539" s="16" t="s">
        <v>64</v>
      </c>
    </row>
    <row r="540" spans="1:7" x14ac:dyDescent="0.2">
      <c r="A540" t="s">
        <v>64</v>
      </c>
      <c r="B540" t="s">
        <v>64</v>
      </c>
      <c r="C540" s="3" t="s">
        <v>64</v>
      </c>
      <c r="D540" s="16" t="s">
        <v>64</v>
      </c>
      <c r="E540" s="16">
        <v>0</v>
      </c>
      <c r="F540" s="16" t="s">
        <v>64</v>
      </c>
      <c r="G540" s="16" t="s">
        <v>64</v>
      </c>
    </row>
    <row r="541" spans="1:7" x14ac:dyDescent="0.2">
      <c r="A541" t="s">
        <v>64</v>
      </c>
      <c r="B541" t="s">
        <v>64</v>
      </c>
      <c r="C541" s="3" t="s">
        <v>64</v>
      </c>
      <c r="D541" s="16" t="s">
        <v>64</v>
      </c>
      <c r="E541" s="16">
        <v>0</v>
      </c>
      <c r="F541" s="16" t="s">
        <v>64</v>
      </c>
      <c r="G541" s="16" t="s">
        <v>64</v>
      </c>
    </row>
    <row r="542" spans="1:7" x14ac:dyDescent="0.2">
      <c r="A542" t="s">
        <v>64</v>
      </c>
      <c r="B542" t="s">
        <v>64</v>
      </c>
      <c r="C542" s="3" t="s">
        <v>64</v>
      </c>
      <c r="D542" s="16" t="s">
        <v>64</v>
      </c>
      <c r="E542" s="16">
        <v>0</v>
      </c>
      <c r="F542" s="16" t="s">
        <v>64</v>
      </c>
      <c r="G542" s="16" t="s">
        <v>64</v>
      </c>
    </row>
    <row r="543" spans="1:7" x14ac:dyDescent="0.2">
      <c r="A543" t="s">
        <v>64</v>
      </c>
      <c r="B543" t="s">
        <v>64</v>
      </c>
      <c r="C543" s="3" t="s">
        <v>64</v>
      </c>
      <c r="D543" s="16" t="s">
        <v>64</v>
      </c>
      <c r="E543" s="16">
        <v>0</v>
      </c>
      <c r="F543" s="16" t="s">
        <v>64</v>
      </c>
      <c r="G543" s="16" t="s">
        <v>64</v>
      </c>
    </row>
    <row r="544" spans="1:7" x14ac:dyDescent="0.2">
      <c r="A544" t="s">
        <v>64</v>
      </c>
      <c r="B544" t="s">
        <v>64</v>
      </c>
      <c r="C544" s="3" t="s">
        <v>64</v>
      </c>
      <c r="D544" s="16" t="s">
        <v>64</v>
      </c>
      <c r="E544" s="16">
        <v>0</v>
      </c>
      <c r="F544" s="16" t="s">
        <v>64</v>
      </c>
      <c r="G544" s="16" t="s">
        <v>64</v>
      </c>
    </row>
    <row r="545" spans="1:7" x14ac:dyDescent="0.2">
      <c r="A545" t="s">
        <v>64</v>
      </c>
      <c r="B545" t="s">
        <v>64</v>
      </c>
      <c r="C545" s="3" t="s">
        <v>64</v>
      </c>
      <c r="D545" s="16" t="s">
        <v>64</v>
      </c>
      <c r="E545" s="16">
        <v>0</v>
      </c>
      <c r="F545" s="16" t="s">
        <v>64</v>
      </c>
      <c r="G545" s="16" t="s">
        <v>64</v>
      </c>
    </row>
    <row r="546" spans="1:7" x14ac:dyDescent="0.2">
      <c r="A546" t="s">
        <v>64</v>
      </c>
      <c r="B546" t="s">
        <v>64</v>
      </c>
      <c r="C546" s="3" t="s">
        <v>64</v>
      </c>
      <c r="D546" s="16" t="s">
        <v>64</v>
      </c>
      <c r="E546" s="16">
        <v>0</v>
      </c>
      <c r="F546" s="16" t="s">
        <v>64</v>
      </c>
      <c r="G546" s="16" t="s">
        <v>64</v>
      </c>
    </row>
    <row r="547" spans="1:7" x14ac:dyDescent="0.2">
      <c r="A547" t="s">
        <v>64</v>
      </c>
      <c r="B547" t="s">
        <v>64</v>
      </c>
      <c r="C547" s="3" t="s">
        <v>64</v>
      </c>
      <c r="D547" s="16" t="s">
        <v>64</v>
      </c>
      <c r="E547" s="16">
        <v>0</v>
      </c>
      <c r="F547" s="16" t="s">
        <v>64</v>
      </c>
      <c r="G547" s="16" t="s">
        <v>64</v>
      </c>
    </row>
    <row r="548" spans="1:7" x14ac:dyDescent="0.2">
      <c r="A548" t="s">
        <v>64</v>
      </c>
      <c r="B548" t="s">
        <v>64</v>
      </c>
      <c r="C548" s="3" t="s">
        <v>64</v>
      </c>
      <c r="D548" s="16" t="s">
        <v>64</v>
      </c>
      <c r="E548" s="16">
        <v>0</v>
      </c>
      <c r="F548" s="16" t="s">
        <v>64</v>
      </c>
      <c r="G548" s="16" t="s">
        <v>64</v>
      </c>
    </row>
    <row r="549" spans="1:7" x14ac:dyDescent="0.2">
      <c r="A549" t="s">
        <v>64</v>
      </c>
      <c r="B549" t="s">
        <v>64</v>
      </c>
      <c r="C549" s="3" t="s">
        <v>64</v>
      </c>
      <c r="D549" s="16" t="s">
        <v>64</v>
      </c>
      <c r="E549" s="16">
        <v>0</v>
      </c>
      <c r="F549" s="16" t="s">
        <v>64</v>
      </c>
      <c r="G549" s="16" t="s">
        <v>64</v>
      </c>
    </row>
    <row r="550" spans="1:7" x14ac:dyDescent="0.2">
      <c r="A550" t="s">
        <v>64</v>
      </c>
      <c r="B550" t="s">
        <v>64</v>
      </c>
      <c r="C550" s="3" t="s">
        <v>64</v>
      </c>
      <c r="D550" s="16" t="s">
        <v>64</v>
      </c>
      <c r="E550" s="16">
        <v>0</v>
      </c>
      <c r="F550" s="16" t="s">
        <v>64</v>
      </c>
      <c r="G550" s="16" t="s">
        <v>64</v>
      </c>
    </row>
    <row r="551" spans="1:7" x14ac:dyDescent="0.2">
      <c r="A551" t="s">
        <v>64</v>
      </c>
      <c r="B551" t="s">
        <v>64</v>
      </c>
      <c r="C551" s="3" t="s">
        <v>64</v>
      </c>
      <c r="D551" s="16" t="s">
        <v>64</v>
      </c>
      <c r="E551" s="16">
        <v>0</v>
      </c>
      <c r="F551" s="16" t="s">
        <v>64</v>
      </c>
      <c r="G551" s="16" t="s">
        <v>64</v>
      </c>
    </row>
    <row r="552" spans="1:7" x14ac:dyDescent="0.2">
      <c r="A552" t="s">
        <v>64</v>
      </c>
      <c r="B552" t="s">
        <v>64</v>
      </c>
      <c r="C552" s="3" t="s">
        <v>64</v>
      </c>
      <c r="D552" s="16" t="s">
        <v>64</v>
      </c>
      <c r="E552" s="16">
        <v>0</v>
      </c>
      <c r="F552" s="16" t="s">
        <v>64</v>
      </c>
      <c r="G552" s="16" t="s">
        <v>64</v>
      </c>
    </row>
    <row r="553" spans="1:7" x14ac:dyDescent="0.2">
      <c r="A553" t="s">
        <v>64</v>
      </c>
      <c r="B553" t="s">
        <v>64</v>
      </c>
      <c r="C553" s="3" t="s">
        <v>64</v>
      </c>
      <c r="D553" s="16" t="s">
        <v>64</v>
      </c>
      <c r="E553" s="16">
        <v>0</v>
      </c>
      <c r="F553" s="16" t="s">
        <v>64</v>
      </c>
      <c r="G553" s="16" t="s">
        <v>64</v>
      </c>
    </row>
    <row r="554" spans="1:7" x14ac:dyDescent="0.2">
      <c r="A554" t="s">
        <v>64</v>
      </c>
      <c r="B554" t="s">
        <v>64</v>
      </c>
      <c r="C554" s="3" t="s">
        <v>64</v>
      </c>
      <c r="D554" s="16" t="s">
        <v>64</v>
      </c>
      <c r="E554" s="16">
        <v>0</v>
      </c>
      <c r="F554" s="16" t="s">
        <v>64</v>
      </c>
      <c r="G554" s="16" t="s">
        <v>64</v>
      </c>
    </row>
    <row r="555" spans="1:7" x14ac:dyDescent="0.2">
      <c r="A555" t="s">
        <v>64</v>
      </c>
      <c r="B555" t="s">
        <v>64</v>
      </c>
      <c r="C555" s="3" t="s">
        <v>64</v>
      </c>
      <c r="D555" s="16" t="s">
        <v>64</v>
      </c>
      <c r="E555" s="16">
        <v>0</v>
      </c>
      <c r="F555" s="16" t="s">
        <v>64</v>
      </c>
      <c r="G555" s="16" t="s">
        <v>64</v>
      </c>
    </row>
    <row r="556" spans="1:7" x14ac:dyDescent="0.2">
      <c r="A556" t="s">
        <v>64</v>
      </c>
      <c r="B556" t="s">
        <v>64</v>
      </c>
      <c r="C556" s="3" t="s">
        <v>64</v>
      </c>
      <c r="D556" s="16" t="s">
        <v>64</v>
      </c>
      <c r="E556" s="16">
        <v>0</v>
      </c>
      <c r="F556" s="16" t="s">
        <v>64</v>
      </c>
      <c r="G556" s="16" t="s">
        <v>64</v>
      </c>
    </row>
    <row r="557" spans="1:7" x14ac:dyDescent="0.2">
      <c r="A557" t="s">
        <v>64</v>
      </c>
      <c r="B557" t="s">
        <v>64</v>
      </c>
      <c r="C557" s="3" t="s">
        <v>64</v>
      </c>
      <c r="D557" s="16" t="s">
        <v>64</v>
      </c>
      <c r="E557" s="16">
        <v>0</v>
      </c>
      <c r="F557" s="16" t="s">
        <v>64</v>
      </c>
      <c r="G557" s="16" t="s">
        <v>64</v>
      </c>
    </row>
    <row r="558" spans="1:7" x14ac:dyDescent="0.2">
      <c r="A558" t="s">
        <v>64</v>
      </c>
      <c r="B558" t="s">
        <v>64</v>
      </c>
      <c r="C558" s="3" t="s">
        <v>64</v>
      </c>
      <c r="D558" s="16" t="s">
        <v>64</v>
      </c>
      <c r="E558" s="16">
        <v>0</v>
      </c>
      <c r="F558" s="16" t="s">
        <v>64</v>
      </c>
      <c r="G558" s="16" t="s">
        <v>64</v>
      </c>
    </row>
    <row r="559" spans="1:7" x14ac:dyDescent="0.2">
      <c r="A559" t="s">
        <v>64</v>
      </c>
      <c r="B559" t="s">
        <v>64</v>
      </c>
      <c r="C559" s="3" t="s">
        <v>64</v>
      </c>
      <c r="D559" s="16" t="s">
        <v>64</v>
      </c>
      <c r="E559" s="16">
        <v>0</v>
      </c>
      <c r="F559" s="16" t="s">
        <v>64</v>
      </c>
      <c r="G559" s="16" t="s">
        <v>64</v>
      </c>
    </row>
    <row r="560" spans="1:7" x14ac:dyDescent="0.2">
      <c r="A560" t="s">
        <v>64</v>
      </c>
      <c r="B560" t="s">
        <v>64</v>
      </c>
      <c r="C560" s="3" t="s">
        <v>64</v>
      </c>
      <c r="D560" s="16" t="s">
        <v>64</v>
      </c>
      <c r="E560" s="16">
        <v>0</v>
      </c>
      <c r="F560" s="16" t="s">
        <v>64</v>
      </c>
      <c r="G560" s="16" t="s">
        <v>64</v>
      </c>
    </row>
    <row r="561" spans="1:7" x14ac:dyDescent="0.2">
      <c r="A561" t="s">
        <v>64</v>
      </c>
      <c r="B561" t="s">
        <v>64</v>
      </c>
      <c r="C561" s="3" t="s">
        <v>64</v>
      </c>
      <c r="D561" s="16" t="s">
        <v>64</v>
      </c>
      <c r="E561" s="16">
        <v>0</v>
      </c>
      <c r="F561" s="16" t="s">
        <v>64</v>
      </c>
      <c r="G561" s="16" t="s">
        <v>64</v>
      </c>
    </row>
    <row r="562" spans="1:7" x14ac:dyDescent="0.2">
      <c r="A562" t="s">
        <v>64</v>
      </c>
      <c r="B562" t="s">
        <v>64</v>
      </c>
      <c r="C562" s="3" t="s">
        <v>64</v>
      </c>
      <c r="D562" s="16" t="s">
        <v>64</v>
      </c>
      <c r="E562" s="16">
        <v>0</v>
      </c>
      <c r="F562" s="16" t="s">
        <v>64</v>
      </c>
      <c r="G562" s="16" t="s">
        <v>64</v>
      </c>
    </row>
    <row r="563" spans="1:7" x14ac:dyDescent="0.2">
      <c r="A563" t="s">
        <v>64</v>
      </c>
      <c r="B563" t="s">
        <v>64</v>
      </c>
      <c r="C563" s="3" t="s">
        <v>64</v>
      </c>
      <c r="D563" s="16" t="s">
        <v>64</v>
      </c>
      <c r="E563" s="16">
        <v>0</v>
      </c>
      <c r="F563" s="16" t="s">
        <v>64</v>
      </c>
      <c r="G563" s="16" t="s">
        <v>64</v>
      </c>
    </row>
    <row r="564" spans="1:7" x14ac:dyDescent="0.2">
      <c r="A564" t="s">
        <v>64</v>
      </c>
      <c r="B564" t="s">
        <v>64</v>
      </c>
      <c r="C564" s="3" t="s">
        <v>64</v>
      </c>
      <c r="D564" s="16" t="s">
        <v>64</v>
      </c>
      <c r="E564" s="16">
        <v>0</v>
      </c>
      <c r="F564" s="16" t="s">
        <v>64</v>
      </c>
      <c r="G564" s="16" t="s">
        <v>64</v>
      </c>
    </row>
    <row r="565" spans="1:7" x14ac:dyDescent="0.2">
      <c r="A565" t="s">
        <v>64</v>
      </c>
      <c r="B565" t="s">
        <v>64</v>
      </c>
      <c r="C565" s="3" t="s">
        <v>64</v>
      </c>
      <c r="D565" s="16" t="s">
        <v>64</v>
      </c>
      <c r="E565" s="16">
        <v>0</v>
      </c>
      <c r="F565" s="16" t="s">
        <v>64</v>
      </c>
      <c r="G565" s="16" t="s">
        <v>64</v>
      </c>
    </row>
    <row r="566" spans="1:7" x14ac:dyDescent="0.2">
      <c r="A566" t="s">
        <v>64</v>
      </c>
      <c r="B566" t="s">
        <v>64</v>
      </c>
      <c r="C566" s="3" t="s">
        <v>64</v>
      </c>
      <c r="D566" s="16" t="s">
        <v>64</v>
      </c>
      <c r="E566" s="16">
        <v>0</v>
      </c>
      <c r="F566" s="16" t="s">
        <v>64</v>
      </c>
      <c r="G566" s="16" t="s">
        <v>64</v>
      </c>
    </row>
    <row r="567" spans="1:7" x14ac:dyDescent="0.2">
      <c r="A567" t="s">
        <v>64</v>
      </c>
      <c r="B567" t="s">
        <v>64</v>
      </c>
      <c r="C567" s="3" t="s">
        <v>64</v>
      </c>
      <c r="D567" s="16" t="s">
        <v>64</v>
      </c>
      <c r="E567" s="16">
        <v>0</v>
      </c>
      <c r="F567" s="16" t="s">
        <v>64</v>
      </c>
      <c r="G567" s="16" t="s">
        <v>64</v>
      </c>
    </row>
    <row r="568" spans="1:7" x14ac:dyDescent="0.2">
      <c r="A568" t="s">
        <v>64</v>
      </c>
      <c r="B568" t="s">
        <v>64</v>
      </c>
      <c r="C568" s="3" t="s">
        <v>64</v>
      </c>
      <c r="D568" s="16" t="s">
        <v>64</v>
      </c>
      <c r="E568" s="16">
        <v>0</v>
      </c>
      <c r="F568" s="16" t="s">
        <v>64</v>
      </c>
      <c r="G568" s="16" t="s">
        <v>64</v>
      </c>
    </row>
    <row r="569" spans="1:7" x14ac:dyDescent="0.2">
      <c r="A569" t="s">
        <v>64</v>
      </c>
      <c r="B569" t="s">
        <v>64</v>
      </c>
      <c r="C569" s="3" t="s">
        <v>64</v>
      </c>
      <c r="D569" s="16" t="s">
        <v>64</v>
      </c>
      <c r="E569" s="16">
        <v>0</v>
      </c>
      <c r="F569" s="16" t="s">
        <v>64</v>
      </c>
      <c r="G569" s="16" t="s">
        <v>64</v>
      </c>
    </row>
    <row r="570" spans="1:7" x14ac:dyDescent="0.2">
      <c r="A570" t="s">
        <v>64</v>
      </c>
      <c r="B570" t="s">
        <v>64</v>
      </c>
      <c r="C570" s="3" t="s">
        <v>64</v>
      </c>
      <c r="D570" s="16" t="s">
        <v>64</v>
      </c>
      <c r="E570" s="16">
        <v>0</v>
      </c>
      <c r="F570" s="16" t="s">
        <v>64</v>
      </c>
      <c r="G570" s="16" t="s">
        <v>64</v>
      </c>
    </row>
    <row r="571" spans="1:7" x14ac:dyDescent="0.2">
      <c r="A571" t="s">
        <v>64</v>
      </c>
      <c r="B571" t="s">
        <v>64</v>
      </c>
      <c r="C571" s="3" t="s">
        <v>64</v>
      </c>
      <c r="D571" s="16" t="s">
        <v>64</v>
      </c>
      <c r="E571" s="16">
        <v>0</v>
      </c>
      <c r="F571" s="16" t="s">
        <v>64</v>
      </c>
      <c r="G571" s="16" t="s">
        <v>64</v>
      </c>
    </row>
    <row r="572" spans="1:7" x14ac:dyDescent="0.2">
      <c r="A572" t="s">
        <v>64</v>
      </c>
      <c r="B572" t="s">
        <v>64</v>
      </c>
      <c r="C572" s="3" t="s">
        <v>64</v>
      </c>
      <c r="D572" s="16" t="s">
        <v>64</v>
      </c>
      <c r="E572" s="16">
        <v>0</v>
      </c>
      <c r="F572" s="16" t="s">
        <v>64</v>
      </c>
      <c r="G572" s="16" t="s">
        <v>64</v>
      </c>
    </row>
    <row r="573" spans="1:7" x14ac:dyDescent="0.2">
      <c r="A573" t="s">
        <v>64</v>
      </c>
      <c r="B573" t="s">
        <v>64</v>
      </c>
      <c r="C573" s="3" t="s">
        <v>64</v>
      </c>
      <c r="D573" s="16" t="s">
        <v>64</v>
      </c>
      <c r="E573" s="16">
        <v>0</v>
      </c>
      <c r="F573" s="16" t="s">
        <v>64</v>
      </c>
      <c r="G573" s="16" t="s">
        <v>64</v>
      </c>
    </row>
    <row r="574" spans="1:7" x14ac:dyDescent="0.2">
      <c r="A574" t="s">
        <v>64</v>
      </c>
      <c r="B574" t="s">
        <v>64</v>
      </c>
      <c r="C574" s="3" t="s">
        <v>64</v>
      </c>
      <c r="D574" s="16" t="s">
        <v>64</v>
      </c>
      <c r="E574" s="16">
        <v>0</v>
      </c>
      <c r="F574" s="16" t="s">
        <v>64</v>
      </c>
      <c r="G574" s="16" t="s">
        <v>64</v>
      </c>
    </row>
    <row r="575" spans="1:7" x14ac:dyDescent="0.2">
      <c r="A575" t="s">
        <v>64</v>
      </c>
      <c r="B575" t="s">
        <v>64</v>
      </c>
      <c r="C575" s="3" t="s">
        <v>64</v>
      </c>
      <c r="D575" s="16" t="s">
        <v>64</v>
      </c>
      <c r="E575" s="16">
        <v>0</v>
      </c>
      <c r="F575" s="16" t="s">
        <v>64</v>
      </c>
      <c r="G575" s="16" t="s">
        <v>64</v>
      </c>
    </row>
    <row r="576" spans="1:7" x14ac:dyDescent="0.2">
      <c r="A576" t="s">
        <v>64</v>
      </c>
      <c r="B576" t="s">
        <v>64</v>
      </c>
      <c r="C576" s="3" t="s">
        <v>64</v>
      </c>
      <c r="D576" s="16" t="s">
        <v>64</v>
      </c>
      <c r="E576" s="16">
        <v>0</v>
      </c>
      <c r="F576" s="16" t="s">
        <v>64</v>
      </c>
      <c r="G576" s="16" t="s">
        <v>64</v>
      </c>
    </row>
    <row r="577" spans="1:7" x14ac:dyDescent="0.2">
      <c r="A577" t="s">
        <v>64</v>
      </c>
      <c r="B577" t="s">
        <v>64</v>
      </c>
      <c r="C577" s="3" t="s">
        <v>64</v>
      </c>
      <c r="D577" s="16" t="s">
        <v>64</v>
      </c>
      <c r="E577" s="16">
        <v>0</v>
      </c>
      <c r="F577" s="16" t="s">
        <v>64</v>
      </c>
      <c r="G577" s="16" t="s">
        <v>64</v>
      </c>
    </row>
    <row r="578" spans="1:7" x14ac:dyDescent="0.2">
      <c r="A578" t="s">
        <v>64</v>
      </c>
      <c r="B578" t="s">
        <v>64</v>
      </c>
      <c r="C578" s="3" t="s">
        <v>64</v>
      </c>
      <c r="D578" s="16" t="s">
        <v>64</v>
      </c>
      <c r="E578" s="16">
        <v>0</v>
      </c>
      <c r="F578" s="16" t="s">
        <v>64</v>
      </c>
      <c r="G578" s="16" t="s">
        <v>64</v>
      </c>
    </row>
    <row r="579" spans="1:7" x14ac:dyDescent="0.2">
      <c r="A579" t="s">
        <v>64</v>
      </c>
      <c r="B579" t="s">
        <v>64</v>
      </c>
      <c r="C579" s="3" t="s">
        <v>64</v>
      </c>
      <c r="D579" s="16" t="s">
        <v>64</v>
      </c>
      <c r="E579" s="16">
        <v>0</v>
      </c>
      <c r="F579" s="16" t="s">
        <v>64</v>
      </c>
      <c r="G579" s="16" t="s">
        <v>64</v>
      </c>
    </row>
    <row r="580" spans="1:7" x14ac:dyDescent="0.2">
      <c r="A580" t="s">
        <v>64</v>
      </c>
      <c r="B580" t="s">
        <v>64</v>
      </c>
      <c r="C580" s="3" t="s">
        <v>64</v>
      </c>
      <c r="D580" s="16" t="s">
        <v>64</v>
      </c>
      <c r="E580" s="16">
        <v>0</v>
      </c>
      <c r="F580" s="16" t="s">
        <v>64</v>
      </c>
      <c r="G580" s="16" t="s">
        <v>64</v>
      </c>
    </row>
    <row r="581" spans="1:7" x14ac:dyDescent="0.2">
      <c r="A581" t="s">
        <v>64</v>
      </c>
      <c r="B581" t="s">
        <v>64</v>
      </c>
      <c r="C581" s="3" t="s">
        <v>64</v>
      </c>
      <c r="D581" s="16" t="s">
        <v>64</v>
      </c>
      <c r="E581" s="16">
        <v>0</v>
      </c>
      <c r="F581" s="16" t="s">
        <v>64</v>
      </c>
      <c r="G581" s="16" t="s">
        <v>64</v>
      </c>
    </row>
    <row r="582" spans="1:7" x14ac:dyDescent="0.2">
      <c r="A582" t="s">
        <v>64</v>
      </c>
      <c r="B582" t="s">
        <v>64</v>
      </c>
      <c r="C582" s="3" t="s">
        <v>64</v>
      </c>
      <c r="D582" s="16" t="s">
        <v>64</v>
      </c>
      <c r="E582" s="16">
        <v>0</v>
      </c>
      <c r="F582" s="16" t="s">
        <v>64</v>
      </c>
      <c r="G582" s="16" t="s">
        <v>64</v>
      </c>
    </row>
    <row r="583" spans="1:7" x14ac:dyDescent="0.2">
      <c r="A583" t="s">
        <v>64</v>
      </c>
      <c r="B583" t="s">
        <v>64</v>
      </c>
      <c r="C583" s="3" t="s">
        <v>64</v>
      </c>
      <c r="D583" s="16" t="s">
        <v>64</v>
      </c>
      <c r="E583" s="16">
        <v>0</v>
      </c>
      <c r="F583" s="16" t="s">
        <v>64</v>
      </c>
      <c r="G583" s="16" t="s">
        <v>64</v>
      </c>
    </row>
    <row r="584" spans="1:7" x14ac:dyDescent="0.2">
      <c r="A584" t="s">
        <v>64</v>
      </c>
      <c r="B584" t="s">
        <v>64</v>
      </c>
      <c r="C584" s="3" t="s">
        <v>64</v>
      </c>
      <c r="D584" s="16" t="s">
        <v>64</v>
      </c>
      <c r="E584" s="16">
        <v>0</v>
      </c>
      <c r="F584" s="16" t="s">
        <v>64</v>
      </c>
      <c r="G584" s="16" t="s">
        <v>64</v>
      </c>
    </row>
    <row r="585" spans="1:7" x14ac:dyDescent="0.2">
      <c r="A585" t="s">
        <v>64</v>
      </c>
      <c r="B585" t="s">
        <v>64</v>
      </c>
      <c r="C585" s="3" t="s">
        <v>64</v>
      </c>
      <c r="D585" s="16" t="s">
        <v>64</v>
      </c>
      <c r="E585" s="16">
        <v>0</v>
      </c>
      <c r="F585" s="16" t="s">
        <v>64</v>
      </c>
      <c r="G585" s="16" t="s">
        <v>64</v>
      </c>
    </row>
    <row r="586" spans="1:7" x14ac:dyDescent="0.2">
      <c r="A586" t="s">
        <v>64</v>
      </c>
      <c r="B586" t="s">
        <v>64</v>
      </c>
      <c r="C586" s="3" t="s">
        <v>64</v>
      </c>
      <c r="D586" s="16" t="s">
        <v>64</v>
      </c>
      <c r="E586" s="16">
        <v>0</v>
      </c>
      <c r="F586" s="16" t="s">
        <v>64</v>
      </c>
      <c r="G586" s="16" t="s">
        <v>64</v>
      </c>
    </row>
    <row r="587" spans="1:7" x14ac:dyDescent="0.2">
      <c r="A587" t="s">
        <v>64</v>
      </c>
      <c r="B587" t="s">
        <v>64</v>
      </c>
      <c r="C587" s="3" t="s">
        <v>64</v>
      </c>
      <c r="D587" s="16" t="s">
        <v>64</v>
      </c>
      <c r="E587" s="16">
        <v>0</v>
      </c>
      <c r="F587" s="16" t="s">
        <v>64</v>
      </c>
      <c r="G587" s="16" t="s">
        <v>64</v>
      </c>
    </row>
    <row r="588" spans="1:7" x14ac:dyDescent="0.2">
      <c r="A588" t="s">
        <v>64</v>
      </c>
      <c r="B588" t="s">
        <v>64</v>
      </c>
      <c r="C588" s="3" t="s">
        <v>64</v>
      </c>
      <c r="D588" s="16" t="s">
        <v>64</v>
      </c>
      <c r="E588" s="16">
        <v>0</v>
      </c>
      <c r="F588" s="16" t="s">
        <v>64</v>
      </c>
      <c r="G588" s="16" t="s">
        <v>64</v>
      </c>
    </row>
    <row r="589" spans="1:7" x14ac:dyDescent="0.2">
      <c r="A589" t="s">
        <v>64</v>
      </c>
      <c r="B589" t="s">
        <v>64</v>
      </c>
      <c r="C589" s="3" t="s">
        <v>64</v>
      </c>
      <c r="D589" s="16" t="s">
        <v>64</v>
      </c>
      <c r="E589" s="16">
        <v>0</v>
      </c>
      <c r="F589" s="16" t="s">
        <v>64</v>
      </c>
      <c r="G589" s="16" t="s">
        <v>64</v>
      </c>
    </row>
    <row r="590" spans="1:7" x14ac:dyDescent="0.2">
      <c r="A590" t="s">
        <v>64</v>
      </c>
      <c r="B590" t="s">
        <v>64</v>
      </c>
      <c r="C590" s="3" t="s">
        <v>64</v>
      </c>
      <c r="D590" s="16" t="s">
        <v>64</v>
      </c>
      <c r="E590" s="16">
        <v>0</v>
      </c>
      <c r="F590" s="16" t="s">
        <v>64</v>
      </c>
      <c r="G590" s="16" t="s">
        <v>64</v>
      </c>
    </row>
    <row r="591" spans="1:7" x14ac:dyDescent="0.2">
      <c r="A591" t="s">
        <v>64</v>
      </c>
      <c r="B591" t="s">
        <v>64</v>
      </c>
      <c r="C591" s="3" t="s">
        <v>64</v>
      </c>
      <c r="D591" s="16" t="s">
        <v>64</v>
      </c>
      <c r="E591" s="16">
        <v>0</v>
      </c>
      <c r="F591" s="16" t="s">
        <v>64</v>
      </c>
      <c r="G591" s="16" t="s">
        <v>64</v>
      </c>
    </row>
    <row r="592" spans="1:7" x14ac:dyDescent="0.2">
      <c r="A592" t="s">
        <v>64</v>
      </c>
      <c r="B592" t="s">
        <v>64</v>
      </c>
      <c r="C592" s="3" t="s">
        <v>64</v>
      </c>
      <c r="D592" s="16" t="s">
        <v>64</v>
      </c>
      <c r="E592" s="16">
        <v>0</v>
      </c>
      <c r="F592" s="16" t="s">
        <v>64</v>
      </c>
      <c r="G592" s="16" t="s">
        <v>64</v>
      </c>
    </row>
    <row r="593" spans="1:7" x14ac:dyDescent="0.2">
      <c r="A593" t="s">
        <v>64</v>
      </c>
      <c r="B593" t="s">
        <v>64</v>
      </c>
      <c r="C593" s="3" t="s">
        <v>64</v>
      </c>
      <c r="D593" s="16" t="s">
        <v>64</v>
      </c>
      <c r="E593" s="16">
        <v>0</v>
      </c>
      <c r="F593" s="16" t="s">
        <v>64</v>
      </c>
      <c r="G593" s="16" t="s">
        <v>64</v>
      </c>
    </row>
    <row r="594" spans="1:7" x14ac:dyDescent="0.2">
      <c r="A594" t="s">
        <v>64</v>
      </c>
      <c r="B594" t="s">
        <v>64</v>
      </c>
      <c r="C594" s="3" t="s">
        <v>64</v>
      </c>
      <c r="D594" s="16" t="s">
        <v>64</v>
      </c>
      <c r="E594" s="16">
        <v>0</v>
      </c>
      <c r="F594" s="16" t="s">
        <v>64</v>
      </c>
      <c r="G594" s="16" t="s">
        <v>64</v>
      </c>
    </row>
    <row r="595" spans="1:7" x14ac:dyDescent="0.2">
      <c r="A595" t="s">
        <v>64</v>
      </c>
      <c r="B595" t="s">
        <v>64</v>
      </c>
      <c r="C595" s="3" t="s">
        <v>64</v>
      </c>
      <c r="D595" s="16" t="s">
        <v>64</v>
      </c>
      <c r="E595" s="16">
        <v>0</v>
      </c>
      <c r="F595" s="16" t="s">
        <v>64</v>
      </c>
      <c r="G595" s="16" t="s">
        <v>64</v>
      </c>
    </row>
    <row r="596" spans="1:7" x14ac:dyDescent="0.2">
      <c r="A596" t="s">
        <v>64</v>
      </c>
      <c r="B596" t="s">
        <v>64</v>
      </c>
      <c r="C596" s="3" t="s">
        <v>64</v>
      </c>
      <c r="D596" s="16" t="s">
        <v>64</v>
      </c>
      <c r="E596" s="16">
        <v>0</v>
      </c>
      <c r="F596" s="16" t="s">
        <v>64</v>
      </c>
      <c r="G596" s="16" t="s">
        <v>64</v>
      </c>
    </row>
    <row r="597" spans="1:7" x14ac:dyDescent="0.2">
      <c r="A597" t="s">
        <v>64</v>
      </c>
      <c r="B597" t="s">
        <v>64</v>
      </c>
      <c r="C597" s="3" t="s">
        <v>64</v>
      </c>
      <c r="D597" s="16" t="s">
        <v>64</v>
      </c>
      <c r="E597" s="16">
        <v>0</v>
      </c>
      <c r="F597" s="16" t="s">
        <v>64</v>
      </c>
      <c r="G597" s="16" t="s">
        <v>64</v>
      </c>
    </row>
    <row r="598" spans="1:7" x14ac:dyDescent="0.2">
      <c r="A598" t="s">
        <v>64</v>
      </c>
      <c r="B598" t="s">
        <v>64</v>
      </c>
      <c r="C598" s="3" t="s">
        <v>64</v>
      </c>
      <c r="D598" s="16" t="s">
        <v>64</v>
      </c>
      <c r="E598" s="16">
        <v>0</v>
      </c>
      <c r="F598" s="16" t="s">
        <v>64</v>
      </c>
      <c r="G598" s="16" t="s">
        <v>64</v>
      </c>
    </row>
    <row r="599" spans="1:7" x14ac:dyDescent="0.2">
      <c r="A599" t="s">
        <v>64</v>
      </c>
      <c r="B599" t="s">
        <v>64</v>
      </c>
      <c r="C599" s="3" t="s">
        <v>64</v>
      </c>
      <c r="D599" s="16" t="s">
        <v>64</v>
      </c>
      <c r="E599" s="16">
        <v>0</v>
      </c>
      <c r="F599" s="16" t="s">
        <v>64</v>
      </c>
      <c r="G599" s="16" t="s">
        <v>64</v>
      </c>
    </row>
    <row r="600" spans="1:7" x14ac:dyDescent="0.2">
      <c r="A600" t="s">
        <v>64</v>
      </c>
      <c r="B600" t="s">
        <v>64</v>
      </c>
      <c r="C600" s="3" t="s">
        <v>64</v>
      </c>
      <c r="D600" s="16" t="s">
        <v>64</v>
      </c>
      <c r="E600" s="16">
        <v>0</v>
      </c>
      <c r="F600" s="16" t="s">
        <v>64</v>
      </c>
      <c r="G600" s="16" t="s">
        <v>64</v>
      </c>
    </row>
    <row r="601" spans="1:7" x14ac:dyDescent="0.2">
      <c r="A601" t="s">
        <v>64</v>
      </c>
      <c r="B601" t="s">
        <v>64</v>
      </c>
      <c r="C601" s="3" t="s">
        <v>64</v>
      </c>
      <c r="D601" s="16" t="s">
        <v>64</v>
      </c>
      <c r="E601" s="16">
        <v>0</v>
      </c>
      <c r="F601" s="16" t="s">
        <v>64</v>
      </c>
      <c r="G601" s="16" t="s">
        <v>64</v>
      </c>
    </row>
    <row r="602" spans="1:7" x14ac:dyDescent="0.2">
      <c r="A602" t="s">
        <v>64</v>
      </c>
      <c r="B602" t="s">
        <v>64</v>
      </c>
      <c r="C602" s="3" t="s">
        <v>64</v>
      </c>
      <c r="D602" s="16" t="s">
        <v>64</v>
      </c>
      <c r="E602" s="16">
        <v>0</v>
      </c>
      <c r="F602" s="16" t="s">
        <v>64</v>
      </c>
      <c r="G602" s="16" t="s">
        <v>64</v>
      </c>
    </row>
    <row r="603" spans="1:7" x14ac:dyDescent="0.2">
      <c r="A603" t="s">
        <v>64</v>
      </c>
      <c r="B603" t="s">
        <v>64</v>
      </c>
      <c r="C603" s="3" t="s">
        <v>64</v>
      </c>
      <c r="D603" s="16" t="s">
        <v>64</v>
      </c>
      <c r="E603" s="16">
        <v>0</v>
      </c>
      <c r="F603" s="16" t="s">
        <v>64</v>
      </c>
      <c r="G603" s="16" t="s">
        <v>64</v>
      </c>
    </row>
    <row r="604" spans="1:7" x14ac:dyDescent="0.2">
      <c r="A604" t="s">
        <v>64</v>
      </c>
      <c r="B604" t="s">
        <v>64</v>
      </c>
      <c r="C604" s="3" t="s">
        <v>64</v>
      </c>
      <c r="D604" s="16" t="s">
        <v>64</v>
      </c>
      <c r="E604" s="16">
        <v>0</v>
      </c>
      <c r="F604" s="16" t="s">
        <v>64</v>
      </c>
      <c r="G604" s="16" t="s">
        <v>64</v>
      </c>
    </row>
    <row r="605" spans="1:7" x14ac:dyDescent="0.2">
      <c r="A605" t="s">
        <v>64</v>
      </c>
      <c r="B605" t="s">
        <v>64</v>
      </c>
      <c r="C605" s="3" t="s">
        <v>64</v>
      </c>
      <c r="D605" s="16" t="s">
        <v>64</v>
      </c>
      <c r="E605" s="16">
        <v>0</v>
      </c>
      <c r="F605" s="16" t="s">
        <v>64</v>
      </c>
      <c r="G605" s="16" t="s">
        <v>64</v>
      </c>
    </row>
    <row r="606" spans="1:7" x14ac:dyDescent="0.2">
      <c r="A606" t="s">
        <v>64</v>
      </c>
      <c r="B606" t="s">
        <v>64</v>
      </c>
      <c r="C606" s="3" t="s">
        <v>64</v>
      </c>
      <c r="D606" s="16" t="s">
        <v>64</v>
      </c>
      <c r="E606" s="16">
        <v>0</v>
      </c>
      <c r="F606" s="16" t="s">
        <v>64</v>
      </c>
      <c r="G606" s="16" t="s">
        <v>64</v>
      </c>
    </row>
    <row r="607" spans="1:7" x14ac:dyDescent="0.2">
      <c r="A607" t="s">
        <v>64</v>
      </c>
      <c r="B607" t="s">
        <v>64</v>
      </c>
      <c r="C607" s="3" t="s">
        <v>64</v>
      </c>
      <c r="D607" s="16" t="s">
        <v>64</v>
      </c>
      <c r="E607" s="16">
        <v>0</v>
      </c>
      <c r="F607" s="16" t="s">
        <v>64</v>
      </c>
      <c r="G607" s="16" t="s">
        <v>64</v>
      </c>
    </row>
    <row r="608" spans="1:7" x14ac:dyDescent="0.2">
      <c r="A608" t="s">
        <v>64</v>
      </c>
      <c r="B608" t="s">
        <v>64</v>
      </c>
      <c r="C608" s="3" t="s">
        <v>64</v>
      </c>
      <c r="D608" s="16" t="s">
        <v>64</v>
      </c>
      <c r="E608" s="16">
        <v>0</v>
      </c>
      <c r="F608" s="16" t="s">
        <v>64</v>
      </c>
      <c r="G608" s="16" t="s">
        <v>64</v>
      </c>
    </row>
    <row r="609" spans="1:7" x14ac:dyDescent="0.2">
      <c r="A609" t="s">
        <v>64</v>
      </c>
      <c r="B609" t="s">
        <v>64</v>
      </c>
      <c r="C609" s="3" t="s">
        <v>64</v>
      </c>
      <c r="D609" s="16" t="s">
        <v>64</v>
      </c>
      <c r="E609" s="16">
        <v>0</v>
      </c>
      <c r="F609" s="16" t="s">
        <v>64</v>
      </c>
      <c r="G609" s="16" t="s">
        <v>64</v>
      </c>
    </row>
    <row r="610" spans="1:7" x14ac:dyDescent="0.2">
      <c r="A610" t="s">
        <v>64</v>
      </c>
      <c r="B610" t="s">
        <v>64</v>
      </c>
      <c r="C610" s="3" t="s">
        <v>64</v>
      </c>
      <c r="D610" s="16" t="s">
        <v>64</v>
      </c>
      <c r="E610" s="16">
        <v>0</v>
      </c>
      <c r="F610" s="16" t="s">
        <v>64</v>
      </c>
      <c r="G610" s="16" t="s">
        <v>64</v>
      </c>
    </row>
    <row r="611" spans="1:7" x14ac:dyDescent="0.2">
      <c r="A611" t="s">
        <v>64</v>
      </c>
      <c r="B611" t="s">
        <v>64</v>
      </c>
      <c r="C611" s="3" t="s">
        <v>64</v>
      </c>
      <c r="D611" s="16" t="s">
        <v>64</v>
      </c>
      <c r="E611" s="16">
        <v>0</v>
      </c>
      <c r="F611" s="16" t="s">
        <v>64</v>
      </c>
      <c r="G611" s="16" t="s">
        <v>64</v>
      </c>
    </row>
    <row r="612" spans="1:7" x14ac:dyDescent="0.2">
      <c r="A612" t="s">
        <v>64</v>
      </c>
      <c r="B612" t="s">
        <v>64</v>
      </c>
      <c r="C612" s="3" t="s">
        <v>64</v>
      </c>
      <c r="D612" s="16" t="s">
        <v>64</v>
      </c>
      <c r="E612" s="16">
        <v>0</v>
      </c>
      <c r="F612" s="16" t="s">
        <v>64</v>
      </c>
      <c r="G612" s="16" t="s">
        <v>64</v>
      </c>
    </row>
    <row r="613" spans="1:7" x14ac:dyDescent="0.2">
      <c r="A613" t="s">
        <v>64</v>
      </c>
      <c r="B613" t="s">
        <v>64</v>
      </c>
      <c r="C613" s="3" t="s">
        <v>64</v>
      </c>
      <c r="D613" s="16" t="s">
        <v>64</v>
      </c>
      <c r="E613" s="16">
        <v>0</v>
      </c>
      <c r="F613" s="16" t="s">
        <v>64</v>
      </c>
      <c r="G613" s="16" t="s">
        <v>64</v>
      </c>
    </row>
    <row r="614" spans="1:7" x14ac:dyDescent="0.2">
      <c r="A614" t="s">
        <v>64</v>
      </c>
      <c r="B614" t="s">
        <v>64</v>
      </c>
      <c r="C614" s="3" t="s">
        <v>64</v>
      </c>
      <c r="D614" s="16" t="s">
        <v>64</v>
      </c>
      <c r="E614" s="16">
        <v>0</v>
      </c>
      <c r="F614" s="16" t="s">
        <v>64</v>
      </c>
      <c r="G614" s="16" t="s">
        <v>64</v>
      </c>
    </row>
    <row r="615" spans="1:7" x14ac:dyDescent="0.2">
      <c r="A615" t="s">
        <v>64</v>
      </c>
      <c r="B615" t="s">
        <v>64</v>
      </c>
      <c r="C615" s="3" t="s">
        <v>64</v>
      </c>
      <c r="D615" s="16" t="s">
        <v>64</v>
      </c>
      <c r="E615" s="16">
        <v>0</v>
      </c>
      <c r="F615" s="16" t="s">
        <v>64</v>
      </c>
      <c r="G615" s="16" t="s">
        <v>64</v>
      </c>
    </row>
    <row r="616" spans="1:7" x14ac:dyDescent="0.2">
      <c r="A616" t="s">
        <v>64</v>
      </c>
      <c r="B616" t="s">
        <v>64</v>
      </c>
      <c r="C616" s="3" t="s">
        <v>64</v>
      </c>
      <c r="D616" s="16" t="s">
        <v>64</v>
      </c>
      <c r="E616" s="16">
        <v>0</v>
      </c>
      <c r="F616" s="16" t="s">
        <v>64</v>
      </c>
      <c r="G616" s="16" t="s">
        <v>64</v>
      </c>
    </row>
    <row r="617" spans="1:7" x14ac:dyDescent="0.2">
      <c r="A617" t="s">
        <v>64</v>
      </c>
      <c r="B617" t="s">
        <v>64</v>
      </c>
      <c r="C617" s="3" t="s">
        <v>64</v>
      </c>
      <c r="D617" s="16" t="s">
        <v>64</v>
      </c>
      <c r="E617" s="16">
        <v>0</v>
      </c>
      <c r="F617" s="16" t="s">
        <v>64</v>
      </c>
      <c r="G617" s="16" t="s">
        <v>64</v>
      </c>
    </row>
    <row r="618" spans="1:7" x14ac:dyDescent="0.2">
      <c r="A618" t="s">
        <v>64</v>
      </c>
      <c r="B618" t="s">
        <v>64</v>
      </c>
      <c r="C618" s="3" t="s">
        <v>64</v>
      </c>
      <c r="D618" s="16" t="s">
        <v>64</v>
      </c>
      <c r="E618" s="16">
        <v>0</v>
      </c>
      <c r="F618" s="16" t="s">
        <v>64</v>
      </c>
      <c r="G618" s="16" t="s">
        <v>64</v>
      </c>
    </row>
    <row r="619" spans="1:7" x14ac:dyDescent="0.2">
      <c r="A619" t="s">
        <v>64</v>
      </c>
      <c r="B619" t="s">
        <v>64</v>
      </c>
      <c r="C619" s="3" t="s">
        <v>64</v>
      </c>
      <c r="D619" s="16" t="s">
        <v>64</v>
      </c>
      <c r="E619" s="16">
        <v>0</v>
      </c>
      <c r="F619" s="16" t="s">
        <v>64</v>
      </c>
      <c r="G619" s="16" t="s">
        <v>64</v>
      </c>
    </row>
    <row r="620" spans="1:7" x14ac:dyDescent="0.2">
      <c r="A620" t="s">
        <v>64</v>
      </c>
      <c r="B620" t="s">
        <v>64</v>
      </c>
      <c r="C620" s="3" t="s">
        <v>64</v>
      </c>
      <c r="D620" s="16" t="s">
        <v>64</v>
      </c>
      <c r="E620" s="16">
        <v>0</v>
      </c>
      <c r="F620" s="16" t="s">
        <v>64</v>
      </c>
      <c r="G620" s="16" t="s">
        <v>64</v>
      </c>
    </row>
    <row r="621" spans="1:7" x14ac:dyDescent="0.2">
      <c r="A621" t="s">
        <v>64</v>
      </c>
      <c r="B621" t="s">
        <v>64</v>
      </c>
      <c r="C621" s="3" t="s">
        <v>64</v>
      </c>
      <c r="D621" s="16" t="s">
        <v>64</v>
      </c>
      <c r="E621" s="16">
        <v>0</v>
      </c>
      <c r="F621" s="16" t="s">
        <v>64</v>
      </c>
      <c r="G621" s="16" t="s">
        <v>64</v>
      </c>
    </row>
    <row r="622" spans="1:7" x14ac:dyDescent="0.2">
      <c r="A622" t="s">
        <v>64</v>
      </c>
      <c r="B622" t="s">
        <v>64</v>
      </c>
      <c r="C622" s="3" t="s">
        <v>64</v>
      </c>
      <c r="D622" s="16" t="s">
        <v>64</v>
      </c>
      <c r="E622" s="16">
        <v>0</v>
      </c>
      <c r="F622" s="16" t="s">
        <v>64</v>
      </c>
      <c r="G622" s="16" t="s">
        <v>64</v>
      </c>
    </row>
    <row r="623" spans="1:7" x14ac:dyDescent="0.2">
      <c r="A623" t="s">
        <v>64</v>
      </c>
      <c r="B623" t="s">
        <v>64</v>
      </c>
      <c r="C623" s="3" t="s">
        <v>64</v>
      </c>
      <c r="D623" s="16" t="s">
        <v>64</v>
      </c>
      <c r="E623" s="16">
        <v>0</v>
      </c>
      <c r="F623" s="16" t="s">
        <v>64</v>
      </c>
      <c r="G623" s="16" t="s">
        <v>64</v>
      </c>
    </row>
    <row r="624" spans="1:7" x14ac:dyDescent="0.2">
      <c r="A624" t="s">
        <v>64</v>
      </c>
      <c r="B624" t="s">
        <v>64</v>
      </c>
      <c r="C624" s="3" t="s">
        <v>64</v>
      </c>
      <c r="D624" s="16" t="s">
        <v>64</v>
      </c>
      <c r="E624" s="16">
        <v>0</v>
      </c>
      <c r="F624" s="16" t="s">
        <v>64</v>
      </c>
      <c r="G624" s="16" t="s">
        <v>64</v>
      </c>
    </row>
    <row r="625" spans="1:7" x14ac:dyDescent="0.2">
      <c r="A625" t="s">
        <v>64</v>
      </c>
      <c r="B625" t="s">
        <v>64</v>
      </c>
      <c r="C625" s="3" t="s">
        <v>64</v>
      </c>
      <c r="D625" s="16" t="s">
        <v>64</v>
      </c>
      <c r="E625" s="16">
        <v>0</v>
      </c>
      <c r="F625" s="16" t="s">
        <v>64</v>
      </c>
      <c r="G625" s="16" t="s">
        <v>64</v>
      </c>
    </row>
    <row r="626" spans="1:7" x14ac:dyDescent="0.2">
      <c r="A626" t="s">
        <v>64</v>
      </c>
      <c r="B626" t="s">
        <v>64</v>
      </c>
      <c r="C626" s="3" t="s">
        <v>64</v>
      </c>
      <c r="D626" s="16" t="s">
        <v>64</v>
      </c>
      <c r="E626" s="16">
        <v>0</v>
      </c>
      <c r="F626" s="16" t="s">
        <v>64</v>
      </c>
      <c r="G626" s="16" t="s">
        <v>64</v>
      </c>
    </row>
    <row r="627" spans="1:7" x14ac:dyDescent="0.2">
      <c r="A627" t="s">
        <v>64</v>
      </c>
      <c r="B627" t="s">
        <v>64</v>
      </c>
      <c r="C627" s="3" t="s">
        <v>64</v>
      </c>
      <c r="D627" s="16" t="s">
        <v>64</v>
      </c>
      <c r="E627" s="16">
        <v>0</v>
      </c>
      <c r="F627" s="16" t="s">
        <v>64</v>
      </c>
      <c r="G627" s="16" t="s">
        <v>64</v>
      </c>
    </row>
    <row r="628" spans="1:7" x14ac:dyDescent="0.2">
      <c r="A628" t="s">
        <v>64</v>
      </c>
      <c r="B628" t="s">
        <v>64</v>
      </c>
      <c r="C628" s="3" t="s">
        <v>64</v>
      </c>
      <c r="D628" s="16" t="s">
        <v>64</v>
      </c>
      <c r="E628" s="16">
        <v>0</v>
      </c>
      <c r="F628" s="16" t="s">
        <v>64</v>
      </c>
      <c r="G628" s="16" t="s">
        <v>64</v>
      </c>
    </row>
    <row r="629" spans="1:7" x14ac:dyDescent="0.2">
      <c r="A629" t="s">
        <v>64</v>
      </c>
      <c r="B629" t="s">
        <v>64</v>
      </c>
      <c r="C629" s="3" t="s">
        <v>64</v>
      </c>
      <c r="D629" s="16" t="s">
        <v>64</v>
      </c>
      <c r="E629" s="16">
        <v>0</v>
      </c>
      <c r="F629" s="16" t="s">
        <v>64</v>
      </c>
      <c r="G629" s="16" t="s">
        <v>64</v>
      </c>
    </row>
    <row r="630" spans="1:7" x14ac:dyDescent="0.2">
      <c r="A630" t="s">
        <v>64</v>
      </c>
      <c r="B630" t="s">
        <v>64</v>
      </c>
      <c r="C630" s="3" t="s">
        <v>64</v>
      </c>
      <c r="D630" s="16" t="s">
        <v>64</v>
      </c>
      <c r="E630" s="16">
        <v>0</v>
      </c>
      <c r="F630" s="16" t="s">
        <v>64</v>
      </c>
      <c r="G630" s="16" t="s">
        <v>64</v>
      </c>
    </row>
    <row r="631" spans="1:7" x14ac:dyDescent="0.2">
      <c r="A631" t="s">
        <v>64</v>
      </c>
      <c r="B631" t="s">
        <v>64</v>
      </c>
      <c r="C631" s="3" t="s">
        <v>64</v>
      </c>
      <c r="D631" s="16" t="s">
        <v>64</v>
      </c>
      <c r="E631" s="16">
        <v>0</v>
      </c>
      <c r="F631" s="16" t="s">
        <v>64</v>
      </c>
      <c r="G631" s="16" t="s">
        <v>64</v>
      </c>
    </row>
    <row r="632" spans="1:7" x14ac:dyDescent="0.2">
      <c r="A632" t="s">
        <v>64</v>
      </c>
      <c r="B632" t="s">
        <v>64</v>
      </c>
      <c r="C632" s="3" t="s">
        <v>64</v>
      </c>
      <c r="D632" s="16" t="s">
        <v>64</v>
      </c>
      <c r="E632" s="16">
        <v>0</v>
      </c>
      <c r="F632" s="16" t="s">
        <v>64</v>
      </c>
      <c r="G632" s="16" t="s">
        <v>64</v>
      </c>
    </row>
    <row r="633" spans="1:7" x14ac:dyDescent="0.2">
      <c r="A633" t="s">
        <v>64</v>
      </c>
      <c r="B633" t="s">
        <v>64</v>
      </c>
      <c r="C633" s="3" t="s">
        <v>64</v>
      </c>
      <c r="D633" s="16" t="s">
        <v>64</v>
      </c>
      <c r="E633" s="16">
        <v>0</v>
      </c>
      <c r="F633" s="16" t="s">
        <v>64</v>
      </c>
      <c r="G633" s="16" t="s">
        <v>64</v>
      </c>
    </row>
    <row r="634" spans="1:7" x14ac:dyDescent="0.2">
      <c r="A634" t="s">
        <v>64</v>
      </c>
      <c r="B634" t="s">
        <v>64</v>
      </c>
      <c r="C634" s="3" t="s">
        <v>64</v>
      </c>
      <c r="D634" s="16" t="s">
        <v>64</v>
      </c>
      <c r="E634" s="16">
        <v>0</v>
      </c>
      <c r="F634" s="16" t="s">
        <v>64</v>
      </c>
      <c r="G634" s="16" t="s">
        <v>64</v>
      </c>
    </row>
    <row r="635" spans="1:7" x14ac:dyDescent="0.2">
      <c r="A635" t="s">
        <v>64</v>
      </c>
      <c r="B635" t="s">
        <v>64</v>
      </c>
      <c r="C635" s="3" t="s">
        <v>64</v>
      </c>
      <c r="D635" s="16" t="s">
        <v>64</v>
      </c>
      <c r="E635" s="16">
        <v>0</v>
      </c>
      <c r="F635" s="16" t="s">
        <v>64</v>
      </c>
      <c r="G635" s="16" t="s">
        <v>64</v>
      </c>
    </row>
    <row r="636" spans="1:7" x14ac:dyDescent="0.2">
      <c r="A636" t="s">
        <v>64</v>
      </c>
      <c r="B636" t="s">
        <v>64</v>
      </c>
      <c r="C636" s="3" t="s">
        <v>64</v>
      </c>
      <c r="D636" s="16" t="s">
        <v>64</v>
      </c>
      <c r="E636" s="16">
        <v>0</v>
      </c>
      <c r="F636" s="16" t="s">
        <v>64</v>
      </c>
      <c r="G636" s="16" t="s">
        <v>64</v>
      </c>
    </row>
    <row r="637" spans="1:7" x14ac:dyDescent="0.2">
      <c r="A637" t="s">
        <v>64</v>
      </c>
      <c r="B637" t="s">
        <v>64</v>
      </c>
      <c r="C637" s="3" t="s">
        <v>64</v>
      </c>
      <c r="D637" s="16" t="s">
        <v>64</v>
      </c>
      <c r="E637" s="16">
        <v>0</v>
      </c>
      <c r="F637" s="16" t="s">
        <v>64</v>
      </c>
      <c r="G637" s="16" t="s">
        <v>64</v>
      </c>
    </row>
    <row r="638" spans="1:7" x14ac:dyDescent="0.2">
      <c r="A638" t="s">
        <v>64</v>
      </c>
      <c r="B638" t="s">
        <v>64</v>
      </c>
      <c r="C638" s="3" t="s">
        <v>64</v>
      </c>
      <c r="D638" s="16" t="s">
        <v>64</v>
      </c>
      <c r="E638" s="16">
        <v>0</v>
      </c>
      <c r="F638" s="16" t="s">
        <v>64</v>
      </c>
      <c r="G638" s="16" t="s">
        <v>64</v>
      </c>
    </row>
    <row r="639" spans="1:7" x14ac:dyDescent="0.2">
      <c r="A639" t="s">
        <v>64</v>
      </c>
      <c r="B639" t="s">
        <v>64</v>
      </c>
      <c r="C639" s="3" t="s">
        <v>64</v>
      </c>
      <c r="D639" s="16" t="s">
        <v>64</v>
      </c>
      <c r="E639" s="16">
        <v>0</v>
      </c>
      <c r="F639" s="16" t="s">
        <v>64</v>
      </c>
      <c r="G639" s="16" t="s">
        <v>64</v>
      </c>
    </row>
    <row r="640" spans="1:7" x14ac:dyDescent="0.2">
      <c r="A640" t="s">
        <v>64</v>
      </c>
      <c r="B640" t="s">
        <v>64</v>
      </c>
      <c r="C640" s="3" t="s">
        <v>64</v>
      </c>
      <c r="D640" s="16" t="s">
        <v>64</v>
      </c>
      <c r="E640" s="16">
        <v>0</v>
      </c>
      <c r="F640" s="16" t="s">
        <v>64</v>
      </c>
      <c r="G640" s="16" t="s">
        <v>64</v>
      </c>
    </row>
    <row r="641" spans="1:7" x14ac:dyDescent="0.2">
      <c r="A641" t="s">
        <v>64</v>
      </c>
      <c r="B641" t="s">
        <v>64</v>
      </c>
      <c r="C641" s="3" t="s">
        <v>64</v>
      </c>
      <c r="D641" s="16" t="s">
        <v>64</v>
      </c>
      <c r="E641" s="16">
        <v>0</v>
      </c>
      <c r="F641" s="16" t="s">
        <v>64</v>
      </c>
      <c r="G641" s="16" t="s">
        <v>64</v>
      </c>
    </row>
    <row r="642" spans="1:7" x14ac:dyDescent="0.2">
      <c r="A642" t="s">
        <v>64</v>
      </c>
      <c r="B642" t="s">
        <v>64</v>
      </c>
      <c r="C642" s="3" t="s">
        <v>64</v>
      </c>
      <c r="D642" s="16" t="s">
        <v>64</v>
      </c>
      <c r="E642" s="16">
        <v>0</v>
      </c>
      <c r="F642" s="16" t="s">
        <v>64</v>
      </c>
      <c r="G642" s="16" t="s">
        <v>64</v>
      </c>
    </row>
    <row r="643" spans="1:7" x14ac:dyDescent="0.2">
      <c r="A643" t="s">
        <v>64</v>
      </c>
      <c r="B643" t="s">
        <v>64</v>
      </c>
      <c r="C643" s="3" t="s">
        <v>64</v>
      </c>
      <c r="D643" s="16" t="s">
        <v>64</v>
      </c>
      <c r="E643" s="16">
        <v>0</v>
      </c>
      <c r="F643" s="16" t="s">
        <v>64</v>
      </c>
      <c r="G643" s="16" t="s">
        <v>64</v>
      </c>
    </row>
    <row r="644" spans="1:7" x14ac:dyDescent="0.2">
      <c r="A644" t="s">
        <v>64</v>
      </c>
      <c r="B644" t="s">
        <v>64</v>
      </c>
      <c r="C644" s="3" t="s">
        <v>64</v>
      </c>
      <c r="D644" s="16" t="s">
        <v>64</v>
      </c>
      <c r="E644" s="16">
        <v>0</v>
      </c>
      <c r="F644" s="16" t="s">
        <v>64</v>
      </c>
      <c r="G644" s="16" t="s">
        <v>64</v>
      </c>
    </row>
    <row r="645" spans="1:7" x14ac:dyDescent="0.2">
      <c r="A645" t="s">
        <v>64</v>
      </c>
      <c r="B645" t="s">
        <v>64</v>
      </c>
      <c r="C645" s="3" t="s">
        <v>64</v>
      </c>
      <c r="D645" s="16" t="s">
        <v>64</v>
      </c>
      <c r="E645" s="16">
        <v>0</v>
      </c>
      <c r="F645" s="16" t="s">
        <v>64</v>
      </c>
      <c r="G645" s="16" t="s">
        <v>64</v>
      </c>
    </row>
    <row r="646" spans="1:7" x14ac:dyDescent="0.2">
      <c r="A646" t="s">
        <v>64</v>
      </c>
      <c r="B646" t="s">
        <v>64</v>
      </c>
      <c r="C646" s="3" t="s">
        <v>64</v>
      </c>
      <c r="D646" s="16" t="s">
        <v>64</v>
      </c>
      <c r="E646" s="16">
        <v>0</v>
      </c>
      <c r="F646" s="16" t="s">
        <v>64</v>
      </c>
      <c r="G646" s="16" t="s">
        <v>64</v>
      </c>
    </row>
    <row r="647" spans="1:7" x14ac:dyDescent="0.2">
      <c r="A647" t="s">
        <v>64</v>
      </c>
      <c r="B647" t="s">
        <v>64</v>
      </c>
      <c r="C647" s="3" t="s">
        <v>64</v>
      </c>
      <c r="D647" s="16" t="s">
        <v>64</v>
      </c>
      <c r="E647" s="16">
        <v>0</v>
      </c>
      <c r="F647" s="16" t="s">
        <v>64</v>
      </c>
      <c r="G647" s="16" t="s">
        <v>64</v>
      </c>
    </row>
    <row r="648" spans="1:7" x14ac:dyDescent="0.2">
      <c r="A648" t="s">
        <v>64</v>
      </c>
      <c r="B648" t="s">
        <v>64</v>
      </c>
      <c r="C648" s="3" t="s">
        <v>64</v>
      </c>
      <c r="D648" s="16" t="s">
        <v>64</v>
      </c>
      <c r="E648" s="16">
        <v>0</v>
      </c>
      <c r="F648" s="16" t="s">
        <v>64</v>
      </c>
      <c r="G648" s="16" t="s">
        <v>64</v>
      </c>
    </row>
    <row r="649" spans="1:7" x14ac:dyDescent="0.2">
      <c r="A649" t="s">
        <v>64</v>
      </c>
      <c r="B649" t="s">
        <v>64</v>
      </c>
      <c r="C649" s="3" t="s">
        <v>64</v>
      </c>
      <c r="D649" s="16" t="s">
        <v>64</v>
      </c>
      <c r="E649" s="16">
        <v>0</v>
      </c>
      <c r="F649" s="16" t="s">
        <v>64</v>
      </c>
      <c r="G649" s="16" t="s">
        <v>64</v>
      </c>
    </row>
    <row r="650" spans="1:7" x14ac:dyDescent="0.2">
      <c r="A650" t="s">
        <v>64</v>
      </c>
      <c r="B650" t="s">
        <v>64</v>
      </c>
      <c r="C650" s="3" t="s">
        <v>64</v>
      </c>
      <c r="D650" s="16" t="s">
        <v>64</v>
      </c>
      <c r="E650" s="16">
        <v>0</v>
      </c>
      <c r="F650" s="16" t="s">
        <v>64</v>
      </c>
      <c r="G650" s="16" t="s">
        <v>64</v>
      </c>
    </row>
    <row r="651" spans="1:7" x14ac:dyDescent="0.2">
      <c r="A651" t="s">
        <v>64</v>
      </c>
      <c r="B651" t="s">
        <v>64</v>
      </c>
      <c r="C651" s="3" t="s">
        <v>64</v>
      </c>
      <c r="D651" s="16" t="s">
        <v>64</v>
      </c>
      <c r="E651" s="16">
        <v>0</v>
      </c>
      <c r="F651" s="16" t="s">
        <v>64</v>
      </c>
      <c r="G651" s="16" t="s">
        <v>64</v>
      </c>
    </row>
    <row r="652" spans="1:7" x14ac:dyDescent="0.2">
      <c r="A652" t="s">
        <v>64</v>
      </c>
      <c r="B652" t="s">
        <v>64</v>
      </c>
      <c r="C652" s="3" t="s">
        <v>64</v>
      </c>
      <c r="D652" s="16" t="s">
        <v>64</v>
      </c>
      <c r="E652" s="16">
        <v>0</v>
      </c>
      <c r="F652" s="16" t="s">
        <v>64</v>
      </c>
      <c r="G652" s="16" t="s">
        <v>64</v>
      </c>
    </row>
    <row r="653" spans="1:7" x14ac:dyDescent="0.2">
      <c r="A653" t="s">
        <v>64</v>
      </c>
      <c r="B653" t="s">
        <v>64</v>
      </c>
      <c r="C653" s="3" t="s">
        <v>64</v>
      </c>
      <c r="D653" s="16" t="s">
        <v>64</v>
      </c>
      <c r="E653" s="16">
        <v>0</v>
      </c>
      <c r="F653" s="16" t="s">
        <v>64</v>
      </c>
      <c r="G653" s="16" t="s">
        <v>64</v>
      </c>
    </row>
    <row r="654" spans="1:7" x14ac:dyDescent="0.2">
      <c r="A654" t="s">
        <v>64</v>
      </c>
      <c r="B654" t="s">
        <v>64</v>
      </c>
      <c r="C654" s="3" t="s">
        <v>64</v>
      </c>
      <c r="D654" s="16" t="s">
        <v>64</v>
      </c>
      <c r="E654" s="16">
        <v>0</v>
      </c>
      <c r="F654" s="16" t="s">
        <v>64</v>
      </c>
      <c r="G654" s="16" t="s">
        <v>64</v>
      </c>
    </row>
    <row r="655" spans="1:7" x14ac:dyDescent="0.2">
      <c r="A655" t="s">
        <v>64</v>
      </c>
      <c r="B655" t="s">
        <v>64</v>
      </c>
      <c r="C655" s="3" t="s">
        <v>64</v>
      </c>
      <c r="D655" s="16" t="s">
        <v>64</v>
      </c>
      <c r="E655" s="16">
        <v>0</v>
      </c>
      <c r="F655" s="16" t="s">
        <v>64</v>
      </c>
      <c r="G655" s="16" t="s">
        <v>64</v>
      </c>
    </row>
    <row r="656" spans="1:7" x14ac:dyDescent="0.2">
      <c r="A656" t="s">
        <v>64</v>
      </c>
      <c r="B656" t="s">
        <v>64</v>
      </c>
      <c r="C656" s="3" t="s">
        <v>64</v>
      </c>
      <c r="D656" s="16" t="s">
        <v>64</v>
      </c>
      <c r="E656" s="16">
        <v>0</v>
      </c>
      <c r="F656" s="16" t="s">
        <v>64</v>
      </c>
      <c r="G656" s="16" t="s">
        <v>64</v>
      </c>
    </row>
    <row r="657" spans="1:7" x14ac:dyDescent="0.2">
      <c r="A657" t="s">
        <v>64</v>
      </c>
      <c r="B657" t="s">
        <v>64</v>
      </c>
      <c r="C657" s="3" t="s">
        <v>64</v>
      </c>
      <c r="D657" s="16" t="s">
        <v>64</v>
      </c>
      <c r="E657" s="16">
        <v>0</v>
      </c>
      <c r="F657" s="16" t="s">
        <v>64</v>
      </c>
      <c r="G657" s="16" t="s">
        <v>64</v>
      </c>
    </row>
    <row r="658" spans="1:7" x14ac:dyDescent="0.2">
      <c r="A658" t="s">
        <v>64</v>
      </c>
      <c r="B658" t="s">
        <v>64</v>
      </c>
      <c r="C658" s="3" t="s">
        <v>64</v>
      </c>
      <c r="D658" s="16" t="s">
        <v>64</v>
      </c>
      <c r="E658" s="16">
        <v>0</v>
      </c>
      <c r="F658" s="16" t="s">
        <v>64</v>
      </c>
      <c r="G658" s="16" t="s">
        <v>64</v>
      </c>
    </row>
    <row r="659" spans="1:7" x14ac:dyDescent="0.2">
      <c r="A659" t="s">
        <v>64</v>
      </c>
      <c r="B659" t="s">
        <v>64</v>
      </c>
      <c r="C659" s="3" t="s">
        <v>64</v>
      </c>
      <c r="D659" s="16" t="s">
        <v>64</v>
      </c>
      <c r="E659" s="16">
        <v>0</v>
      </c>
      <c r="F659" s="16" t="s">
        <v>64</v>
      </c>
      <c r="G659" s="16" t="s">
        <v>64</v>
      </c>
    </row>
    <row r="660" spans="1:7" x14ac:dyDescent="0.2">
      <c r="A660" t="s">
        <v>64</v>
      </c>
      <c r="B660" t="s">
        <v>64</v>
      </c>
      <c r="C660" s="3" t="s">
        <v>64</v>
      </c>
      <c r="D660" s="16" t="s">
        <v>64</v>
      </c>
      <c r="E660" s="16">
        <v>0</v>
      </c>
      <c r="F660" s="16" t="s">
        <v>64</v>
      </c>
      <c r="G660" s="16" t="s">
        <v>64</v>
      </c>
    </row>
    <row r="661" spans="1:7" x14ac:dyDescent="0.2">
      <c r="A661" t="s">
        <v>64</v>
      </c>
      <c r="B661" t="s">
        <v>64</v>
      </c>
      <c r="C661" s="3" t="s">
        <v>64</v>
      </c>
      <c r="D661" s="16" t="s">
        <v>64</v>
      </c>
      <c r="E661" s="16">
        <v>0</v>
      </c>
      <c r="F661" s="16" t="s">
        <v>64</v>
      </c>
      <c r="G661" s="16" t="s">
        <v>64</v>
      </c>
    </row>
    <row r="662" spans="1:7" x14ac:dyDescent="0.2">
      <c r="A662" t="s">
        <v>64</v>
      </c>
      <c r="B662" t="s">
        <v>64</v>
      </c>
      <c r="C662" s="3" t="s">
        <v>64</v>
      </c>
      <c r="D662" s="16" t="s">
        <v>64</v>
      </c>
      <c r="E662" s="16">
        <v>0</v>
      </c>
      <c r="F662" s="16" t="s">
        <v>64</v>
      </c>
      <c r="G662" s="16" t="s">
        <v>64</v>
      </c>
    </row>
    <row r="663" spans="1:7" x14ac:dyDescent="0.2">
      <c r="A663" t="s">
        <v>64</v>
      </c>
      <c r="B663" t="s">
        <v>64</v>
      </c>
      <c r="C663" s="3" t="s">
        <v>64</v>
      </c>
      <c r="D663" s="16" t="s">
        <v>64</v>
      </c>
      <c r="E663" s="16">
        <v>0</v>
      </c>
      <c r="F663" s="16" t="s">
        <v>64</v>
      </c>
      <c r="G663" s="16" t="s">
        <v>64</v>
      </c>
    </row>
    <row r="664" spans="1:7" x14ac:dyDescent="0.2">
      <c r="A664" t="s">
        <v>64</v>
      </c>
      <c r="B664" t="s">
        <v>64</v>
      </c>
      <c r="C664" s="3" t="s">
        <v>64</v>
      </c>
      <c r="D664" s="16" t="s">
        <v>64</v>
      </c>
      <c r="E664" s="16">
        <v>0</v>
      </c>
      <c r="F664" s="16" t="s">
        <v>64</v>
      </c>
      <c r="G664" s="16" t="s">
        <v>64</v>
      </c>
    </row>
    <row r="665" spans="1:7" x14ac:dyDescent="0.2">
      <c r="A665" t="s">
        <v>64</v>
      </c>
      <c r="B665" t="s">
        <v>64</v>
      </c>
      <c r="C665" s="3" t="s">
        <v>64</v>
      </c>
      <c r="D665" s="16" t="s">
        <v>64</v>
      </c>
      <c r="E665" s="16">
        <v>0</v>
      </c>
      <c r="F665" s="16" t="s">
        <v>64</v>
      </c>
      <c r="G665" s="16" t="s">
        <v>64</v>
      </c>
    </row>
    <row r="666" spans="1:7" x14ac:dyDescent="0.2">
      <c r="A666" t="s">
        <v>64</v>
      </c>
      <c r="B666" t="s">
        <v>64</v>
      </c>
      <c r="C666" s="3" t="s">
        <v>64</v>
      </c>
      <c r="D666" s="16" t="s">
        <v>64</v>
      </c>
      <c r="E666" s="16">
        <v>0</v>
      </c>
      <c r="F666" s="16" t="s">
        <v>64</v>
      </c>
      <c r="G666" s="16" t="s">
        <v>64</v>
      </c>
    </row>
    <row r="667" spans="1:7" x14ac:dyDescent="0.2">
      <c r="A667" t="s">
        <v>64</v>
      </c>
      <c r="B667" t="s">
        <v>64</v>
      </c>
      <c r="C667" s="3" t="s">
        <v>64</v>
      </c>
      <c r="D667" s="16" t="s">
        <v>64</v>
      </c>
      <c r="E667" s="16">
        <v>0</v>
      </c>
      <c r="F667" s="16" t="s">
        <v>64</v>
      </c>
      <c r="G667" s="16" t="s">
        <v>64</v>
      </c>
    </row>
    <row r="668" spans="1:7" x14ac:dyDescent="0.2">
      <c r="A668" t="s">
        <v>64</v>
      </c>
      <c r="B668" t="s">
        <v>64</v>
      </c>
      <c r="C668" s="3" t="s">
        <v>64</v>
      </c>
      <c r="D668" s="16" t="s">
        <v>64</v>
      </c>
      <c r="E668" s="16">
        <v>0</v>
      </c>
      <c r="F668" s="16" t="s">
        <v>64</v>
      </c>
      <c r="G668" s="16" t="s">
        <v>64</v>
      </c>
    </row>
    <row r="669" spans="1:7" x14ac:dyDescent="0.2">
      <c r="A669" t="s">
        <v>64</v>
      </c>
      <c r="B669" t="s">
        <v>64</v>
      </c>
      <c r="C669" s="3" t="s">
        <v>64</v>
      </c>
      <c r="D669" s="16" t="s">
        <v>64</v>
      </c>
      <c r="E669" s="16">
        <v>0</v>
      </c>
      <c r="F669" s="16" t="s">
        <v>64</v>
      </c>
      <c r="G669" s="16" t="s">
        <v>64</v>
      </c>
    </row>
    <row r="670" spans="1:7" x14ac:dyDescent="0.2">
      <c r="A670" t="s">
        <v>64</v>
      </c>
      <c r="B670" t="s">
        <v>64</v>
      </c>
      <c r="C670" s="3" t="s">
        <v>64</v>
      </c>
      <c r="D670" s="16" t="s">
        <v>64</v>
      </c>
      <c r="E670" s="16">
        <v>0</v>
      </c>
      <c r="F670" s="16" t="s">
        <v>64</v>
      </c>
      <c r="G670" s="16" t="s">
        <v>64</v>
      </c>
    </row>
    <row r="671" spans="1:7" x14ac:dyDescent="0.2">
      <c r="A671" t="s">
        <v>64</v>
      </c>
      <c r="B671" t="s">
        <v>64</v>
      </c>
      <c r="C671" s="3" t="s">
        <v>64</v>
      </c>
      <c r="D671" s="16" t="s">
        <v>64</v>
      </c>
      <c r="E671" s="16">
        <v>0</v>
      </c>
      <c r="F671" s="16" t="s">
        <v>64</v>
      </c>
      <c r="G671" s="16" t="s">
        <v>64</v>
      </c>
    </row>
    <row r="672" spans="1:7" x14ac:dyDescent="0.2">
      <c r="A672" t="s">
        <v>64</v>
      </c>
      <c r="B672" t="s">
        <v>64</v>
      </c>
      <c r="C672" s="3" t="s">
        <v>64</v>
      </c>
      <c r="D672" s="16" t="s">
        <v>64</v>
      </c>
      <c r="E672" s="16">
        <v>0</v>
      </c>
      <c r="F672" s="16" t="s">
        <v>64</v>
      </c>
      <c r="G672" s="16" t="s">
        <v>64</v>
      </c>
    </row>
    <row r="673" spans="1:7" x14ac:dyDescent="0.2">
      <c r="A673" t="s">
        <v>64</v>
      </c>
      <c r="B673" t="s">
        <v>64</v>
      </c>
      <c r="C673" s="3" t="s">
        <v>64</v>
      </c>
      <c r="D673" s="16" t="s">
        <v>64</v>
      </c>
      <c r="E673" s="16">
        <v>0</v>
      </c>
      <c r="F673" s="16" t="s">
        <v>64</v>
      </c>
      <c r="G673" s="16" t="s">
        <v>64</v>
      </c>
    </row>
    <row r="674" spans="1:7" x14ac:dyDescent="0.2">
      <c r="A674" t="s">
        <v>64</v>
      </c>
      <c r="B674" t="s">
        <v>64</v>
      </c>
      <c r="C674" s="3" t="s">
        <v>64</v>
      </c>
      <c r="D674" s="16" t="s">
        <v>64</v>
      </c>
      <c r="E674" s="16">
        <v>0</v>
      </c>
      <c r="F674" s="16" t="s">
        <v>64</v>
      </c>
      <c r="G674" s="16" t="s">
        <v>64</v>
      </c>
    </row>
    <row r="675" spans="1:7" x14ac:dyDescent="0.2">
      <c r="A675" t="s">
        <v>64</v>
      </c>
      <c r="B675" t="s">
        <v>64</v>
      </c>
      <c r="C675" s="3" t="s">
        <v>64</v>
      </c>
      <c r="D675" s="16" t="s">
        <v>64</v>
      </c>
      <c r="E675" s="16">
        <v>0</v>
      </c>
      <c r="F675" s="16" t="s">
        <v>64</v>
      </c>
      <c r="G675" s="16" t="s">
        <v>64</v>
      </c>
    </row>
    <row r="676" spans="1:7" x14ac:dyDescent="0.2">
      <c r="A676" t="s">
        <v>64</v>
      </c>
      <c r="B676" t="s">
        <v>64</v>
      </c>
      <c r="C676" s="3" t="s">
        <v>64</v>
      </c>
      <c r="D676" s="16" t="s">
        <v>64</v>
      </c>
      <c r="E676" s="16">
        <v>0</v>
      </c>
      <c r="F676" s="16" t="s">
        <v>64</v>
      </c>
      <c r="G676" s="16" t="s">
        <v>64</v>
      </c>
    </row>
    <row r="677" spans="1:7" x14ac:dyDescent="0.2">
      <c r="A677" t="s">
        <v>64</v>
      </c>
      <c r="B677" t="s">
        <v>64</v>
      </c>
      <c r="C677" s="3" t="s">
        <v>64</v>
      </c>
      <c r="D677" s="16" t="s">
        <v>64</v>
      </c>
      <c r="E677" s="16">
        <v>0</v>
      </c>
      <c r="F677" s="16" t="s">
        <v>64</v>
      </c>
      <c r="G677" s="16" t="s">
        <v>64</v>
      </c>
    </row>
    <row r="678" spans="1:7" x14ac:dyDescent="0.2">
      <c r="A678" t="s">
        <v>64</v>
      </c>
      <c r="B678" t="s">
        <v>64</v>
      </c>
      <c r="C678" s="3" t="s">
        <v>64</v>
      </c>
      <c r="D678" s="16" t="s">
        <v>64</v>
      </c>
      <c r="E678" s="16">
        <v>0</v>
      </c>
      <c r="F678" s="16" t="s">
        <v>64</v>
      </c>
      <c r="G678" s="16" t="s">
        <v>64</v>
      </c>
    </row>
    <row r="679" spans="1:7" x14ac:dyDescent="0.2">
      <c r="A679" t="s">
        <v>64</v>
      </c>
      <c r="B679" t="s">
        <v>64</v>
      </c>
      <c r="C679" s="3" t="s">
        <v>64</v>
      </c>
      <c r="D679" s="16" t="s">
        <v>64</v>
      </c>
      <c r="E679" s="16">
        <v>0</v>
      </c>
      <c r="F679" s="16" t="s">
        <v>64</v>
      </c>
      <c r="G679" s="16" t="s">
        <v>64</v>
      </c>
    </row>
    <row r="680" spans="1:7" x14ac:dyDescent="0.2">
      <c r="A680" t="s">
        <v>64</v>
      </c>
      <c r="B680" t="s">
        <v>64</v>
      </c>
      <c r="C680" s="3" t="s">
        <v>64</v>
      </c>
      <c r="D680" s="16" t="s">
        <v>64</v>
      </c>
      <c r="E680" s="16">
        <v>0</v>
      </c>
      <c r="F680" s="16" t="s">
        <v>64</v>
      </c>
      <c r="G680" s="16" t="s">
        <v>64</v>
      </c>
    </row>
    <row r="681" spans="1:7" x14ac:dyDescent="0.2">
      <c r="A681" t="s">
        <v>64</v>
      </c>
      <c r="B681" t="s">
        <v>64</v>
      </c>
      <c r="C681" s="3" t="s">
        <v>64</v>
      </c>
      <c r="D681" s="16" t="s">
        <v>64</v>
      </c>
      <c r="E681" s="16">
        <v>0</v>
      </c>
      <c r="F681" s="16" t="s">
        <v>64</v>
      </c>
      <c r="G681" s="16" t="s">
        <v>64</v>
      </c>
    </row>
    <row r="682" spans="1:7" x14ac:dyDescent="0.2">
      <c r="A682" t="s">
        <v>64</v>
      </c>
      <c r="B682" t="s">
        <v>64</v>
      </c>
      <c r="C682" s="3" t="s">
        <v>64</v>
      </c>
      <c r="D682" s="16" t="s">
        <v>64</v>
      </c>
      <c r="E682" s="16">
        <v>0</v>
      </c>
      <c r="F682" s="16" t="s">
        <v>64</v>
      </c>
      <c r="G682" s="16" t="s">
        <v>64</v>
      </c>
    </row>
    <row r="683" spans="1:7" x14ac:dyDescent="0.2">
      <c r="A683" t="s">
        <v>64</v>
      </c>
      <c r="B683" t="s">
        <v>64</v>
      </c>
      <c r="C683" s="3" t="s">
        <v>64</v>
      </c>
      <c r="D683" s="16" t="s">
        <v>64</v>
      </c>
      <c r="E683" s="16">
        <v>0</v>
      </c>
      <c r="F683" s="16" t="s">
        <v>64</v>
      </c>
      <c r="G683" s="16" t="s">
        <v>64</v>
      </c>
    </row>
    <row r="684" spans="1:7" x14ac:dyDescent="0.2">
      <c r="A684" t="s">
        <v>64</v>
      </c>
      <c r="B684" t="s">
        <v>64</v>
      </c>
      <c r="C684" s="3" t="s">
        <v>64</v>
      </c>
      <c r="D684" s="16" t="s">
        <v>64</v>
      </c>
      <c r="E684" s="16">
        <v>0</v>
      </c>
      <c r="F684" s="16" t="s">
        <v>64</v>
      </c>
      <c r="G684" s="16" t="s">
        <v>64</v>
      </c>
    </row>
    <row r="685" spans="1:7" x14ac:dyDescent="0.2">
      <c r="A685" t="s">
        <v>64</v>
      </c>
      <c r="B685" t="s">
        <v>64</v>
      </c>
      <c r="C685" s="3" t="s">
        <v>64</v>
      </c>
      <c r="D685" s="16" t="s">
        <v>64</v>
      </c>
      <c r="E685" s="16">
        <v>0</v>
      </c>
      <c r="F685" s="16" t="s">
        <v>64</v>
      </c>
      <c r="G685" s="16" t="s">
        <v>64</v>
      </c>
    </row>
    <row r="686" spans="1:7" x14ac:dyDescent="0.2">
      <c r="A686" t="s">
        <v>64</v>
      </c>
      <c r="B686" t="s">
        <v>64</v>
      </c>
      <c r="C686" s="3" t="s">
        <v>64</v>
      </c>
      <c r="D686" s="16" t="s">
        <v>64</v>
      </c>
      <c r="E686" s="16">
        <v>0</v>
      </c>
      <c r="F686" s="16" t="s">
        <v>64</v>
      </c>
      <c r="G686" s="16" t="s">
        <v>64</v>
      </c>
    </row>
    <row r="687" spans="1:7" x14ac:dyDescent="0.2">
      <c r="A687" t="s">
        <v>64</v>
      </c>
      <c r="B687" t="s">
        <v>64</v>
      </c>
      <c r="C687" s="3" t="s">
        <v>64</v>
      </c>
      <c r="D687" s="16" t="s">
        <v>64</v>
      </c>
      <c r="E687" s="16">
        <v>0</v>
      </c>
      <c r="F687" s="16" t="s">
        <v>64</v>
      </c>
      <c r="G687" s="16" t="s">
        <v>64</v>
      </c>
    </row>
    <row r="688" spans="1:7" x14ac:dyDescent="0.2">
      <c r="A688" t="s">
        <v>64</v>
      </c>
      <c r="B688" t="s">
        <v>64</v>
      </c>
      <c r="C688" s="3" t="s">
        <v>64</v>
      </c>
      <c r="D688" s="16" t="s">
        <v>64</v>
      </c>
      <c r="E688" s="16">
        <v>0</v>
      </c>
      <c r="F688" s="16" t="s">
        <v>64</v>
      </c>
      <c r="G688" s="16" t="s">
        <v>64</v>
      </c>
    </row>
    <row r="689" spans="1:7" x14ac:dyDescent="0.2">
      <c r="A689" t="s">
        <v>64</v>
      </c>
      <c r="B689" t="s">
        <v>64</v>
      </c>
      <c r="C689" s="3" t="s">
        <v>64</v>
      </c>
      <c r="D689" s="16" t="s">
        <v>64</v>
      </c>
      <c r="E689" s="16">
        <v>0</v>
      </c>
      <c r="F689" s="16" t="s">
        <v>64</v>
      </c>
      <c r="G689" s="16" t="s">
        <v>64</v>
      </c>
    </row>
    <row r="690" spans="1:7" x14ac:dyDescent="0.2">
      <c r="A690" t="s">
        <v>64</v>
      </c>
      <c r="B690" t="s">
        <v>64</v>
      </c>
      <c r="C690" s="3" t="s">
        <v>64</v>
      </c>
      <c r="D690" s="16" t="s">
        <v>64</v>
      </c>
      <c r="E690" s="16">
        <v>0</v>
      </c>
      <c r="F690" s="16" t="s">
        <v>64</v>
      </c>
      <c r="G690" s="16" t="s">
        <v>64</v>
      </c>
    </row>
    <row r="691" spans="1:7" x14ac:dyDescent="0.2">
      <c r="A691" t="s">
        <v>64</v>
      </c>
      <c r="B691" t="s">
        <v>64</v>
      </c>
      <c r="C691" s="3" t="s">
        <v>64</v>
      </c>
      <c r="D691" s="16" t="s">
        <v>64</v>
      </c>
      <c r="E691" s="16">
        <v>0</v>
      </c>
      <c r="F691" s="16" t="s">
        <v>64</v>
      </c>
      <c r="G691" s="16" t="s">
        <v>64</v>
      </c>
    </row>
    <row r="692" spans="1:7" x14ac:dyDescent="0.2">
      <c r="A692" t="s">
        <v>64</v>
      </c>
      <c r="B692" t="s">
        <v>64</v>
      </c>
      <c r="C692" s="3" t="s">
        <v>64</v>
      </c>
      <c r="D692" s="16" t="s">
        <v>64</v>
      </c>
      <c r="E692" s="16">
        <v>0</v>
      </c>
      <c r="F692" s="16" t="s">
        <v>64</v>
      </c>
      <c r="G692" s="16" t="s">
        <v>64</v>
      </c>
    </row>
    <row r="693" spans="1:7" x14ac:dyDescent="0.2">
      <c r="A693" t="s">
        <v>64</v>
      </c>
      <c r="B693" t="s">
        <v>64</v>
      </c>
      <c r="C693" s="3" t="s">
        <v>64</v>
      </c>
      <c r="D693" s="16" t="s">
        <v>64</v>
      </c>
      <c r="E693" s="16">
        <v>0</v>
      </c>
      <c r="F693" s="16" t="s">
        <v>64</v>
      </c>
      <c r="G693" s="16" t="s">
        <v>64</v>
      </c>
    </row>
    <row r="694" spans="1:7" x14ac:dyDescent="0.2">
      <c r="A694" t="s">
        <v>64</v>
      </c>
      <c r="B694" t="s">
        <v>64</v>
      </c>
      <c r="C694" s="3" t="s">
        <v>64</v>
      </c>
      <c r="D694" s="16" t="s">
        <v>64</v>
      </c>
      <c r="E694" s="16">
        <v>0</v>
      </c>
      <c r="F694" s="16" t="s">
        <v>64</v>
      </c>
      <c r="G694" s="16" t="s">
        <v>64</v>
      </c>
    </row>
    <row r="695" spans="1:7" x14ac:dyDescent="0.2">
      <c r="A695" t="s">
        <v>64</v>
      </c>
      <c r="B695" t="s">
        <v>64</v>
      </c>
      <c r="C695" s="3" t="s">
        <v>64</v>
      </c>
      <c r="D695" s="16" t="s">
        <v>64</v>
      </c>
      <c r="E695" s="16">
        <v>0</v>
      </c>
      <c r="F695" s="16" t="s">
        <v>64</v>
      </c>
      <c r="G695" s="16" t="s">
        <v>64</v>
      </c>
    </row>
    <row r="696" spans="1:7" x14ac:dyDescent="0.2">
      <c r="A696" t="s">
        <v>64</v>
      </c>
      <c r="B696" t="s">
        <v>64</v>
      </c>
      <c r="C696" s="3" t="s">
        <v>64</v>
      </c>
      <c r="D696" s="16" t="s">
        <v>64</v>
      </c>
      <c r="E696" s="16">
        <v>0</v>
      </c>
      <c r="F696" s="16" t="s">
        <v>64</v>
      </c>
      <c r="G696" s="16" t="s">
        <v>64</v>
      </c>
    </row>
    <row r="697" spans="1:7" x14ac:dyDescent="0.2">
      <c r="A697" t="s">
        <v>64</v>
      </c>
      <c r="B697" t="s">
        <v>64</v>
      </c>
      <c r="C697" s="3" t="s">
        <v>64</v>
      </c>
      <c r="D697" s="16" t="s">
        <v>64</v>
      </c>
      <c r="E697" s="16">
        <v>0</v>
      </c>
      <c r="F697" s="16" t="s">
        <v>64</v>
      </c>
      <c r="G697" s="16" t="s">
        <v>64</v>
      </c>
    </row>
    <row r="698" spans="1:7" x14ac:dyDescent="0.2">
      <c r="A698" t="s">
        <v>64</v>
      </c>
      <c r="B698" t="s">
        <v>64</v>
      </c>
      <c r="C698" s="3" t="s">
        <v>64</v>
      </c>
      <c r="D698" s="16" t="s">
        <v>64</v>
      </c>
      <c r="E698" s="16">
        <v>0</v>
      </c>
      <c r="F698" s="16" t="s">
        <v>64</v>
      </c>
      <c r="G698" s="16" t="s">
        <v>64</v>
      </c>
    </row>
    <row r="699" spans="1:7" x14ac:dyDescent="0.2">
      <c r="A699" t="s">
        <v>64</v>
      </c>
      <c r="B699" t="s">
        <v>64</v>
      </c>
      <c r="C699" s="3" t="s">
        <v>64</v>
      </c>
      <c r="D699" s="16" t="s">
        <v>64</v>
      </c>
      <c r="E699" s="16">
        <v>0</v>
      </c>
      <c r="F699" s="16" t="s">
        <v>64</v>
      </c>
      <c r="G699" s="16" t="s">
        <v>64</v>
      </c>
    </row>
    <row r="700" spans="1:7" x14ac:dyDescent="0.2">
      <c r="A700" t="s">
        <v>64</v>
      </c>
      <c r="B700" t="s">
        <v>64</v>
      </c>
      <c r="C700" s="3" t="s">
        <v>64</v>
      </c>
      <c r="D700" s="16" t="s">
        <v>64</v>
      </c>
      <c r="E700" s="16">
        <v>0</v>
      </c>
      <c r="F700" s="16" t="s">
        <v>64</v>
      </c>
      <c r="G700" s="16" t="s">
        <v>64</v>
      </c>
    </row>
    <row r="701" spans="1:7" x14ac:dyDescent="0.2">
      <c r="A701" t="s">
        <v>64</v>
      </c>
      <c r="B701" t="s">
        <v>64</v>
      </c>
      <c r="C701" s="3" t="s">
        <v>64</v>
      </c>
      <c r="D701" s="16" t="s">
        <v>64</v>
      </c>
      <c r="E701" s="16">
        <v>0</v>
      </c>
      <c r="F701" s="16" t="s">
        <v>64</v>
      </c>
      <c r="G701" s="16" t="s">
        <v>64</v>
      </c>
    </row>
    <row r="702" spans="1:7" x14ac:dyDescent="0.2">
      <c r="A702" t="s">
        <v>64</v>
      </c>
      <c r="B702" t="s">
        <v>64</v>
      </c>
      <c r="C702" s="3" t="s">
        <v>64</v>
      </c>
      <c r="D702" s="16" t="s">
        <v>64</v>
      </c>
      <c r="E702" s="16">
        <v>0</v>
      </c>
      <c r="F702" s="16" t="s">
        <v>64</v>
      </c>
      <c r="G702" s="16" t="s">
        <v>64</v>
      </c>
    </row>
    <row r="703" spans="1:7" x14ac:dyDescent="0.2">
      <c r="A703" t="s">
        <v>64</v>
      </c>
      <c r="B703" t="s">
        <v>64</v>
      </c>
      <c r="C703" s="3" t="s">
        <v>64</v>
      </c>
      <c r="D703" s="16" t="s">
        <v>64</v>
      </c>
      <c r="E703" s="16">
        <v>0</v>
      </c>
      <c r="F703" s="16" t="s">
        <v>64</v>
      </c>
      <c r="G703" s="16" t="s">
        <v>64</v>
      </c>
    </row>
    <row r="704" spans="1:7" x14ac:dyDescent="0.2">
      <c r="A704" t="s">
        <v>64</v>
      </c>
      <c r="B704" t="s">
        <v>64</v>
      </c>
      <c r="C704" s="3" t="s">
        <v>64</v>
      </c>
      <c r="D704" s="16" t="s">
        <v>64</v>
      </c>
      <c r="E704" s="16">
        <v>0</v>
      </c>
      <c r="F704" s="16" t="s">
        <v>64</v>
      </c>
      <c r="G704" s="16" t="s">
        <v>64</v>
      </c>
    </row>
    <row r="705" spans="1:7" x14ac:dyDescent="0.2">
      <c r="A705" t="s">
        <v>64</v>
      </c>
      <c r="B705" t="s">
        <v>64</v>
      </c>
      <c r="C705" s="3" t="s">
        <v>64</v>
      </c>
      <c r="D705" s="16" t="s">
        <v>64</v>
      </c>
      <c r="E705" s="16">
        <v>0</v>
      </c>
      <c r="F705" s="16" t="s">
        <v>64</v>
      </c>
      <c r="G705" s="16" t="s">
        <v>64</v>
      </c>
    </row>
    <row r="706" spans="1:7" x14ac:dyDescent="0.2">
      <c r="A706" t="s">
        <v>64</v>
      </c>
      <c r="B706" t="s">
        <v>64</v>
      </c>
      <c r="C706" s="3" t="s">
        <v>64</v>
      </c>
      <c r="D706" s="16" t="s">
        <v>64</v>
      </c>
      <c r="E706" s="16">
        <v>0</v>
      </c>
      <c r="F706" s="16" t="s">
        <v>64</v>
      </c>
      <c r="G706" s="16" t="s">
        <v>64</v>
      </c>
    </row>
    <row r="707" spans="1:7" x14ac:dyDescent="0.2">
      <c r="A707" t="s">
        <v>64</v>
      </c>
      <c r="B707" t="s">
        <v>64</v>
      </c>
      <c r="C707" s="3" t="s">
        <v>64</v>
      </c>
      <c r="D707" s="16" t="s">
        <v>64</v>
      </c>
      <c r="E707" s="16">
        <v>0</v>
      </c>
      <c r="F707" s="16" t="s">
        <v>64</v>
      </c>
      <c r="G707" s="16" t="s">
        <v>64</v>
      </c>
    </row>
    <row r="708" spans="1:7" x14ac:dyDescent="0.2">
      <c r="A708" t="s">
        <v>64</v>
      </c>
      <c r="B708" t="s">
        <v>64</v>
      </c>
      <c r="C708" s="3" t="s">
        <v>64</v>
      </c>
      <c r="D708" s="16" t="s">
        <v>64</v>
      </c>
      <c r="E708" s="16">
        <v>0</v>
      </c>
      <c r="F708" s="16" t="s">
        <v>64</v>
      </c>
      <c r="G708" s="16" t="s">
        <v>64</v>
      </c>
    </row>
    <row r="709" spans="1:7" x14ac:dyDescent="0.2">
      <c r="A709" t="s">
        <v>64</v>
      </c>
      <c r="B709" t="s">
        <v>64</v>
      </c>
      <c r="C709" s="3" t="s">
        <v>64</v>
      </c>
      <c r="D709" s="16" t="s">
        <v>64</v>
      </c>
      <c r="E709" s="16">
        <v>0</v>
      </c>
      <c r="F709" s="16" t="s">
        <v>64</v>
      </c>
      <c r="G709" s="16" t="s">
        <v>64</v>
      </c>
    </row>
    <row r="710" spans="1:7" x14ac:dyDescent="0.2">
      <c r="A710" t="s">
        <v>64</v>
      </c>
      <c r="B710" t="s">
        <v>64</v>
      </c>
      <c r="C710" s="3" t="s">
        <v>64</v>
      </c>
      <c r="D710" s="16" t="s">
        <v>64</v>
      </c>
      <c r="E710" s="16">
        <v>0</v>
      </c>
      <c r="F710" s="16" t="s">
        <v>64</v>
      </c>
      <c r="G710" s="16" t="s">
        <v>64</v>
      </c>
    </row>
    <row r="711" spans="1:7" x14ac:dyDescent="0.2">
      <c r="A711" t="s">
        <v>64</v>
      </c>
      <c r="B711" t="s">
        <v>64</v>
      </c>
      <c r="C711" s="3" t="s">
        <v>64</v>
      </c>
      <c r="D711" s="16" t="s">
        <v>64</v>
      </c>
      <c r="E711" s="16">
        <v>0</v>
      </c>
      <c r="F711" s="16" t="s">
        <v>64</v>
      </c>
      <c r="G711" s="16" t="s">
        <v>64</v>
      </c>
    </row>
    <row r="712" spans="1:7" x14ac:dyDescent="0.2">
      <c r="A712" t="s">
        <v>64</v>
      </c>
      <c r="B712" t="s">
        <v>64</v>
      </c>
      <c r="C712" s="3" t="s">
        <v>64</v>
      </c>
      <c r="D712" s="16" t="s">
        <v>64</v>
      </c>
      <c r="E712" s="16">
        <v>0</v>
      </c>
      <c r="F712" s="16" t="s">
        <v>64</v>
      </c>
      <c r="G712" s="16" t="s">
        <v>64</v>
      </c>
    </row>
    <row r="713" spans="1:7" x14ac:dyDescent="0.2">
      <c r="A713" t="s">
        <v>64</v>
      </c>
      <c r="B713" t="s">
        <v>64</v>
      </c>
      <c r="C713" s="3" t="s">
        <v>64</v>
      </c>
      <c r="D713" s="16" t="s">
        <v>64</v>
      </c>
      <c r="E713" s="16">
        <v>0</v>
      </c>
      <c r="F713" s="16" t="s">
        <v>64</v>
      </c>
      <c r="G713" s="16" t="s">
        <v>64</v>
      </c>
    </row>
    <row r="714" spans="1:7" x14ac:dyDescent="0.2">
      <c r="A714" t="s">
        <v>64</v>
      </c>
      <c r="B714" t="s">
        <v>64</v>
      </c>
      <c r="C714" s="3" t="s">
        <v>64</v>
      </c>
      <c r="D714" s="16" t="s">
        <v>64</v>
      </c>
      <c r="E714" s="16">
        <v>0</v>
      </c>
      <c r="F714" s="16" t="s">
        <v>64</v>
      </c>
      <c r="G714" s="16" t="s">
        <v>64</v>
      </c>
    </row>
    <row r="715" spans="1:7" x14ac:dyDescent="0.2">
      <c r="A715" t="s">
        <v>64</v>
      </c>
      <c r="B715" t="s">
        <v>64</v>
      </c>
      <c r="C715" s="3" t="s">
        <v>64</v>
      </c>
      <c r="D715" s="16" t="s">
        <v>64</v>
      </c>
      <c r="E715" s="16">
        <v>0</v>
      </c>
      <c r="F715" s="16" t="s">
        <v>64</v>
      </c>
      <c r="G715" s="16" t="s">
        <v>64</v>
      </c>
    </row>
    <row r="716" spans="1:7" x14ac:dyDescent="0.2">
      <c r="A716" t="s">
        <v>64</v>
      </c>
      <c r="B716" t="s">
        <v>64</v>
      </c>
      <c r="C716" s="3" t="s">
        <v>64</v>
      </c>
      <c r="D716" s="16" t="s">
        <v>64</v>
      </c>
      <c r="E716" s="16">
        <v>0</v>
      </c>
      <c r="F716" s="16" t="s">
        <v>64</v>
      </c>
      <c r="G716" s="16" t="s">
        <v>64</v>
      </c>
    </row>
    <row r="717" spans="1:7" x14ac:dyDescent="0.2">
      <c r="A717" t="s">
        <v>64</v>
      </c>
      <c r="B717" t="s">
        <v>64</v>
      </c>
      <c r="C717" s="3" t="s">
        <v>64</v>
      </c>
      <c r="D717" s="16" t="s">
        <v>64</v>
      </c>
      <c r="E717" s="16">
        <v>0</v>
      </c>
      <c r="F717" s="16" t="s">
        <v>64</v>
      </c>
      <c r="G717" s="16" t="s">
        <v>64</v>
      </c>
    </row>
    <row r="718" spans="1:7" x14ac:dyDescent="0.2">
      <c r="A718" t="s">
        <v>64</v>
      </c>
      <c r="B718" t="s">
        <v>64</v>
      </c>
      <c r="C718" s="3" t="s">
        <v>64</v>
      </c>
      <c r="D718" s="16" t="s">
        <v>64</v>
      </c>
      <c r="E718" s="16">
        <v>0</v>
      </c>
      <c r="F718" s="16" t="s">
        <v>64</v>
      </c>
      <c r="G718" s="16" t="s">
        <v>64</v>
      </c>
    </row>
    <row r="719" spans="1:7" x14ac:dyDescent="0.2">
      <c r="A719" t="s">
        <v>64</v>
      </c>
      <c r="B719" t="s">
        <v>64</v>
      </c>
      <c r="C719" s="3" t="s">
        <v>64</v>
      </c>
      <c r="D719" s="16" t="s">
        <v>64</v>
      </c>
      <c r="E719" s="16">
        <v>0</v>
      </c>
      <c r="F719" s="16" t="s">
        <v>64</v>
      </c>
      <c r="G719" s="16" t="s">
        <v>64</v>
      </c>
    </row>
    <row r="720" spans="1:7" x14ac:dyDescent="0.2">
      <c r="A720" t="s">
        <v>64</v>
      </c>
      <c r="B720" t="s">
        <v>64</v>
      </c>
      <c r="C720" s="3" t="s">
        <v>64</v>
      </c>
      <c r="D720" s="16" t="s">
        <v>64</v>
      </c>
      <c r="E720" s="16">
        <v>0</v>
      </c>
      <c r="F720" s="16" t="s">
        <v>64</v>
      </c>
      <c r="G720" s="16" t="s">
        <v>64</v>
      </c>
    </row>
    <row r="721" spans="1:7" x14ac:dyDescent="0.2">
      <c r="A721" t="s">
        <v>64</v>
      </c>
      <c r="B721" t="s">
        <v>64</v>
      </c>
      <c r="C721" s="3" t="s">
        <v>64</v>
      </c>
      <c r="D721" s="16" t="s">
        <v>64</v>
      </c>
      <c r="E721" s="16">
        <v>0</v>
      </c>
      <c r="F721" s="16" t="s">
        <v>64</v>
      </c>
      <c r="G721" s="16" t="s">
        <v>64</v>
      </c>
    </row>
    <row r="722" spans="1:7" x14ac:dyDescent="0.2">
      <c r="A722" t="s">
        <v>64</v>
      </c>
      <c r="B722" t="s">
        <v>64</v>
      </c>
      <c r="C722" s="3" t="s">
        <v>64</v>
      </c>
      <c r="D722" s="16" t="s">
        <v>64</v>
      </c>
      <c r="E722" s="16">
        <v>0</v>
      </c>
      <c r="F722" s="16" t="s">
        <v>64</v>
      </c>
      <c r="G722" s="16" t="s">
        <v>64</v>
      </c>
    </row>
    <row r="723" spans="1:7" x14ac:dyDescent="0.2">
      <c r="A723" t="s">
        <v>64</v>
      </c>
      <c r="B723" t="s">
        <v>64</v>
      </c>
      <c r="C723" s="3" t="s">
        <v>64</v>
      </c>
      <c r="D723" s="16" t="s">
        <v>64</v>
      </c>
      <c r="E723" s="16">
        <v>0</v>
      </c>
      <c r="F723" s="16" t="s">
        <v>64</v>
      </c>
      <c r="G723" s="16" t="s">
        <v>64</v>
      </c>
    </row>
    <row r="724" spans="1:7" x14ac:dyDescent="0.2">
      <c r="A724" t="s">
        <v>64</v>
      </c>
      <c r="B724" t="s">
        <v>64</v>
      </c>
      <c r="C724" s="3" t="s">
        <v>64</v>
      </c>
      <c r="D724" s="16" t="s">
        <v>64</v>
      </c>
      <c r="E724" s="16">
        <v>0</v>
      </c>
      <c r="F724" s="16" t="s">
        <v>64</v>
      </c>
      <c r="G724" s="16" t="s">
        <v>64</v>
      </c>
    </row>
    <row r="725" spans="1:7" x14ac:dyDescent="0.2">
      <c r="A725" t="s">
        <v>64</v>
      </c>
      <c r="B725" t="s">
        <v>64</v>
      </c>
      <c r="C725" s="3" t="s">
        <v>64</v>
      </c>
      <c r="D725" s="16" t="s">
        <v>64</v>
      </c>
      <c r="E725" s="16">
        <v>0</v>
      </c>
      <c r="F725" s="16" t="s">
        <v>64</v>
      </c>
      <c r="G725" s="16" t="s">
        <v>64</v>
      </c>
    </row>
    <row r="726" spans="1:7" x14ac:dyDescent="0.2">
      <c r="A726" t="s">
        <v>64</v>
      </c>
      <c r="B726" t="s">
        <v>64</v>
      </c>
      <c r="C726" s="3" t="s">
        <v>64</v>
      </c>
      <c r="D726" s="16" t="s">
        <v>64</v>
      </c>
      <c r="E726" s="16">
        <v>0</v>
      </c>
      <c r="F726" s="16" t="s">
        <v>64</v>
      </c>
      <c r="G726" s="16" t="s">
        <v>64</v>
      </c>
    </row>
    <row r="727" spans="1:7" x14ac:dyDescent="0.2">
      <c r="A727" t="s">
        <v>64</v>
      </c>
      <c r="B727" t="s">
        <v>64</v>
      </c>
      <c r="C727" s="3" t="s">
        <v>64</v>
      </c>
      <c r="D727" s="16" t="s">
        <v>64</v>
      </c>
      <c r="E727" s="16">
        <v>0</v>
      </c>
      <c r="F727" s="16" t="s">
        <v>64</v>
      </c>
      <c r="G727" s="16" t="s">
        <v>64</v>
      </c>
    </row>
    <row r="728" spans="1:7" x14ac:dyDescent="0.2">
      <c r="A728" t="s">
        <v>64</v>
      </c>
      <c r="B728" t="s">
        <v>64</v>
      </c>
      <c r="C728" s="3" t="s">
        <v>64</v>
      </c>
      <c r="D728" s="16" t="s">
        <v>64</v>
      </c>
      <c r="E728" s="16">
        <v>0</v>
      </c>
      <c r="F728" s="16" t="s">
        <v>64</v>
      </c>
      <c r="G728" s="16" t="s">
        <v>64</v>
      </c>
    </row>
    <row r="729" spans="1:7" x14ac:dyDescent="0.2">
      <c r="A729" t="s">
        <v>64</v>
      </c>
      <c r="B729" t="s">
        <v>64</v>
      </c>
      <c r="C729" s="3" t="s">
        <v>64</v>
      </c>
      <c r="D729" s="16" t="s">
        <v>64</v>
      </c>
      <c r="E729" s="16">
        <v>0</v>
      </c>
      <c r="F729" s="16" t="s">
        <v>64</v>
      </c>
      <c r="G729" s="16" t="s">
        <v>64</v>
      </c>
    </row>
    <row r="730" spans="1:7" x14ac:dyDescent="0.2">
      <c r="A730" t="s">
        <v>64</v>
      </c>
      <c r="B730" t="s">
        <v>64</v>
      </c>
      <c r="C730" s="3" t="s">
        <v>64</v>
      </c>
      <c r="D730" s="16" t="s">
        <v>64</v>
      </c>
      <c r="E730" s="16">
        <v>0</v>
      </c>
      <c r="F730" s="16" t="s">
        <v>64</v>
      </c>
      <c r="G730" s="16" t="s">
        <v>64</v>
      </c>
    </row>
    <row r="731" spans="1:7" x14ac:dyDescent="0.2">
      <c r="A731" t="s">
        <v>64</v>
      </c>
      <c r="B731" t="s">
        <v>64</v>
      </c>
      <c r="C731" s="3" t="s">
        <v>64</v>
      </c>
      <c r="D731" s="16" t="s">
        <v>64</v>
      </c>
      <c r="E731" s="16">
        <v>0</v>
      </c>
      <c r="F731" s="16" t="s">
        <v>64</v>
      </c>
      <c r="G731" s="16" t="s">
        <v>64</v>
      </c>
    </row>
    <row r="732" spans="1:7" x14ac:dyDescent="0.2">
      <c r="A732" t="s">
        <v>64</v>
      </c>
      <c r="B732" t="s">
        <v>64</v>
      </c>
      <c r="C732" s="3" t="s">
        <v>64</v>
      </c>
      <c r="D732" s="16" t="s">
        <v>64</v>
      </c>
      <c r="E732" s="16">
        <v>0</v>
      </c>
      <c r="F732" s="16" t="s">
        <v>64</v>
      </c>
      <c r="G732" s="16" t="s">
        <v>64</v>
      </c>
    </row>
    <row r="733" spans="1:7" x14ac:dyDescent="0.2">
      <c r="A733" t="s">
        <v>64</v>
      </c>
      <c r="B733" t="s">
        <v>64</v>
      </c>
      <c r="C733" s="3" t="s">
        <v>64</v>
      </c>
      <c r="D733" s="16" t="s">
        <v>64</v>
      </c>
      <c r="E733" s="16">
        <v>0</v>
      </c>
      <c r="F733" s="16" t="s">
        <v>64</v>
      </c>
      <c r="G733" s="16" t="s">
        <v>64</v>
      </c>
    </row>
    <row r="734" spans="1:7" x14ac:dyDescent="0.2">
      <c r="A734" t="s">
        <v>64</v>
      </c>
      <c r="B734" t="s">
        <v>64</v>
      </c>
      <c r="C734" s="3" t="s">
        <v>64</v>
      </c>
      <c r="D734" s="16" t="s">
        <v>64</v>
      </c>
      <c r="E734" s="16">
        <v>0</v>
      </c>
      <c r="F734" s="16" t="s">
        <v>64</v>
      </c>
      <c r="G734" s="16" t="s">
        <v>64</v>
      </c>
    </row>
    <row r="735" spans="1:7" x14ac:dyDescent="0.2">
      <c r="A735" t="s">
        <v>64</v>
      </c>
      <c r="B735" t="s">
        <v>64</v>
      </c>
      <c r="C735" s="3" t="s">
        <v>64</v>
      </c>
      <c r="D735" s="16" t="s">
        <v>64</v>
      </c>
      <c r="E735" s="16">
        <v>0</v>
      </c>
      <c r="F735" s="16" t="s">
        <v>64</v>
      </c>
      <c r="G735" s="16" t="s">
        <v>64</v>
      </c>
    </row>
    <row r="736" spans="1:7" x14ac:dyDescent="0.2">
      <c r="A736" t="s">
        <v>64</v>
      </c>
      <c r="B736" t="s">
        <v>64</v>
      </c>
      <c r="C736" s="3" t="s">
        <v>64</v>
      </c>
      <c r="D736" s="16" t="s">
        <v>64</v>
      </c>
      <c r="E736" s="16">
        <v>0</v>
      </c>
      <c r="F736" s="16" t="s">
        <v>64</v>
      </c>
      <c r="G736" s="16" t="s">
        <v>64</v>
      </c>
    </row>
    <row r="737" spans="1:7" x14ac:dyDescent="0.2">
      <c r="A737" t="s">
        <v>64</v>
      </c>
      <c r="B737" t="s">
        <v>64</v>
      </c>
      <c r="C737" s="3" t="s">
        <v>64</v>
      </c>
      <c r="D737" s="16" t="s">
        <v>64</v>
      </c>
      <c r="E737" s="16">
        <v>0</v>
      </c>
      <c r="F737" s="16" t="s">
        <v>64</v>
      </c>
      <c r="G737" s="16" t="s">
        <v>64</v>
      </c>
    </row>
    <row r="738" spans="1:7" x14ac:dyDescent="0.2">
      <c r="A738" t="s">
        <v>64</v>
      </c>
      <c r="B738" t="s">
        <v>64</v>
      </c>
      <c r="C738" s="3" t="s">
        <v>64</v>
      </c>
      <c r="D738" s="16" t="s">
        <v>64</v>
      </c>
      <c r="E738" s="16">
        <v>0</v>
      </c>
      <c r="F738" s="16" t="s">
        <v>64</v>
      </c>
      <c r="G738" s="16" t="s">
        <v>64</v>
      </c>
    </row>
    <row r="739" spans="1:7" x14ac:dyDescent="0.2">
      <c r="A739" t="s">
        <v>64</v>
      </c>
      <c r="B739" t="s">
        <v>64</v>
      </c>
      <c r="C739" s="3" t="s">
        <v>64</v>
      </c>
      <c r="D739" s="16" t="s">
        <v>64</v>
      </c>
      <c r="E739" s="16">
        <v>0</v>
      </c>
      <c r="F739" s="16" t="s">
        <v>64</v>
      </c>
      <c r="G739" s="16" t="s">
        <v>64</v>
      </c>
    </row>
    <row r="740" spans="1:7" x14ac:dyDescent="0.2">
      <c r="A740" t="s">
        <v>64</v>
      </c>
      <c r="B740" t="s">
        <v>64</v>
      </c>
      <c r="C740" s="3" t="s">
        <v>64</v>
      </c>
      <c r="D740" s="16" t="s">
        <v>64</v>
      </c>
      <c r="E740" s="16">
        <v>0</v>
      </c>
      <c r="F740" s="16" t="s">
        <v>64</v>
      </c>
      <c r="G740" s="16" t="s">
        <v>64</v>
      </c>
    </row>
    <row r="741" spans="1:7" x14ac:dyDescent="0.2">
      <c r="A741" t="s">
        <v>64</v>
      </c>
      <c r="B741" t="s">
        <v>64</v>
      </c>
      <c r="C741" s="3" t="s">
        <v>64</v>
      </c>
      <c r="D741" s="16" t="s">
        <v>64</v>
      </c>
      <c r="E741" s="16">
        <v>0</v>
      </c>
      <c r="F741" s="16" t="s">
        <v>64</v>
      </c>
      <c r="G741" s="16" t="s">
        <v>64</v>
      </c>
    </row>
    <row r="742" spans="1:7" x14ac:dyDescent="0.2">
      <c r="A742" t="s">
        <v>64</v>
      </c>
      <c r="B742" t="s">
        <v>64</v>
      </c>
      <c r="C742" s="3" t="s">
        <v>64</v>
      </c>
      <c r="D742" s="16" t="s">
        <v>64</v>
      </c>
      <c r="E742" s="16">
        <v>0</v>
      </c>
      <c r="F742" s="16" t="s">
        <v>64</v>
      </c>
      <c r="G742" s="16" t="s">
        <v>64</v>
      </c>
    </row>
    <row r="743" spans="1:7" x14ac:dyDescent="0.2">
      <c r="A743" t="s">
        <v>64</v>
      </c>
      <c r="B743" t="s">
        <v>64</v>
      </c>
      <c r="C743" s="3" t="s">
        <v>64</v>
      </c>
      <c r="D743" s="16" t="s">
        <v>64</v>
      </c>
      <c r="E743" s="16">
        <v>0</v>
      </c>
      <c r="F743" s="16" t="s">
        <v>64</v>
      </c>
      <c r="G743" s="16" t="s">
        <v>64</v>
      </c>
    </row>
    <row r="744" spans="1:7" x14ac:dyDescent="0.2">
      <c r="A744" t="s">
        <v>64</v>
      </c>
      <c r="B744" t="s">
        <v>64</v>
      </c>
      <c r="C744" s="3" t="s">
        <v>64</v>
      </c>
      <c r="D744" s="16" t="s">
        <v>64</v>
      </c>
      <c r="E744" s="16">
        <v>0</v>
      </c>
      <c r="F744" s="16" t="s">
        <v>64</v>
      </c>
      <c r="G744" s="16" t="s">
        <v>64</v>
      </c>
    </row>
    <row r="745" spans="1:7" x14ac:dyDescent="0.2">
      <c r="A745" t="s">
        <v>64</v>
      </c>
      <c r="B745" t="s">
        <v>64</v>
      </c>
      <c r="C745" s="3" t="s">
        <v>64</v>
      </c>
      <c r="D745" s="16" t="s">
        <v>64</v>
      </c>
      <c r="E745" s="16">
        <v>0</v>
      </c>
      <c r="F745" s="16" t="s">
        <v>64</v>
      </c>
      <c r="G745" s="16" t="s">
        <v>64</v>
      </c>
    </row>
    <row r="746" spans="1:7" x14ac:dyDescent="0.2">
      <c r="A746" t="s">
        <v>64</v>
      </c>
      <c r="B746" t="s">
        <v>64</v>
      </c>
      <c r="C746" s="3" t="s">
        <v>64</v>
      </c>
      <c r="D746" s="16" t="s">
        <v>64</v>
      </c>
      <c r="E746" s="16">
        <v>0</v>
      </c>
      <c r="F746" s="16" t="s">
        <v>64</v>
      </c>
      <c r="G746" s="16" t="s">
        <v>64</v>
      </c>
    </row>
    <row r="747" spans="1:7" x14ac:dyDescent="0.2">
      <c r="A747" t="s">
        <v>64</v>
      </c>
      <c r="B747" t="s">
        <v>64</v>
      </c>
      <c r="C747" s="3" t="s">
        <v>64</v>
      </c>
      <c r="D747" s="16" t="s">
        <v>64</v>
      </c>
      <c r="E747" s="16">
        <v>0</v>
      </c>
      <c r="F747" s="16" t="s">
        <v>64</v>
      </c>
      <c r="G747" s="16" t="s">
        <v>64</v>
      </c>
    </row>
    <row r="748" spans="1:7" x14ac:dyDescent="0.2">
      <c r="A748" t="s">
        <v>64</v>
      </c>
      <c r="B748" t="s">
        <v>64</v>
      </c>
      <c r="C748" s="3" t="s">
        <v>64</v>
      </c>
      <c r="D748" s="16" t="s">
        <v>64</v>
      </c>
      <c r="E748" s="16">
        <v>0</v>
      </c>
      <c r="F748" s="16" t="s">
        <v>64</v>
      </c>
      <c r="G748" s="16" t="s">
        <v>64</v>
      </c>
    </row>
    <row r="749" spans="1:7" x14ac:dyDescent="0.2">
      <c r="A749" t="s">
        <v>64</v>
      </c>
      <c r="B749" t="s">
        <v>64</v>
      </c>
      <c r="C749" s="3" t="s">
        <v>64</v>
      </c>
      <c r="D749" s="16" t="s">
        <v>64</v>
      </c>
      <c r="E749" s="16">
        <v>0</v>
      </c>
      <c r="F749" s="16" t="s">
        <v>64</v>
      </c>
      <c r="G749" s="16" t="s">
        <v>64</v>
      </c>
    </row>
    <row r="750" spans="1:7" x14ac:dyDescent="0.2">
      <c r="A750" t="s">
        <v>64</v>
      </c>
      <c r="B750" t="s">
        <v>64</v>
      </c>
      <c r="C750" s="3" t="s">
        <v>64</v>
      </c>
      <c r="D750" s="16" t="s">
        <v>64</v>
      </c>
      <c r="E750" s="16">
        <v>0</v>
      </c>
      <c r="F750" s="16" t="s">
        <v>64</v>
      </c>
      <c r="G750" s="16" t="s">
        <v>64</v>
      </c>
    </row>
    <row r="751" spans="1:7" x14ac:dyDescent="0.2">
      <c r="A751" t="s">
        <v>64</v>
      </c>
      <c r="B751" t="s">
        <v>64</v>
      </c>
      <c r="C751" s="3" t="s">
        <v>64</v>
      </c>
      <c r="D751" s="16" t="s">
        <v>64</v>
      </c>
      <c r="E751" s="16">
        <v>0</v>
      </c>
      <c r="F751" s="16" t="s">
        <v>64</v>
      </c>
      <c r="G751" s="16" t="s">
        <v>64</v>
      </c>
    </row>
    <row r="752" spans="1:7" x14ac:dyDescent="0.2">
      <c r="A752" t="s">
        <v>64</v>
      </c>
      <c r="B752" t="s">
        <v>64</v>
      </c>
      <c r="C752" s="3" t="s">
        <v>64</v>
      </c>
      <c r="D752" s="16" t="s">
        <v>64</v>
      </c>
      <c r="E752" s="16">
        <v>0</v>
      </c>
      <c r="F752" s="16" t="s">
        <v>64</v>
      </c>
      <c r="G752" s="16" t="s">
        <v>64</v>
      </c>
    </row>
    <row r="753" spans="1:7" x14ac:dyDescent="0.2">
      <c r="A753" t="s">
        <v>64</v>
      </c>
      <c r="B753" t="s">
        <v>64</v>
      </c>
      <c r="C753" s="3" t="s">
        <v>64</v>
      </c>
      <c r="D753" s="16" t="s">
        <v>64</v>
      </c>
      <c r="E753" s="16">
        <v>0</v>
      </c>
      <c r="F753" s="16" t="s">
        <v>64</v>
      </c>
      <c r="G753" s="16" t="s">
        <v>64</v>
      </c>
    </row>
    <row r="754" spans="1:7" x14ac:dyDescent="0.2">
      <c r="A754" t="s">
        <v>64</v>
      </c>
      <c r="B754" t="s">
        <v>64</v>
      </c>
      <c r="C754" s="3" t="s">
        <v>64</v>
      </c>
      <c r="D754" s="16" t="s">
        <v>64</v>
      </c>
      <c r="E754" s="16">
        <v>0</v>
      </c>
      <c r="F754" s="16" t="s">
        <v>64</v>
      </c>
      <c r="G754" s="16" t="s">
        <v>64</v>
      </c>
    </row>
    <row r="755" spans="1:7" x14ac:dyDescent="0.2">
      <c r="A755" t="s">
        <v>64</v>
      </c>
      <c r="B755" t="s">
        <v>64</v>
      </c>
      <c r="C755" s="3" t="s">
        <v>64</v>
      </c>
      <c r="D755" s="16" t="s">
        <v>64</v>
      </c>
      <c r="E755" s="16">
        <v>0</v>
      </c>
      <c r="F755" s="16" t="s">
        <v>64</v>
      </c>
      <c r="G755" s="16" t="s">
        <v>64</v>
      </c>
    </row>
    <row r="756" spans="1:7" x14ac:dyDescent="0.2">
      <c r="A756" t="s">
        <v>64</v>
      </c>
      <c r="B756" t="s">
        <v>64</v>
      </c>
      <c r="C756" s="3" t="s">
        <v>64</v>
      </c>
      <c r="D756" s="16" t="s">
        <v>64</v>
      </c>
      <c r="E756" s="16">
        <v>0</v>
      </c>
      <c r="F756" s="16" t="s">
        <v>64</v>
      </c>
      <c r="G756" s="16" t="s">
        <v>64</v>
      </c>
    </row>
    <row r="757" spans="1:7" x14ac:dyDescent="0.2">
      <c r="A757" t="s">
        <v>64</v>
      </c>
      <c r="B757" t="s">
        <v>64</v>
      </c>
      <c r="C757" s="3" t="s">
        <v>64</v>
      </c>
      <c r="D757" s="16" t="s">
        <v>64</v>
      </c>
      <c r="E757" s="16">
        <v>0</v>
      </c>
      <c r="F757" s="16" t="s">
        <v>64</v>
      </c>
      <c r="G757" s="16" t="s">
        <v>64</v>
      </c>
    </row>
    <row r="758" spans="1:7" x14ac:dyDescent="0.2">
      <c r="A758" t="s">
        <v>64</v>
      </c>
      <c r="B758" t="s">
        <v>64</v>
      </c>
      <c r="C758" s="3" t="s">
        <v>64</v>
      </c>
      <c r="D758" s="16" t="s">
        <v>64</v>
      </c>
      <c r="E758" s="16">
        <v>0</v>
      </c>
      <c r="F758" s="16" t="s">
        <v>64</v>
      </c>
      <c r="G758" s="16" t="s">
        <v>64</v>
      </c>
    </row>
    <row r="759" spans="1:7" x14ac:dyDescent="0.2">
      <c r="A759" t="s">
        <v>64</v>
      </c>
      <c r="B759" t="s">
        <v>64</v>
      </c>
      <c r="C759" s="3" t="s">
        <v>64</v>
      </c>
      <c r="D759" s="16" t="s">
        <v>64</v>
      </c>
      <c r="E759" s="16">
        <v>0</v>
      </c>
      <c r="F759" s="16" t="s">
        <v>64</v>
      </c>
      <c r="G759" s="16" t="s">
        <v>64</v>
      </c>
    </row>
    <row r="760" spans="1:7" x14ac:dyDescent="0.2">
      <c r="A760" t="s">
        <v>64</v>
      </c>
      <c r="B760" t="s">
        <v>64</v>
      </c>
      <c r="C760" s="3" t="s">
        <v>64</v>
      </c>
      <c r="D760" s="16" t="s">
        <v>64</v>
      </c>
      <c r="E760" s="16">
        <v>0</v>
      </c>
      <c r="F760" s="16" t="s">
        <v>64</v>
      </c>
      <c r="G760" s="16" t="s">
        <v>64</v>
      </c>
    </row>
    <row r="761" spans="1:7" x14ac:dyDescent="0.2">
      <c r="A761" t="s">
        <v>64</v>
      </c>
      <c r="B761" t="s">
        <v>64</v>
      </c>
      <c r="C761" s="3" t="s">
        <v>64</v>
      </c>
      <c r="D761" s="16" t="s">
        <v>64</v>
      </c>
      <c r="E761" s="16">
        <v>0</v>
      </c>
      <c r="F761" s="16" t="s">
        <v>64</v>
      </c>
      <c r="G761" s="16" t="s">
        <v>64</v>
      </c>
    </row>
    <row r="762" spans="1:7" x14ac:dyDescent="0.2">
      <c r="A762" t="s">
        <v>64</v>
      </c>
      <c r="B762" t="s">
        <v>64</v>
      </c>
      <c r="C762" s="3" t="s">
        <v>64</v>
      </c>
      <c r="D762" s="16" t="s">
        <v>64</v>
      </c>
      <c r="E762" s="16">
        <v>0</v>
      </c>
      <c r="F762" s="16" t="s">
        <v>64</v>
      </c>
      <c r="G762" s="16" t="s">
        <v>64</v>
      </c>
    </row>
    <row r="763" spans="1:7" x14ac:dyDescent="0.2">
      <c r="A763" t="s">
        <v>64</v>
      </c>
      <c r="B763" t="s">
        <v>64</v>
      </c>
      <c r="C763" s="3" t="s">
        <v>64</v>
      </c>
      <c r="D763" s="16" t="s">
        <v>64</v>
      </c>
      <c r="E763" s="16">
        <v>0</v>
      </c>
      <c r="F763" s="16" t="s">
        <v>64</v>
      </c>
      <c r="G763" s="16" t="s">
        <v>64</v>
      </c>
    </row>
    <row r="764" spans="1:7" x14ac:dyDescent="0.2">
      <c r="A764" t="s">
        <v>64</v>
      </c>
      <c r="B764" t="s">
        <v>64</v>
      </c>
      <c r="C764" s="3" t="s">
        <v>64</v>
      </c>
      <c r="D764" s="16" t="s">
        <v>64</v>
      </c>
      <c r="E764" s="16">
        <v>0</v>
      </c>
      <c r="F764" s="16" t="s">
        <v>64</v>
      </c>
      <c r="G764" s="16" t="s">
        <v>64</v>
      </c>
    </row>
    <row r="765" spans="1:7" x14ac:dyDescent="0.2">
      <c r="A765" t="s">
        <v>64</v>
      </c>
      <c r="B765" t="s">
        <v>64</v>
      </c>
      <c r="C765" s="3" t="s">
        <v>64</v>
      </c>
      <c r="D765" s="16" t="s">
        <v>64</v>
      </c>
      <c r="E765" s="16">
        <v>0</v>
      </c>
      <c r="F765" s="16" t="s">
        <v>64</v>
      </c>
      <c r="G765" s="16" t="s">
        <v>64</v>
      </c>
    </row>
    <row r="766" spans="1:7" x14ac:dyDescent="0.2">
      <c r="A766" t="s">
        <v>64</v>
      </c>
      <c r="B766" t="s">
        <v>64</v>
      </c>
      <c r="C766" s="3" t="s">
        <v>64</v>
      </c>
      <c r="D766" s="16" t="s">
        <v>64</v>
      </c>
      <c r="E766" s="16">
        <v>0</v>
      </c>
      <c r="F766" s="16" t="s">
        <v>64</v>
      </c>
      <c r="G766" s="16" t="s">
        <v>64</v>
      </c>
    </row>
    <row r="767" spans="1:7" x14ac:dyDescent="0.2">
      <c r="A767" t="s">
        <v>64</v>
      </c>
      <c r="B767" t="s">
        <v>64</v>
      </c>
      <c r="C767" s="3" t="s">
        <v>64</v>
      </c>
      <c r="D767" s="16" t="s">
        <v>64</v>
      </c>
      <c r="E767" s="16">
        <v>0</v>
      </c>
      <c r="F767" s="16" t="s">
        <v>64</v>
      </c>
      <c r="G767" s="16" t="s">
        <v>64</v>
      </c>
    </row>
    <row r="768" spans="1:7" x14ac:dyDescent="0.2">
      <c r="A768" t="s">
        <v>64</v>
      </c>
      <c r="B768" t="s">
        <v>64</v>
      </c>
      <c r="C768" s="3" t="s">
        <v>64</v>
      </c>
      <c r="D768" s="16" t="s">
        <v>64</v>
      </c>
      <c r="E768" s="16">
        <v>0</v>
      </c>
      <c r="F768" s="16" t="s">
        <v>64</v>
      </c>
      <c r="G768" s="16" t="s">
        <v>64</v>
      </c>
    </row>
    <row r="769" spans="1:7" x14ac:dyDescent="0.2">
      <c r="A769" t="s">
        <v>64</v>
      </c>
      <c r="B769" t="s">
        <v>64</v>
      </c>
      <c r="C769" s="3" t="s">
        <v>64</v>
      </c>
      <c r="D769" s="16" t="s">
        <v>64</v>
      </c>
      <c r="E769" s="16">
        <v>0</v>
      </c>
      <c r="F769" s="16" t="s">
        <v>64</v>
      </c>
      <c r="G769" s="16" t="s">
        <v>64</v>
      </c>
    </row>
    <row r="770" spans="1:7" x14ac:dyDescent="0.2">
      <c r="A770" t="s">
        <v>64</v>
      </c>
      <c r="B770" t="s">
        <v>64</v>
      </c>
      <c r="C770" s="3" t="s">
        <v>64</v>
      </c>
      <c r="D770" s="16" t="s">
        <v>64</v>
      </c>
      <c r="E770" s="16">
        <v>0</v>
      </c>
      <c r="F770" s="16" t="s">
        <v>64</v>
      </c>
      <c r="G770" s="16" t="s">
        <v>64</v>
      </c>
    </row>
    <row r="771" spans="1:7" x14ac:dyDescent="0.2">
      <c r="A771" t="s">
        <v>64</v>
      </c>
      <c r="B771" t="s">
        <v>64</v>
      </c>
      <c r="C771" s="3" t="s">
        <v>64</v>
      </c>
      <c r="D771" s="16" t="s">
        <v>64</v>
      </c>
      <c r="E771" s="16">
        <v>0</v>
      </c>
      <c r="F771" s="16" t="s">
        <v>64</v>
      </c>
      <c r="G771" s="16" t="s">
        <v>64</v>
      </c>
    </row>
    <row r="772" spans="1:7" x14ac:dyDescent="0.2">
      <c r="A772" t="s">
        <v>64</v>
      </c>
      <c r="B772" t="s">
        <v>64</v>
      </c>
      <c r="C772" s="3" t="s">
        <v>64</v>
      </c>
      <c r="D772" s="16" t="s">
        <v>64</v>
      </c>
      <c r="E772" s="16">
        <v>0</v>
      </c>
      <c r="F772" s="16" t="s">
        <v>64</v>
      </c>
      <c r="G772" s="16" t="s">
        <v>64</v>
      </c>
    </row>
    <row r="773" spans="1:7" x14ac:dyDescent="0.2">
      <c r="A773" t="s">
        <v>64</v>
      </c>
      <c r="B773" t="s">
        <v>64</v>
      </c>
      <c r="C773" s="3" t="s">
        <v>64</v>
      </c>
      <c r="D773" s="16" t="s">
        <v>64</v>
      </c>
      <c r="E773" s="16">
        <v>0</v>
      </c>
      <c r="F773" s="16" t="s">
        <v>64</v>
      </c>
      <c r="G773" s="16" t="s">
        <v>64</v>
      </c>
    </row>
    <row r="774" spans="1:7" x14ac:dyDescent="0.2">
      <c r="A774" t="s">
        <v>64</v>
      </c>
      <c r="B774" t="s">
        <v>64</v>
      </c>
      <c r="C774" s="3" t="s">
        <v>64</v>
      </c>
      <c r="D774" s="16" t="s">
        <v>64</v>
      </c>
      <c r="E774" s="16">
        <v>0</v>
      </c>
      <c r="F774" s="16" t="s">
        <v>64</v>
      </c>
      <c r="G774" s="16" t="s">
        <v>64</v>
      </c>
    </row>
    <row r="775" spans="1:7" x14ac:dyDescent="0.2">
      <c r="A775" t="s">
        <v>64</v>
      </c>
      <c r="B775" t="s">
        <v>64</v>
      </c>
      <c r="C775" s="3" t="s">
        <v>64</v>
      </c>
      <c r="D775" s="16" t="s">
        <v>64</v>
      </c>
      <c r="E775" s="16">
        <v>0</v>
      </c>
      <c r="F775" s="16" t="s">
        <v>64</v>
      </c>
      <c r="G775" s="16" t="s">
        <v>64</v>
      </c>
    </row>
    <row r="776" spans="1:7" x14ac:dyDescent="0.2">
      <c r="A776" t="s">
        <v>64</v>
      </c>
      <c r="B776" t="s">
        <v>64</v>
      </c>
      <c r="C776" s="3" t="s">
        <v>64</v>
      </c>
      <c r="D776" s="16" t="s">
        <v>64</v>
      </c>
      <c r="E776" s="16">
        <v>0</v>
      </c>
      <c r="F776" s="16" t="s">
        <v>64</v>
      </c>
      <c r="G776" s="16" t="s">
        <v>64</v>
      </c>
    </row>
    <row r="777" spans="1:7" x14ac:dyDescent="0.2">
      <c r="A777" t="s">
        <v>64</v>
      </c>
      <c r="B777" t="s">
        <v>64</v>
      </c>
      <c r="C777" s="3" t="s">
        <v>64</v>
      </c>
      <c r="D777" s="16" t="s">
        <v>64</v>
      </c>
      <c r="E777" s="16">
        <v>0</v>
      </c>
      <c r="F777" s="16" t="s">
        <v>64</v>
      </c>
      <c r="G777" s="16" t="s">
        <v>64</v>
      </c>
    </row>
    <row r="778" spans="1:7" x14ac:dyDescent="0.2">
      <c r="A778" t="s">
        <v>64</v>
      </c>
      <c r="B778" t="s">
        <v>64</v>
      </c>
      <c r="C778" s="3" t="s">
        <v>64</v>
      </c>
      <c r="D778" s="16" t="s">
        <v>64</v>
      </c>
      <c r="E778" s="16">
        <v>0</v>
      </c>
      <c r="F778" s="16" t="s">
        <v>64</v>
      </c>
      <c r="G778" s="16" t="s">
        <v>64</v>
      </c>
    </row>
    <row r="779" spans="1:7" x14ac:dyDescent="0.2">
      <c r="A779" t="s">
        <v>64</v>
      </c>
      <c r="B779" t="s">
        <v>64</v>
      </c>
      <c r="C779" s="3" t="s">
        <v>64</v>
      </c>
      <c r="D779" s="16" t="s">
        <v>64</v>
      </c>
      <c r="E779" s="16">
        <v>0</v>
      </c>
      <c r="F779" s="16" t="s">
        <v>64</v>
      </c>
      <c r="G779" s="16" t="s">
        <v>64</v>
      </c>
    </row>
    <row r="780" spans="1:7" x14ac:dyDescent="0.2">
      <c r="A780" t="s">
        <v>64</v>
      </c>
      <c r="B780" t="s">
        <v>64</v>
      </c>
      <c r="C780" s="3" t="s">
        <v>64</v>
      </c>
      <c r="D780" s="16" t="s">
        <v>64</v>
      </c>
      <c r="E780" s="16">
        <v>0</v>
      </c>
      <c r="F780" s="16" t="s">
        <v>64</v>
      </c>
      <c r="G780" s="16" t="s">
        <v>64</v>
      </c>
    </row>
    <row r="781" spans="1:7" x14ac:dyDescent="0.2">
      <c r="A781" t="s">
        <v>64</v>
      </c>
      <c r="B781" t="s">
        <v>64</v>
      </c>
      <c r="C781" s="3" t="s">
        <v>64</v>
      </c>
      <c r="D781" s="16" t="s">
        <v>64</v>
      </c>
      <c r="E781" s="16">
        <v>0</v>
      </c>
      <c r="F781" s="16" t="s">
        <v>64</v>
      </c>
      <c r="G781" s="16" t="s">
        <v>64</v>
      </c>
    </row>
    <row r="782" spans="1:7" x14ac:dyDescent="0.2">
      <c r="A782" t="s">
        <v>64</v>
      </c>
      <c r="B782" t="s">
        <v>64</v>
      </c>
      <c r="C782" s="3" t="s">
        <v>64</v>
      </c>
      <c r="D782" s="16" t="s">
        <v>64</v>
      </c>
      <c r="E782" s="16">
        <v>0</v>
      </c>
      <c r="F782" s="16" t="s">
        <v>64</v>
      </c>
      <c r="G782" s="16" t="s">
        <v>64</v>
      </c>
    </row>
    <row r="783" spans="1:7" x14ac:dyDescent="0.2">
      <c r="A783" t="s">
        <v>64</v>
      </c>
      <c r="B783" t="s">
        <v>64</v>
      </c>
      <c r="C783" s="3" t="s">
        <v>64</v>
      </c>
      <c r="D783" s="16" t="s">
        <v>64</v>
      </c>
      <c r="E783" s="16">
        <v>0</v>
      </c>
      <c r="F783" s="16" t="s">
        <v>64</v>
      </c>
      <c r="G783" s="16" t="s">
        <v>64</v>
      </c>
    </row>
    <row r="784" spans="1:7" x14ac:dyDescent="0.2">
      <c r="A784" t="s">
        <v>64</v>
      </c>
      <c r="B784" t="s">
        <v>64</v>
      </c>
      <c r="C784" s="3" t="s">
        <v>64</v>
      </c>
      <c r="D784" s="16" t="s">
        <v>64</v>
      </c>
      <c r="E784" s="16">
        <v>0</v>
      </c>
      <c r="F784" s="16" t="s">
        <v>64</v>
      </c>
      <c r="G784" s="16" t="s">
        <v>64</v>
      </c>
    </row>
    <row r="785" spans="1:7" x14ac:dyDescent="0.2">
      <c r="A785" t="s">
        <v>64</v>
      </c>
      <c r="B785" t="s">
        <v>64</v>
      </c>
      <c r="C785" s="3" t="s">
        <v>64</v>
      </c>
      <c r="D785" s="16" t="s">
        <v>64</v>
      </c>
      <c r="E785" s="16">
        <v>0</v>
      </c>
      <c r="F785" s="16" t="s">
        <v>64</v>
      </c>
      <c r="G785" s="16" t="s">
        <v>64</v>
      </c>
    </row>
    <row r="786" spans="1:7" x14ac:dyDescent="0.2">
      <c r="A786" t="s">
        <v>64</v>
      </c>
      <c r="B786" t="s">
        <v>64</v>
      </c>
      <c r="C786" s="3" t="s">
        <v>64</v>
      </c>
      <c r="D786" s="16" t="s">
        <v>64</v>
      </c>
      <c r="E786" s="16">
        <v>0</v>
      </c>
      <c r="F786" s="16" t="s">
        <v>64</v>
      </c>
      <c r="G786" s="16" t="s">
        <v>64</v>
      </c>
    </row>
    <row r="787" spans="1:7" x14ac:dyDescent="0.2">
      <c r="A787" t="s">
        <v>64</v>
      </c>
      <c r="B787" t="s">
        <v>64</v>
      </c>
      <c r="C787" s="3" t="s">
        <v>64</v>
      </c>
      <c r="D787" s="16" t="s">
        <v>64</v>
      </c>
      <c r="E787" s="16">
        <v>0</v>
      </c>
      <c r="F787" s="16" t="s">
        <v>64</v>
      </c>
      <c r="G787" s="16" t="s">
        <v>64</v>
      </c>
    </row>
    <row r="788" spans="1:7" x14ac:dyDescent="0.2">
      <c r="A788" t="s">
        <v>64</v>
      </c>
      <c r="B788" t="s">
        <v>64</v>
      </c>
      <c r="C788" s="3" t="s">
        <v>64</v>
      </c>
      <c r="D788" s="16" t="s">
        <v>64</v>
      </c>
      <c r="E788" s="16">
        <v>0</v>
      </c>
      <c r="F788" s="16" t="s">
        <v>64</v>
      </c>
      <c r="G788" s="16" t="s">
        <v>64</v>
      </c>
    </row>
    <row r="789" spans="1:7" x14ac:dyDescent="0.2">
      <c r="A789" t="s">
        <v>64</v>
      </c>
      <c r="B789" t="s">
        <v>64</v>
      </c>
      <c r="C789" s="3" t="s">
        <v>64</v>
      </c>
      <c r="D789" s="16" t="s">
        <v>64</v>
      </c>
      <c r="E789" s="16">
        <v>0</v>
      </c>
      <c r="F789" s="16" t="s">
        <v>64</v>
      </c>
      <c r="G789" s="16" t="s">
        <v>64</v>
      </c>
    </row>
    <row r="790" spans="1:7" x14ac:dyDescent="0.2">
      <c r="A790" t="s">
        <v>64</v>
      </c>
      <c r="B790" t="s">
        <v>64</v>
      </c>
      <c r="C790" s="3" t="s">
        <v>64</v>
      </c>
      <c r="D790" s="16" t="s">
        <v>64</v>
      </c>
      <c r="E790" s="16">
        <v>0</v>
      </c>
      <c r="F790" s="16" t="s">
        <v>64</v>
      </c>
      <c r="G790" s="16" t="s">
        <v>64</v>
      </c>
    </row>
    <row r="791" spans="1:7" x14ac:dyDescent="0.2">
      <c r="A791" t="s">
        <v>64</v>
      </c>
      <c r="B791" t="s">
        <v>64</v>
      </c>
      <c r="C791" s="3" t="s">
        <v>64</v>
      </c>
      <c r="D791" s="16" t="s">
        <v>64</v>
      </c>
      <c r="E791" s="16">
        <v>0</v>
      </c>
      <c r="F791" s="16" t="s">
        <v>64</v>
      </c>
      <c r="G791" s="16" t="s">
        <v>64</v>
      </c>
    </row>
    <row r="792" spans="1:7" x14ac:dyDescent="0.2">
      <c r="A792" t="s">
        <v>64</v>
      </c>
      <c r="B792" t="s">
        <v>64</v>
      </c>
      <c r="C792" s="3" t="s">
        <v>64</v>
      </c>
      <c r="D792" s="16" t="s">
        <v>64</v>
      </c>
      <c r="E792" s="16">
        <v>0</v>
      </c>
      <c r="F792" s="16" t="s">
        <v>64</v>
      </c>
      <c r="G792" s="16" t="s">
        <v>64</v>
      </c>
    </row>
    <row r="793" spans="1:7" x14ac:dyDescent="0.2">
      <c r="A793" t="s">
        <v>64</v>
      </c>
      <c r="B793" t="s">
        <v>64</v>
      </c>
      <c r="C793" s="3" t="s">
        <v>64</v>
      </c>
      <c r="D793" s="16" t="s">
        <v>64</v>
      </c>
      <c r="E793" s="16">
        <v>0</v>
      </c>
      <c r="F793" s="16" t="s">
        <v>64</v>
      </c>
      <c r="G793" s="16" t="s">
        <v>64</v>
      </c>
    </row>
    <row r="794" spans="1:7" x14ac:dyDescent="0.2">
      <c r="A794" t="s">
        <v>64</v>
      </c>
      <c r="B794" t="s">
        <v>64</v>
      </c>
      <c r="C794" s="3" t="s">
        <v>64</v>
      </c>
      <c r="D794" s="16" t="s">
        <v>64</v>
      </c>
      <c r="E794" s="16">
        <v>0</v>
      </c>
      <c r="F794" s="16" t="s">
        <v>64</v>
      </c>
      <c r="G794" s="16" t="s">
        <v>64</v>
      </c>
    </row>
    <row r="795" spans="1:7" x14ac:dyDescent="0.2">
      <c r="A795" t="s">
        <v>64</v>
      </c>
      <c r="B795" t="s">
        <v>64</v>
      </c>
      <c r="C795" s="3" t="s">
        <v>64</v>
      </c>
      <c r="D795" s="16" t="s">
        <v>64</v>
      </c>
      <c r="E795" s="16">
        <v>0</v>
      </c>
      <c r="F795" s="16" t="s">
        <v>64</v>
      </c>
      <c r="G795" s="16" t="s">
        <v>64</v>
      </c>
    </row>
    <row r="796" spans="1:7" x14ac:dyDescent="0.2">
      <c r="A796" t="s">
        <v>64</v>
      </c>
      <c r="B796" t="s">
        <v>64</v>
      </c>
      <c r="C796" s="3" t="s">
        <v>64</v>
      </c>
      <c r="D796" s="16" t="s">
        <v>64</v>
      </c>
      <c r="E796" s="16">
        <v>0</v>
      </c>
      <c r="F796" s="16" t="s">
        <v>64</v>
      </c>
      <c r="G796" s="16" t="s">
        <v>64</v>
      </c>
    </row>
    <row r="797" spans="1:7" x14ac:dyDescent="0.2">
      <c r="A797" t="s">
        <v>64</v>
      </c>
      <c r="B797" t="s">
        <v>64</v>
      </c>
      <c r="C797" s="3" t="s">
        <v>64</v>
      </c>
      <c r="D797" s="16" t="s">
        <v>64</v>
      </c>
      <c r="E797" s="16">
        <v>0</v>
      </c>
      <c r="F797" s="16" t="s">
        <v>64</v>
      </c>
      <c r="G797" s="16" t="s">
        <v>64</v>
      </c>
    </row>
    <row r="798" spans="1:7" x14ac:dyDescent="0.2">
      <c r="A798" t="s">
        <v>64</v>
      </c>
      <c r="B798" t="s">
        <v>64</v>
      </c>
      <c r="C798" s="3" t="s">
        <v>64</v>
      </c>
      <c r="D798" s="16" t="s">
        <v>64</v>
      </c>
      <c r="E798" s="16">
        <v>0</v>
      </c>
      <c r="F798" s="16" t="s">
        <v>64</v>
      </c>
      <c r="G798" s="16" t="s">
        <v>64</v>
      </c>
    </row>
    <row r="799" spans="1:7" x14ac:dyDescent="0.2">
      <c r="A799" t="s">
        <v>64</v>
      </c>
      <c r="B799" t="s">
        <v>64</v>
      </c>
      <c r="C799" s="3" t="s">
        <v>64</v>
      </c>
      <c r="D799" s="16" t="s">
        <v>64</v>
      </c>
      <c r="E799" s="16">
        <v>0</v>
      </c>
      <c r="F799" s="16" t="s">
        <v>64</v>
      </c>
      <c r="G799" s="16" t="s">
        <v>64</v>
      </c>
    </row>
    <row r="800" spans="1:7" x14ac:dyDescent="0.2">
      <c r="A800" t="s">
        <v>64</v>
      </c>
      <c r="B800" t="s">
        <v>64</v>
      </c>
      <c r="C800" s="3" t="s">
        <v>64</v>
      </c>
      <c r="D800" s="16" t="s">
        <v>64</v>
      </c>
      <c r="E800" s="16">
        <v>0</v>
      </c>
      <c r="F800" s="16" t="s">
        <v>64</v>
      </c>
      <c r="G800" s="16" t="s">
        <v>64</v>
      </c>
    </row>
    <row r="801" spans="1:7" x14ac:dyDescent="0.2">
      <c r="A801" t="s">
        <v>64</v>
      </c>
      <c r="B801" t="s">
        <v>64</v>
      </c>
      <c r="C801" s="3" t="s">
        <v>64</v>
      </c>
      <c r="D801" s="16" t="s">
        <v>64</v>
      </c>
      <c r="E801" s="16">
        <v>0</v>
      </c>
      <c r="F801" s="16" t="s">
        <v>64</v>
      </c>
      <c r="G801" s="16" t="s">
        <v>64</v>
      </c>
    </row>
    <row r="802" spans="1:7" x14ac:dyDescent="0.2">
      <c r="A802" t="s">
        <v>64</v>
      </c>
      <c r="B802" t="s">
        <v>64</v>
      </c>
      <c r="C802" s="3" t="s">
        <v>64</v>
      </c>
      <c r="D802" s="16" t="s">
        <v>64</v>
      </c>
      <c r="E802" s="16">
        <v>0</v>
      </c>
      <c r="F802" s="16" t="s">
        <v>64</v>
      </c>
      <c r="G802" s="16" t="s">
        <v>64</v>
      </c>
    </row>
    <row r="803" spans="1:7" x14ac:dyDescent="0.2">
      <c r="A803" t="s">
        <v>64</v>
      </c>
      <c r="B803" t="s">
        <v>64</v>
      </c>
      <c r="C803" s="3" t="s">
        <v>64</v>
      </c>
      <c r="D803" s="16" t="s">
        <v>64</v>
      </c>
      <c r="E803" s="16">
        <v>0</v>
      </c>
      <c r="F803" s="16" t="s">
        <v>64</v>
      </c>
      <c r="G803" s="16" t="s">
        <v>64</v>
      </c>
    </row>
    <row r="804" spans="1:7" x14ac:dyDescent="0.2">
      <c r="A804" t="s">
        <v>64</v>
      </c>
      <c r="B804" t="s">
        <v>64</v>
      </c>
      <c r="C804" s="3" t="s">
        <v>64</v>
      </c>
      <c r="D804" s="16" t="s">
        <v>64</v>
      </c>
      <c r="E804" s="16">
        <v>0</v>
      </c>
      <c r="F804" s="16" t="s">
        <v>64</v>
      </c>
      <c r="G804" s="16" t="s">
        <v>64</v>
      </c>
    </row>
    <row r="805" spans="1:7" x14ac:dyDescent="0.2">
      <c r="A805" t="s">
        <v>64</v>
      </c>
      <c r="B805" t="s">
        <v>64</v>
      </c>
      <c r="C805" s="3" t="s">
        <v>64</v>
      </c>
      <c r="D805" s="16" t="s">
        <v>64</v>
      </c>
      <c r="E805" s="16">
        <v>0</v>
      </c>
      <c r="F805" s="16" t="s">
        <v>64</v>
      </c>
      <c r="G805" s="16" t="s">
        <v>64</v>
      </c>
    </row>
    <row r="806" spans="1:7" x14ac:dyDescent="0.2">
      <c r="A806" t="s">
        <v>64</v>
      </c>
      <c r="B806" t="s">
        <v>64</v>
      </c>
      <c r="C806" s="3" t="s">
        <v>64</v>
      </c>
      <c r="D806" s="16" t="s">
        <v>64</v>
      </c>
      <c r="E806" s="16">
        <v>0</v>
      </c>
      <c r="F806" s="16" t="s">
        <v>64</v>
      </c>
      <c r="G806" s="16" t="s">
        <v>64</v>
      </c>
    </row>
    <row r="807" spans="1:7" x14ac:dyDescent="0.2">
      <c r="A807" t="s">
        <v>64</v>
      </c>
      <c r="B807" t="s">
        <v>64</v>
      </c>
      <c r="C807" s="3" t="s">
        <v>64</v>
      </c>
      <c r="D807" s="16" t="s">
        <v>64</v>
      </c>
      <c r="E807" s="16">
        <v>0</v>
      </c>
      <c r="F807" s="16" t="s">
        <v>64</v>
      </c>
      <c r="G807" s="16" t="s">
        <v>64</v>
      </c>
    </row>
    <row r="808" spans="1:7" x14ac:dyDescent="0.2">
      <c r="A808" t="s">
        <v>64</v>
      </c>
      <c r="B808" t="s">
        <v>64</v>
      </c>
      <c r="C808" s="3" t="s">
        <v>64</v>
      </c>
      <c r="D808" s="16" t="s">
        <v>64</v>
      </c>
      <c r="E808" s="16">
        <v>0</v>
      </c>
      <c r="F808" s="16" t="s">
        <v>64</v>
      </c>
      <c r="G808" s="16" t="s">
        <v>64</v>
      </c>
    </row>
    <row r="809" spans="1:7" x14ac:dyDescent="0.2">
      <c r="A809" t="s">
        <v>64</v>
      </c>
      <c r="B809" t="s">
        <v>64</v>
      </c>
      <c r="C809" s="3" t="s">
        <v>64</v>
      </c>
      <c r="D809" s="16" t="s">
        <v>64</v>
      </c>
      <c r="E809" s="16">
        <v>0</v>
      </c>
      <c r="F809" s="16" t="s">
        <v>64</v>
      </c>
      <c r="G809" s="16" t="s">
        <v>64</v>
      </c>
    </row>
    <row r="810" spans="1:7" x14ac:dyDescent="0.2">
      <c r="A810" t="s">
        <v>64</v>
      </c>
      <c r="B810" t="s">
        <v>64</v>
      </c>
      <c r="C810" s="3" t="s">
        <v>64</v>
      </c>
      <c r="D810" s="16" t="s">
        <v>64</v>
      </c>
      <c r="E810" s="16">
        <v>0</v>
      </c>
      <c r="F810" s="16" t="s">
        <v>64</v>
      </c>
      <c r="G810" s="16" t="s">
        <v>64</v>
      </c>
    </row>
    <row r="811" spans="1:7" x14ac:dyDescent="0.2">
      <c r="A811" t="s">
        <v>64</v>
      </c>
      <c r="B811" t="s">
        <v>64</v>
      </c>
      <c r="C811" s="3" t="s">
        <v>64</v>
      </c>
      <c r="D811" s="16" t="s">
        <v>64</v>
      </c>
      <c r="E811" s="16">
        <v>0</v>
      </c>
      <c r="F811" s="16" t="s">
        <v>64</v>
      </c>
      <c r="G811" s="16" t="s">
        <v>64</v>
      </c>
    </row>
    <row r="812" spans="1:7" x14ac:dyDescent="0.2">
      <c r="A812" t="s">
        <v>64</v>
      </c>
      <c r="B812" t="s">
        <v>64</v>
      </c>
      <c r="C812" s="3" t="s">
        <v>64</v>
      </c>
      <c r="D812" s="16" t="s">
        <v>64</v>
      </c>
      <c r="E812" s="16">
        <v>0</v>
      </c>
      <c r="F812" s="16" t="s">
        <v>64</v>
      </c>
      <c r="G812" s="16" t="s">
        <v>64</v>
      </c>
    </row>
    <row r="813" spans="1:7" x14ac:dyDescent="0.2">
      <c r="A813" t="s">
        <v>64</v>
      </c>
      <c r="B813" t="s">
        <v>64</v>
      </c>
      <c r="C813" s="3" t="s">
        <v>64</v>
      </c>
      <c r="D813" s="16" t="s">
        <v>64</v>
      </c>
      <c r="E813" s="16">
        <v>0</v>
      </c>
      <c r="F813" s="16" t="s">
        <v>64</v>
      </c>
      <c r="G813" s="16" t="s">
        <v>64</v>
      </c>
    </row>
    <row r="814" spans="1:7" x14ac:dyDescent="0.2">
      <c r="A814" t="s">
        <v>64</v>
      </c>
      <c r="B814" t="s">
        <v>64</v>
      </c>
      <c r="C814" s="3" t="s">
        <v>64</v>
      </c>
      <c r="D814" s="16" t="s">
        <v>64</v>
      </c>
      <c r="E814" s="16">
        <v>0</v>
      </c>
      <c r="F814" s="16" t="s">
        <v>64</v>
      </c>
      <c r="G814" s="16" t="s">
        <v>64</v>
      </c>
    </row>
    <row r="815" spans="1:7" x14ac:dyDescent="0.2">
      <c r="A815" t="s">
        <v>64</v>
      </c>
      <c r="B815" t="s">
        <v>64</v>
      </c>
      <c r="C815" s="3" t="s">
        <v>64</v>
      </c>
      <c r="D815" s="16" t="s">
        <v>64</v>
      </c>
      <c r="E815" s="16">
        <v>0</v>
      </c>
      <c r="F815" s="16" t="s">
        <v>64</v>
      </c>
      <c r="G815" s="16" t="s">
        <v>64</v>
      </c>
    </row>
    <row r="816" spans="1:7" x14ac:dyDescent="0.2">
      <c r="A816" t="s">
        <v>64</v>
      </c>
      <c r="B816" t="s">
        <v>64</v>
      </c>
      <c r="C816" s="3" t="s">
        <v>64</v>
      </c>
      <c r="D816" s="16" t="s">
        <v>64</v>
      </c>
      <c r="E816" s="16">
        <v>0</v>
      </c>
      <c r="F816" s="16" t="s">
        <v>64</v>
      </c>
      <c r="G816" s="16" t="s">
        <v>64</v>
      </c>
    </row>
    <row r="817" spans="1:7" x14ac:dyDescent="0.2">
      <c r="A817" t="s">
        <v>64</v>
      </c>
      <c r="B817" t="s">
        <v>64</v>
      </c>
      <c r="C817" s="3" t="s">
        <v>64</v>
      </c>
      <c r="D817" s="16" t="s">
        <v>64</v>
      </c>
      <c r="E817" s="16">
        <v>0</v>
      </c>
      <c r="F817" s="16" t="s">
        <v>64</v>
      </c>
      <c r="G817" s="16" t="s">
        <v>64</v>
      </c>
    </row>
    <row r="818" spans="1:7" x14ac:dyDescent="0.2">
      <c r="A818" t="s">
        <v>64</v>
      </c>
      <c r="B818" t="s">
        <v>64</v>
      </c>
      <c r="C818" s="3" t="s">
        <v>64</v>
      </c>
      <c r="D818" s="16" t="s">
        <v>64</v>
      </c>
      <c r="E818" s="16">
        <v>0</v>
      </c>
      <c r="F818" s="16" t="s">
        <v>64</v>
      </c>
      <c r="G818" s="16" t="s">
        <v>64</v>
      </c>
    </row>
    <row r="819" spans="1:7" x14ac:dyDescent="0.2">
      <c r="A819" t="s">
        <v>64</v>
      </c>
      <c r="B819" t="s">
        <v>64</v>
      </c>
      <c r="C819" s="3" t="s">
        <v>64</v>
      </c>
      <c r="D819" s="16" t="s">
        <v>64</v>
      </c>
      <c r="E819" s="16">
        <v>0</v>
      </c>
      <c r="F819" s="16" t="s">
        <v>64</v>
      </c>
      <c r="G819" s="16" t="s">
        <v>64</v>
      </c>
    </row>
    <row r="820" spans="1:7" x14ac:dyDescent="0.2">
      <c r="A820" t="s">
        <v>64</v>
      </c>
      <c r="B820" t="s">
        <v>64</v>
      </c>
      <c r="C820" s="3" t="s">
        <v>64</v>
      </c>
      <c r="D820" s="16" t="s">
        <v>64</v>
      </c>
      <c r="E820" s="16">
        <v>0</v>
      </c>
      <c r="F820" s="16" t="s">
        <v>64</v>
      </c>
      <c r="G820" s="16" t="s">
        <v>64</v>
      </c>
    </row>
    <row r="821" spans="1:7" x14ac:dyDescent="0.2">
      <c r="A821" t="s">
        <v>64</v>
      </c>
      <c r="B821" t="s">
        <v>64</v>
      </c>
      <c r="C821" s="3" t="s">
        <v>64</v>
      </c>
      <c r="D821" s="16" t="s">
        <v>64</v>
      </c>
      <c r="E821" s="16">
        <v>0</v>
      </c>
      <c r="F821" s="16" t="s">
        <v>64</v>
      </c>
      <c r="G821" s="16" t="s">
        <v>64</v>
      </c>
    </row>
    <row r="822" spans="1:7" x14ac:dyDescent="0.2">
      <c r="A822" t="s">
        <v>64</v>
      </c>
      <c r="B822" t="s">
        <v>64</v>
      </c>
      <c r="C822" s="3" t="s">
        <v>64</v>
      </c>
      <c r="D822" s="16" t="s">
        <v>64</v>
      </c>
      <c r="E822" s="16">
        <v>0</v>
      </c>
      <c r="F822" s="16" t="s">
        <v>64</v>
      </c>
      <c r="G822" s="16" t="s">
        <v>64</v>
      </c>
    </row>
    <row r="823" spans="1:7" x14ac:dyDescent="0.2">
      <c r="A823" t="s">
        <v>64</v>
      </c>
      <c r="B823" t="s">
        <v>64</v>
      </c>
      <c r="C823" s="3" t="s">
        <v>64</v>
      </c>
      <c r="D823" s="16" t="s">
        <v>64</v>
      </c>
      <c r="E823" s="16">
        <v>0</v>
      </c>
      <c r="F823" s="16" t="s">
        <v>64</v>
      </c>
      <c r="G823" s="16" t="s">
        <v>64</v>
      </c>
    </row>
    <row r="824" spans="1:7" x14ac:dyDescent="0.2">
      <c r="A824" t="s">
        <v>64</v>
      </c>
      <c r="B824" t="s">
        <v>64</v>
      </c>
      <c r="C824" s="3" t="s">
        <v>64</v>
      </c>
      <c r="D824" s="16" t="s">
        <v>64</v>
      </c>
      <c r="E824" s="16">
        <v>0</v>
      </c>
      <c r="F824" s="16" t="s">
        <v>64</v>
      </c>
      <c r="G824" s="16" t="s">
        <v>64</v>
      </c>
    </row>
    <row r="825" spans="1:7" x14ac:dyDescent="0.2">
      <c r="A825" t="s">
        <v>64</v>
      </c>
      <c r="B825" t="s">
        <v>64</v>
      </c>
      <c r="C825" s="3" t="s">
        <v>64</v>
      </c>
      <c r="D825" s="16" t="s">
        <v>64</v>
      </c>
      <c r="E825" s="16">
        <v>0</v>
      </c>
      <c r="F825" s="16" t="s">
        <v>64</v>
      </c>
      <c r="G825" s="16" t="s">
        <v>64</v>
      </c>
    </row>
    <row r="826" spans="1:7" x14ac:dyDescent="0.2">
      <c r="A826" t="s">
        <v>64</v>
      </c>
      <c r="B826" t="s">
        <v>64</v>
      </c>
      <c r="C826" s="3" t="s">
        <v>64</v>
      </c>
      <c r="D826" s="16" t="s">
        <v>64</v>
      </c>
      <c r="E826" s="16">
        <v>0</v>
      </c>
      <c r="F826" s="16" t="s">
        <v>64</v>
      </c>
      <c r="G826" s="16" t="s">
        <v>64</v>
      </c>
    </row>
    <row r="827" spans="1:7" x14ac:dyDescent="0.2">
      <c r="A827" t="s">
        <v>64</v>
      </c>
      <c r="B827" t="s">
        <v>64</v>
      </c>
      <c r="C827" s="3" t="s">
        <v>64</v>
      </c>
      <c r="D827" s="16" t="s">
        <v>64</v>
      </c>
      <c r="E827" s="16">
        <v>0</v>
      </c>
      <c r="F827" s="16" t="s">
        <v>64</v>
      </c>
      <c r="G827" s="16" t="s">
        <v>64</v>
      </c>
    </row>
    <row r="828" spans="1:7" x14ac:dyDescent="0.2">
      <c r="A828" t="s">
        <v>64</v>
      </c>
      <c r="B828" t="s">
        <v>64</v>
      </c>
      <c r="C828" s="3" t="s">
        <v>64</v>
      </c>
      <c r="D828" s="16" t="s">
        <v>64</v>
      </c>
      <c r="E828" s="16">
        <v>0</v>
      </c>
      <c r="F828" s="16" t="s">
        <v>64</v>
      </c>
      <c r="G828" s="16" t="s">
        <v>64</v>
      </c>
    </row>
    <row r="829" spans="1:7" x14ac:dyDescent="0.2">
      <c r="A829" t="s">
        <v>64</v>
      </c>
      <c r="B829" t="s">
        <v>64</v>
      </c>
      <c r="C829" s="3" t="s">
        <v>64</v>
      </c>
      <c r="D829" s="16" t="s">
        <v>64</v>
      </c>
      <c r="E829" s="16">
        <v>0</v>
      </c>
      <c r="F829" s="16" t="s">
        <v>64</v>
      </c>
      <c r="G829" s="16" t="s">
        <v>64</v>
      </c>
    </row>
    <row r="830" spans="1:7" x14ac:dyDescent="0.2">
      <c r="A830" t="s">
        <v>64</v>
      </c>
      <c r="B830" t="s">
        <v>64</v>
      </c>
      <c r="C830" s="3" t="s">
        <v>64</v>
      </c>
      <c r="D830" s="16" t="s">
        <v>64</v>
      </c>
      <c r="E830" s="16">
        <v>0</v>
      </c>
      <c r="F830" s="16" t="s">
        <v>64</v>
      </c>
      <c r="G830" s="16" t="s">
        <v>64</v>
      </c>
    </row>
    <row r="831" spans="1:7" x14ac:dyDescent="0.2">
      <c r="A831" t="s">
        <v>64</v>
      </c>
      <c r="B831" t="s">
        <v>64</v>
      </c>
      <c r="C831" s="3" t="s">
        <v>64</v>
      </c>
      <c r="D831" s="16" t="s">
        <v>64</v>
      </c>
      <c r="E831" s="16">
        <v>0</v>
      </c>
      <c r="F831" s="16" t="s">
        <v>64</v>
      </c>
      <c r="G831" s="16" t="s">
        <v>64</v>
      </c>
    </row>
    <row r="832" spans="1:7" x14ac:dyDescent="0.2">
      <c r="A832" t="s">
        <v>64</v>
      </c>
      <c r="B832" t="s">
        <v>64</v>
      </c>
      <c r="C832" s="3" t="s">
        <v>64</v>
      </c>
      <c r="D832" s="16" t="s">
        <v>64</v>
      </c>
      <c r="E832" s="16">
        <v>0</v>
      </c>
      <c r="F832" s="16" t="s">
        <v>64</v>
      </c>
      <c r="G832" s="16" t="s">
        <v>64</v>
      </c>
    </row>
    <row r="833" spans="1:7" x14ac:dyDescent="0.2">
      <c r="A833" t="s">
        <v>64</v>
      </c>
      <c r="B833" t="s">
        <v>64</v>
      </c>
      <c r="C833" s="3" t="s">
        <v>64</v>
      </c>
      <c r="D833" s="16" t="s">
        <v>64</v>
      </c>
      <c r="E833" s="16">
        <v>0</v>
      </c>
      <c r="F833" s="16" t="s">
        <v>64</v>
      </c>
      <c r="G833" s="16" t="s">
        <v>64</v>
      </c>
    </row>
    <row r="834" spans="1:7" x14ac:dyDescent="0.2">
      <c r="A834" t="s">
        <v>64</v>
      </c>
      <c r="B834" t="s">
        <v>64</v>
      </c>
      <c r="C834" s="3" t="s">
        <v>64</v>
      </c>
      <c r="D834" s="16" t="s">
        <v>64</v>
      </c>
      <c r="E834" s="16">
        <v>0</v>
      </c>
      <c r="F834" s="16" t="s">
        <v>64</v>
      </c>
      <c r="G834" s="16" t="s">
        <v>64</v>
      </c>
    </row>
    <row r="835" spans="1:7" x14ac:dyDescent="0.2">
      <c r="A835" t="s">
        <v>64</v>
      </c>
      <c r="B835" t="s">
        <v>64</v>
      </c>
      <c r="C835" s="3" t="s">
        <v>64</v>
      </c>
      <c r="D835" s="16" t="s">
        <v>64</v>
      </c>
      <c r="E835" s="16">
        <v>0</v>
      </c>
      <c r="F835" s="16" t="s">
        <v>64</v>
      </c>
      <c r="G835" s="16" t="s">
        <v>64</v>
      </c>
    </row>
    <row r="836" spans="1:7" x14ac:dyDescent="0.2">
      <c r="A836" t="s">
        <v>64</v>
      </c>
      <c r="B836" t="s">
        <v>64</v>
      </c>
      <c r="C836" s="3" t="s">
        <v>64</v>
      </c>
      <c r="D836" s="16" t="s">
        <v>64</v>
      </c>
      <c r="E836" s="16">
        <v>0</v>
      </c>
      <c r="F836" s="16" t="s">
        <v>64</v>
      </c>
      <c r="G836" s="16" t="s">
        <v>64</v>
      </c>
    </row>
    <row r="837" spans="1:7" x14ac:dyDescent="0.2">
      <c r="A837" t="s">
        <v>64</v>
      </c>
      <c r="B837" t="s">
        <v>64</v>
      </c>
      <c r="C837" s="3" t="s">
        <v>64</v>
      </c>
      <c r="D837" s="16" t="s">
        <v>64</v>
      </c>
      <c r="E837" s="16">
        <v>0</v>
      </c>
      <c r="F837" s="16" t="s">
        <v>64</v>
      </c>
      <c r="G837" s="16" t="s">
        <v>64</v>
      </c>
    </row>
    <row r="838" spans="1:7" x14ac:dyDescent="0.2">
      <c r="A838" t="s">
        <v>64</v>
      </c>
      <c r="B838" t="s">
        <v>64</v>
      </c>
      <c r="C838" s="3" t="s">
        <v>64</v>
      </c>
      <c r="D838" s="16" t="s">
        <v>64</v>
      </c>
      <c r="E838" s="16">
        <v>0</v>
      </c>
      <c r="F838" s="16" t="s">
        <v>64</v>
      </c>
      <c r="G838" s="16" t="s">
        <v>64</v>
      </c>
    </row>
    <row r="839" spans="1:7" x14ac:dyDescent="0.2">
      <c r="A839" t="s">
        <v>64</v>
      </c>
      <c r="B839" t="s">
        <v>64</v>
      </c>
      <c r="C839" s="3" t="s">
        <v>64</v>
      </c>
      <c r="D839" s="16" t="s">
        <v>64</v>
      </c>
      <c r="E839" s="16">
        <v>0</v>
      </c>
      <c r="F839" s="16" t="s">
        <v>64</v>
      </c>
      <c r="G839" s="16" t="s">
        <v>64</v>
      </c>
    </row>
    <row r="840" spans="1:7" x14ac:dyDescent="0.2">
      <c r="A840" t="s">
        <v>64</v>
      </c>
      <c r="B840" t="s">
        <v>64</v>
      </c>
      <c r="C840" s="3" t="s">
        <v>64</v>
      </c>
      <c r="D840" s="16" t="s">
        <v>64</v>
      </c>
      <c r="E840" s="16">
        <v>0</v>
      </c>
      <c r="F840" s="16" t="s">
        <v>64</v>
      </c>
      <c r="G840" s="16" t="s">
        <v>64</v>
      </c>
    </row>
    <row r="841" spans="1:7" x14ac:dyDescent="0.2">
      <c r="A841" t="s">
        <v>64</v>
      </c>
      <c r="B841" t="s">
        <v>64</v>
      </c>
      <c r="C841" s="3" t="s">
        <v>64</v>
      </c>
      <c r="D841" s="16" t="s">
        <v>64</v>
      </c>
      <c r="E841" s="16">
        <v>0</v>
      </c>
      <c r="F841" s="16" t="s">
        <v>64</v>
      </c>
      <c r="G841" s="16" t="s">
        <v>64</v>
      </c>
    </row>
    <row r="842" spans="1:7" x14ac:dyDescent="0.2">
      <c r="A842" t="s">
        <v>64</v>
      </c>
      <c r="B842" t="s">
        <v>64</v>
      </c>
      <c r="C842" s="3" t="s">
        <v>64</v>
      </c>
      <c r="D842" s="16" t="s">
        <v>64</v>
      </c>
      <c r="E842" s="16">
        <v>0</v>
      </c>
      <c r="F842" s="16" t="s">
        <v>64</v>
      </c>
      <c r="G842" s="16" t="s">
        <v>64</v>
      </c>
    </row>
    <row r="843" spans="1:7" x14ac:dyDescent="0.2">
      <c r="A843" t="s">
        <v>64</v>
      </c>
      <c r="B843" t="s">
        <v>64</v>
      </c>
      <c r="C843" s="3" t="s">
        <v>64</v>
      </c>
      <c r="D843" s="16" t="s">
        <v>64</v>
      </c>
      <c r="E843" s="16">
        <v>0</v>
      </c>
      <c r="F843" s="16" t="s">
        <v>64</v>
      </c>
      <c r="G843" s="16" t="s">
        <v>64</v>
      </c>
    </row>
    <row r="844" spans="1:7" x14ac:dyDescent="0.2">
      <c r="A844" t="s">
        <v>64</v>
      </c>
      <c r="B844" t="s">
        <v>64</v>
      </c>
      <c r="C844" s="3" t="s">
        <v>64</v>
      </c>
      <c r="D844" s="16" t="s">
        <v>64</v>
      </c>
      <c r="E844" s="16">
        <v>0</v>
      </c>
      <c r="F844" s="16" t="s">
        <v>64</v>
      </c>
      <c r="G844" s="16" t="s">
        <v>64</v>
      </c>
    </row>
    <row r="845" spans="1:7" x14ac:dyDescent="0.2">
      <c r="A845" t="s">
        <v>64</v>
      </c>
      <c r="B845" t="s">
        <v>64</v>
      </c>
      <c r="C845" s="3" t="s">
        <v>64</v>
      </c>
      <c r="D845" s="16" t="s">
        <v>64</v>
      </c>
      <c r="E845" s="16">
        <v>0</v>
      </c>
      <c r="F845" s="16" t="s">
        <v>64</v>
      </c>
      <c r="G845" s="16" t="s">
        <v>64</v>
      </c>
    </row>
    <row r="846" spans="1:7" x14ac:dyDescent="0.2">
      <c r="A846" t="s">
        <v>64</v>
      </c>
      <c r="B846" t="s">
        <v>64</v>
      </c>
      <c r="C846" s="3" t="s">
        <v>64</v>
      </c>
      <c r="D846" s="16" t="s">
        <v>64</v>
      </c>
      <c r="E846" s="16">
        <v>0</v>
      </c>
      <c r="F846" s="16" t="s">
        <v>64</v>
      </c>
      <c r="G846" s="16" t="s">
        <v>64</v>
      </c>
    </row>
    <row r="847" spans="1:7" x14ac:dyDescent="0.2">
      <c r="A847" t="s">
        <v>64</v>
      </c>
      <c r="B847" t="s">
        <v>64</v>
      </c>
      <c r="C847" s="3" t="s">
        <v>64</v>
      </c>
      <c r="D847" s="16" t="s">
        <v>64</v>
      </c>
      <c r="E847" s="16">
        <v>0</v>
      </c>
      <c r="F847" s="16" t="s">
        <v>64</v>
      </c>
      <c r="G847" s="16" t="s">
        <v>64</v>
      </c>
    </row>
    <row r="848" spans="1:7" x14ac:dyDescent="0.2">
      <c r="A848" t="s">
        <v>64</v>
      </c>
      <c r="B848" t="s">
        <v>64</v>
      </c>
      <c r="C848" s="3" t="s">
        <v>64</v>
      </c>
      <c r="D848" s="16" t="s">
        <v>64</v>
      </c>
      <c r="E848" s="16">
        <v>0</v>
      </c>
      <c r="F848" s="16" t="s">
        <v>64</v>
      </c>
      <c r="G848" s="16" t="s">
        <v>64</v>
      </c>
    </row>
    <row r="849" spans="1:7" x14ac:dyDescent="0.2">
      <c r="A849" t="s">
        <v>64</v>
      </c>
      <c r="B849" t="s">
        <v>64</v>
      </c>
      <c r="C849" s="3" t="s">
        <v>64</v>
      </c>
      <c r="D849" s="16" t="s">
        <v>64</v>
      </c>
      <c r="E849" s="16">
        <v>0</v>
      </c>
      <c r="F849" s="16" t="s">
        <v>64</v>
      </c>
      <c r="G849" s="16" t="s">
        <v>64</v>
      </c>
    </row>
    <row r="850" spans="1:7" x14ac:dyDescent="0.2">
      <c r="A850" t="s">
        <v>64</v>
      </c>
      <c r="B850" t="s">
        <v>64</v>
      </c>
      <c r="C850" s="3" t="s">
        <v>64</v>
      </c>
      <c r="D850" s="16" t="s">
        <v>64</v>
      </c>
      <c r="E850" s="16">
        <v>0</v>
      </c>
      <c r="F850" s="16" t="s">
        <v>64</v>
      </c>
      <c r="G850" s="16" t="s">
        <v>64</v>
      </c>
    </row>
    <row r="851" spans="1:7" x14ac:dyDescent="0.2">
      <c r="A851" t="s">
        <v>64</v>
      </c>
      <c r="B851" t="s">
        <v>64</v>
      </c>
      <c r="C851" s="3" t="s">
        <v>64</v>
      </c>
      <c r="D851" s="16" t="s">
        <v>64</v>
      </c>
      <c r="E851" s="16">
        <v>0</v>
      </c>
      <c r="F851" s="16" t="s">
        <v>64</v>
      </c>
      <c r="G851" s="16" t="s">
        <v>64</v>
      </c>
    </row>
    <row r="852" spans="1:7" x14ac:dyDescent="0.2">
      <c r="A852" t="s">
        <v>64</v>
      </c>
      <c r="B852" t="s">
        <v>64</v>
      </c>
      <c r="C852" s="3" t="s">
        <v>64</v>
      </c>
      <c r="D852" s="16" t="s">
        <v>64</v>
      </c>
      <c r="E852" s="16">
        <v>0</v>
      </c>
      <c r="F852" s="16" t="s">
        <v>64</v>
      </c>
      <c r="G852" s="16" t="s">
        <v>64</v>
      </c>
    </row>
    <row r="853" spans="1:7" x14ac:dyDescent="0.2">
      <c r="A853" t="s">
        <v>64</v>
      </c>
      <c r="B853" t="s">
        <v>64</v>
      </c>
      <c r="C853" s="3" t="s">
        <v>64</v>
      </c>
      <c r="D853" s="16" t="s">
        <v>64</v>
      </c>
      <c r="E853" s="16">
        <v>0</v>
      </c>
      <c r="F853" s="16" t="s">
        <v>64</v>
      </c>
      <c r="G853" s="16" t="s">
        <v>64</v>
      </c>
    </row>
    <row r="854" spans="1:7" x14ac:dyDescent="0.2">
      <c r="A854" t="s">
        <v>64</v>
      </c>
      <c r="B854" t="s">
        <v>64</v>
      </c>
      <c r="C854" s="3" t="s">
        <v>64</v>
      </c>
      <c r="D854" s="16" t="s">
        <v>64</v>
      </c>
      <c r="E854" s="16">
        <v>0</v>
      </c>
      <c r="F854" s="16" t="s">
        <v>64</v>
      </c>
      <c r="G854" s="16" t="s">
        <v>64</v>
      </c>
    </row>
    <row r="855" spans="1:7" x14ac:dyDescent="0.2">
      <c r="A855" t="s">
        <v>64</v>
      </c>
      <c r="B855" t="s">
        <v>64</v>
      </c>
      <c r="C855" s="3" t="s">
        <v>64</v>
      </c>
      <c r="D855" s="16" t="s">
        <v>64</v>
      </c>
      <c r="E855" s="16">
        <v>0</v>
      </c>
      <c r="F855" s="16" t="s">
        <v>64</v>
      </c>
      <c r="G855" s="16" t="s">
        <v>64</v>
      </c>
    </row>
    <row r="856" spans="1:7" x14ac:dyDescent="0.2">
      <c r="A856" t="s">
        <v>64</v>
      </c>
      <c r="B856" t="s">
        <v>64</v>
      </c>
      <c r="C856" s="3" t="s">
        <v>64</v>
      </c>
      <c r="D856" s="16" t="s">
        <v>64</v>
      </c>
      <c r="E856" s="16">
        <v>0</v>
      </c>
      <c r="F856" s="16" t="s">
        <v>64</v>
      </c>
      <c r="G856" s="16" t="s">
        <v>64</v>
      </c>
    </row>
    <row r="857" spans="1:7" x14ac:dyDescent="0.2">
      <c r="A857" t="s">
        <v>64</v>
      </c>
      <c r="B857" t="s">
        <v>64</v>
      </c>
      <c r="C857" s="3" t="s">
        <v>64</v>
      </c>
      <c r="D857" s="16" t="s">
        <v>64</v>
      </c>
      <c r="E857" s="16">
        <v>0</v>
      </c>
      <c r="F857" s="16" t="s">
        <v>64</v>
      </c>
      <c r="G857" s="16" t="s">
        <v>64</v>
      </c>
    </row>
    <row r="858" spans="1:7" x14ac:dyDescent="0.2">
      <c r="A858" t="s">
        <v>64</v>
      </c>
      <c r="B858" t="s">
        <v>64</v>
      </c>
      <c r="C858" s="3" t="s">
        <v>64</v>
      </c>
      <c r="D858" s="16" t="s">
        <v>64</v>
      </c>
      <c r="E858" s="16">
        <v>0</v>
      </c>
      <c r="F858" s="16" t="s">
        <v>64</v>
      </c>
      <c r="G858" s="16" t="s">
        <v>64</v>
      </c>
    </row>
    <row r="859" spans="1:7" x14ac:dyDescent="0.2">
      <c r="A859" t="s">
        <v>64</v>
      </c>
      <c r="B859" t="s">
        <v>64</v>
      </c>
      <c r="C859" s="3" t="s">
        <v>64</v>
      </c>
      <c r="D859" s="16" t="s">
        <v>64</v>
      </c>
      <c r="E859" s="16">
        <v>0</v>
      </c>
      <c r="F859" s="16" t="s">
        <v>64</v>
      </c>
      <c r="G859" s="16" t="s">
        <v>64</v>
      </c>
    </row>
    <row r="860" spans="1:7" x14ac:dyDescent="0.2">
      <c r="A860" t="s">
        <v>64</v>
      </c>
      <c r="B860" t="s">
        <v>64</v>
      </c>
      <c r="C860" s="3" t="s">
        <v>64</v>
      </c>
      <c r="D860" s="16" t="s">
        <v>64</v>
      </c>
      <c r="E860" s="16">
        <v>0</v>
      </c>
      <c r="F860" s="16" t="s">
        <v>64</v>
      </c>
      <c r="G860" s="16" t="s">
        <v>64</v>
      </c>
    </row>
    <row r="861" spans="1:7" x14ac:dyDescent="0.2">
      <c r="A861" t="s">
        <v>64</v>
      </c>
      <c r="B861" t="s">
        <v>64</v>
      </c>
      <c r="C861" s="3" t="s">
        <v>64</v>
      </c>
      <c r="D861" s="16" t="s">
        <v>64</v>
      </c>
      <c r="E861" s="16">
        <v>0</v>
      </c>
      <c r="F861" s="16" t="s">
        <v>64</v>
      </c>
      <c r="G861" s="16" t="s">
        <v>64</v>
      </c>
    </row>
    <row r="862" spans="1:7" x14ac:dyDescent="0.2">
      <c r="A862" t="s">
        <v>64</v>
      </c>
      <c r="B862" t="s">
        <v>64</v>
      </c>
      <c r="C862" s="3" t="s">
        <v>64</v>
      </c>
      <c r="D862" s="16" t="s">
        <v>64</v>
      </c>
      <c r="E862" s="16">
        <v>0</v>
      </c>
      <c r="F862" s="16" t="s">
        <v>64</v>
      </c>
      <c r="G862" s="16" t="s">
        <v>64</v>
      </c>
    </row>
    <row r="863" spans="1:7" x14ac:dyDescent="0.2">
      <c r="A863" t="s">
        <v>64</v>
      </c>
      <c r="B863" t="s">
        <v>64</v>
      </c>
      <c r="C863" s="3" t="s">
        <v>64</v>
      </c>
      <c r="D863" s="16" t="s">
        <v>64</v>
      </c>
      <c r="E863" s="16">
        <v>0</v>
      </c>
      <c r="F863" s="16" t="s">
        <v>64</v>
      </c>
      <c r="G863" s="16" t="s">
        <v>64</v>
      </c>
    </row>
    <row r="864" spans="1:7" x14ac:dyDescent="0.2">
      <c r="A864" t="s">
        <v>64</v>
      </c>
      <c r="B864" t="s">
        <v>64</v>
      </c>
      <c r="C864" s="3" t="s">
        <v>64</v>
      </c>
      <c r="D864" s="16" t="s">
        <v>64</v>
      </c>
      <c r="E864" s="16">
        <v>0</v>
      </c>
      <c r="F864" s="16" t="s">
        <v>64</v>
      </c>
      <c r="G864" s="16" t="s">
        <v>64</v>
      </c>
    </row>
    <row r="865" spans="1:7" x14ac:dyDescent="0.2">
      <c r="A865" t="s">
        <v>64</v>
      </c>
      <c r="B865" t="s">
        <v>64</v>
      </c>
      <c r="C865" s="3" t="s">
        <v>64</v>
      </c>
      <c r="D865" s="16" t="s">
        <v>64</v>
      </c>
      <c r="E865" s="16">
        <v>0</v>
      </c>
      <c r="F865" s="16" t="s">
        <v>64</v>
      </c>
      <c r="G865" s="16" t="s">
        <v>64</v>
      </c>
    </row>
    <row r="866" spans="1:7" x14ac:dyDescent="0.2">
      <c r="A866" t="s">
        <v>64</v>
      </c>
      <c r="B866" t="s">
        <v>64</v>
      </c>
      <c r="C866" s="3" t="s">
        <v>64</v>
      </c>
      <c r="D866" s="16" t="s">
        <v>64</v>
      </c>
      <c r="E866" s="16">
        <v>0</v>
      </c>
      <c r="F866" s="16" t="s">
        <v>64</v>
      </c>
      <c r="G866" s="16" t="s">
        <v>64</v>
      </c>
    </row>
    <row r="867" spans="1:7" x14ac:dyDescent="0.2">
      <c r="A867" t="s">
        <v>64</v>
      </c>
      <c r="B867" t="s">
        <v>64</v>
      </c>
      <c r="C867" s="3" t="s">
        <v>64</v>
      </c>
      <c r="D867" s="16" t="s">
        <v>64</v>
      </c>
      <c r="E867" s="16">
        <v>0</v>
      </c>
      <c r="F867" s="16" t="s">
        <v>64</v>
      </c>
      <c r="G867" s="16" t="s">
        <v>64</v>
      </c>
    </row>
    <row r="868" spans="1:7" x14ac:dyDescent="0.2">
      <c r="A868" t="s">
        <v>64</v>
      </c>
      <c r="B868" t="s">
        <v>64</v>
      </c>
      <c r="C868" s="3" t="s">
        <v>64</v>
      </c>
      <c r="D868" s="16" t="s">
        <v>64</v>
      </c>
      <c r="E868" s="16">
        <v>0</v>
      </c>
      <c r="F868" s="16" t="s">
        <v>64</v>
      </c>
      <c r="G868" s="16" t="s">
        <v>64</v>
      </c>
    </row>
    <row r="869" spans="1:7" x14ac:dyDescent="0.2">
      <c r="A869" t="s">
        <v>64</v>
      </c>
      <c r="B869" t="s">
        <v>64</v>
      </c>
      <c r="C869" s="3" t="s">
        <v>64</v>
      </c>
      <c r="D869" s="16" t="s">
        <v>64</v>
      </c>
      <c r="E869" s="16">
        <v>0</v>
      </c>
      <c r="F869" s="16" t="s">
        <v>64</v>
      </c>
      <c r="G869" s="16" t="s">
        <v>64</v>
      </c>
    </row>
    <row r="870" spans="1:7" x14ac:dyDescent="0.2">
      <c r="A870" t="s">
        <v>64</v>
      </c>
      <c r="B870" t="s">
        <v>64</v>
      </c>
      <c r="C870" s="3" t="s">
        <v>64</v>
      </c>
      <c r="D870" s="16" t="s">
        <v>64</v>
      </c>
      <c r="E870" s="16">
        <v>0</v>
      </c>
      <c r="F870" s="16" t="s">
        <v>64</v>
      </c>
      <c r="G870" s="16" t="s">
        <v>64</v>
      </c>
    </row>
    <row r="871" spans="1:7" x14ac:dyDescent="0.2">
      <c r="A871" t="s">
        <v>64</v>
      </c>
      <c r="B871" t="s">
        <v>64</v>
      </c>
      <c r="C871" s="3" t="s">
        <v>64</v>
      </c>
      <c r="D871" s="16" t="s">
        <v>64</v>
      </c>
      <c r="E871" s="16">
        <v>0</v>
      </c>
      <c r="F871" s="16" t="s">
        <v>64</v>
      </c>
      <c r="G871" s="16" t="s">
        <v>64</v>
      </c>
    </row>
    <row r="872" spans="1:7" x14ac:dyDescent="0.2">
      <c r="A872" t="s">
        <v>64</v>
      </c>
      <c r="B872" t="s">
        <v>64</v>
      </c>
      <c r="C872" s="3" t="s">
        <v>64</v>
      </c>
      <c r="D872" s="16" t="s">
        <v>64</v>
      </c>
      <c r="E872" s="16">
        <v>0</v>
      </c>
      <c r="F872" s="16" t="s">
        <v>64</v>
      </c>
      <c r="G872" s="16" t="s">
        <v>64</v>
      </c>
    </row>
    <row r="873" spans="1:7" x14ac:dyDescent="0.2">
      <c r="A873" t="s">
        <v>64</v>
      </c>
      <c r="B873" t="s">
        <v>64</v>
      </c>
      <c r="C873" s="3" t="s">
        <v>64</v>
      </c>
      <c r="D873" s="16" t="s">
        <v>64</v>
      </c>
      <c r="E873" s="16">
        <v>0</v>
      </c>
      <c r="F873" s="16" t="s">
        <v>64</v>
      </c>
      <c r="G873" s="16" t="s">
        <v>64</v>
      </c>
    </row>
    <row r="874" spans="1:7" x14ac:dyDescent="0.2">
      <c r="A874" t="s">
        <v>64</v>
      </c>
      <c r="B874" t="s">
        <v>64</v>
      </c>
      <c r="C874" s="3" t="s">
        <v>64</v>
      </c>
      <c r="D874" s="16" t="s">
        <v>64</v>
      </c>
      <c r="E874" s="16">
        <v>0</v>
      </c>
      <c r="F874" s="16" t="s">
        <v>64</v>
      </c>
      <c r="G874" s="16" t="s">
        <v>64</v>
      </c>
    </row>
    <row r="875" spans="1:7" x14ac:dyDescent="0.2">
      <c r="A875" t="s">
        <v>64</v>
      </c>
      <c r="B875" t="s">
        <v>64</v>
      </c>
      <c r="C875" s="3" t="s">
        <v>64</v>
      </c>
      <c r="D875" s="16" t="s">
        <v>64</v>
      </c>
      <c r="E875" s="16">
        <v>0</v>
      </c>
      <c r="F875" s="16" t="s">
        <v>64</v>
      </c>
      <c r="G875" s="16" t="s">
        <v>64</v>
      </c>
    </row>
    <row r="876" spans="1:7" x14ac:dyDescent="0.2">
      <c r="A876" t="s">
        <v>64</v>
      </c>
      <c r="B876" t="s">
        <v>64</v>
      </c>
      <c r="C876" s="3" t="s">
        <v>64</v>
      </c>
      <c r="D876" s="16" t="s">
        <v>64</v>
      </c>
      <c r="E876" s="16">
        <v>0</v>
      </c>
      <c r="F876" s="16" t="s">
        <v>64</v>
      </c>
      <c r="G876" s="16" t="s">
        <v>64</v>
      </c>
    </row>
    <row r="877" spans="1:7" x14ac:dyDescent="0.2">
      <c r="A877" t="s">
        <v>64</v>
      </c>
      <c r="B877" t="s">
        <v>64</v>
      </c>
      <c r="C877" s="3" t="s">
        <v>64</v>
      </c>
      <c r="D877" s="16" t="s">
        <v>64</v>
      </c>
      <c r="E877" s="16">
        <v>0</v>
      </c>
      <c r="F877" s="16" t="s">
        <v>64</v>
      </c>
      <c r="G877" s="16" t="s">
        <v>64</v>
      </c>
    </row>
    <row r="878" spans="1:7" x14ac:dyDescent="0.2">
      <c r="A878" t="s">
        <v>64</v>
      </c>
      <c r="B878" t="s">
        <v>64</v>
      </c>
      <c r="C878" s="3" t="s">
        <v>64</v>
      </c>
      <c r="D878" s="16" t="s">
        <v>64</v>
      </c>
      <c r="E878" s="16">
        <v>0</v>
      </c>
      <c r="F878" s="16" t="s">
        <v>64</v>
      </c>
      <c r="G878" s="16" t="s">
        <v>64</v>
      </c>
    </row>
    <row r="879" spans="1:7" x14ac:dyDescent="0.2">
      <c r="A879" t="s">
        <v>64</v>
      </c>
      <c r="B879" t="s">
        <v>64</v>
      </c>
      <c r="C879" s="3" t="s">
        <v>64</v>
      </c>
      <c r="D879" s="16" t="s">
        <v>64</v>
      </c>
      <c r="E879" s="16">
        <v>0</v>
      </c>
      <c r="F879" s="16" t="s">
        <v>64</v>
      </c>
      <c r="G879" s="16" t="s">
        <v>64</v>
      </c>
    </row>
    <row r="880" spans="1:7" x14ac:dyDescent="0.2">
      <c r="A880" t="s">
        <v>64</v>
      </c>
      <c r="B880" t="s">
        <v>64</v>
      </c>
      <c r="C880" s="3" t="s">
        <v>64</v>
      </c>
      <c r="D880" s="16" t="s">
        <v>64</v>
      </c>
      <c r="E880" s="16">
        <v>0</v>
      </c>
      <c r="F880" s="16" t="s">
        <v>64</v>
      </c>
      <c r="G880" s="16" t="s">
        <v>64</v>
      </c>
    </row>
    <row r="881" spans="1:7" x14ac:dyDescent="0.2">
      <c r="A881" t="s">
        <v>64</v>
      </c>
      <c r="B881" t="s">
        <v>64</v>
      </c>
      <c r="C881" s="3" t="s">
        <v>64</v>
      </c>
      <c r="D881" s="16" t="s">
        <v>64</v>
      </c>
      <c r="E881" s="16">
        <v>0</v>
      </c>
      <c r="F881" s="16" t="s">
        <v>64</v>
      </c>
      <c r="G881" s="16" t="s">
        <v>64</v>
      </c>
    </row>
    <row r="882" spans="1:7" x14ac:dyDescent="0.2">
      <c r="A882" t="s">
        <v>64</v>
      </c>
      <c r="B882" t="s">
        <v>64</v>
      </c>
      <c r="C882" s="3" t="s">
        <v>64</v>
      </c>
      <c r="D882" s="16" t="s">
        <v>64</v>
      </c>
      <c r="E882" s="16">
        <v>0</v>
      </c>
      <c r="F882" s="16" t="s">
        <v>64</v>
      </c>
      <c r="G882" s="16" t="s">
        <v>64</v>
      </c>
    </row>
    <row r="883" spans="1:7" x14ac:dyDescent="0.2">
      <c r="A883" t="s">
        <v>64</v>
      </c>
      <c r="B883" t="s">
        <v>64</v>
      </c>
      <c r="C883" s="3" t="s">
        <v>64</v>
      </c>
      <c r="D883" s="16" t="s">
        <v>64</v>
      </c>
      <c r="E883" s="16">
        <v>0</v>
      </c>
      <c r="F883" s="16" t="s">
        <v>64</v>
      </c>
      <c r="G883" s="16" t="s">
        <v>64</v>
      </c>
    </row>
    <row r="884" spans="1:7" x14ac:dyDescent="0.2">
      <c r="A884" t="s">
        <v>64</v>
      </c>
      <c r="B884" t="s">
        <v>64</v>
      </c>
      <c r="C884" s="3" t="s">
        <v>64</v>
      </c>
      <c r="D884" s="16" t="s">
        <v>64</v>
      </c>
      <c r="E884" s="16">
        <v>0</v>
      </c>
      <c r="F884" s="16" t="s">
        <v>64</v>
      </c>
      <c r="G884" s="16" t="s">
        <v>64</v>
      </c>
    </row>
    <row r="885" spans="1:7" x14ac:dyDescent="0.2">
      <c r="A885" t="s">
        <v>64</v>
      </c>
      <c r="B885" t="s">
        <v>64</v>
      </c>
      <c r="C885" s="3" t="s">
        <v>64</v>
      </c>
      <c r="D885" s="16" t="s">
        <v>64</v>
      </c>
      <c r="E885" s="16">
        <v>0</v>
      </c>
      <c r="F885" s="16" t="s">
        <v>64</v>
      </c>
      <c r="G885" s="16" t="s">
        <v>64</v>
      </c>
    </row>
    <row r="886" spans="1:7" x14ac:dyDescent="0.2">
      <c r="A886" t="s">
        <v>64</v>
      </c>
      <c r="B886" t="s">
        <v>64</v>
      </c>
      <c r="C886" s="3" t="s">
        <v>64</v>
      </c>
      <c r="D886" s="16" t="s">
        <v>64</v>
      </c>
      <c r="E886" s="16">
        <v>0</v>
      </c>
      <c r="F886" s="16" t="s">
        <v>64</v>
      </c>
      <c r="G886" s="16" t="s">
        <v>64</v>
      </c>
    </row>
    <row r="887" spans="1:7" x14ac:dyDescent="0.2">
      <c r="A887" t="s">
        <v>64</v>
      </c>
      <c r="B887" t="s">
        <v>64</v>
      </c>
      <c r="C887" s="3" t="s">
        <v>64</v>
      </c>
      <c r="D887" s="16" t="s">
        <v>64</v>
      </c>
      <c r="E887" s="16">
        <v>0</v>
      </c>
      <c r="F887" s="16" t="s">
        <v>64</v>
      </c>
      <c r="G887" s="16" t="s">
        <v>64</v>
      </c>
    </row>
    <row r="888" spans="1:7" x14ac:dyDescent="0.2">
      <c r="A888" t="s">
        <v>64</v>
      </c>
      <c r="B888" t="s">
        <v>64</v>
      </c>
      <c r="C888" s="3" t="s">
        <v>64</v>
      </c>
      <c r="D888" s="16" t="s">
        <v>64</v>
      </c>
      <c r="E888" s="16">
        <v>0</v>
      </c>
      <c r="F888" s="16" t="s">
        <v>64</v>
      </c>
      <c r="G888" s="16" t="s">
        <v>64</v>
      </c>
    </row>
    <row r="889" spans="1:7" x14ac:dyDescent="0.2">
      <c r="A889" t="s">
        <v>64</v>
      </c>
      <c r="B889" t="s">
        <v>64</v>
      </c>
      <c r="C889" s="3" t="s">
        <v>64</v>
      </c>
      <c r="D889" s="16" t="s">
        <v>64</v>
      </c>
      <c r="E889" s="16">
        <v>0</v>
      </c>
      <c r="F889" s="16" t="s">
        <v>64</v>
      </c>
      <c r="G889" s="16" t="s">
        <v>64</v>
      </c>
    </row>
    <row r="890" spans="1:7" x14ac:dyDescent="0.2">
      <c r="A890" t="s">
        <v>64</v>
      </c>
      <c r="B890" t="s">
        <v>64</v>
      </c>
      <c r="C890" s="3" t="s">
        <v>64</v>
      </c>
      <c r="D890" s="16" t="s">
        <v>64</v>
      </c>
      <c r="E890" s="16">
        <v>0</v>
      </c>
      <c r="F890" s="16" t="s">
        <v>64</v>
      </c>
      <c r="G890" s="16" t="s">
        <v>64</v>
      </c>
    </row>
    <row r="891" spans="1:7" x14ac:dyDescent="0.2">
      <c r="A891" t="s">
        <v>64</v>
      </c>
      <c r="B891" t="s">
        <v>64</v>
      </c>
      <c r="C891" s="3" t="s">
        <v>64</v>
      </c>
      <c r="D891" s="16" t="s">
        <v>64</v>
      </c>
      <c r="E891" s="16">
        <v>0</v>
      </c>
      <c r="F891" s="16" t="s">
        <v>64</v>
      </c>
      <c r="G891" s="16" t="s">
        <v>64</v>
      </c>
    </row>
    <row r="892" spans="1:7" x14ac:dyDescent="0.2">
      <c r="A892" t="s">
        <v>64</v>
      </c>
      <c r="B892" t="s">
        <v>64</v>
      </c>
      <c r="C892" s="3" t="s">
        <v>64</v>
      </c>
      <c r="D892" s="16" t="s">
        <v>64</v>
      </c>
      <c r="E892" s="16">
        <v>0</v>
      </c>
      <c r="F892" s="16" t="s">
        <v>64</v>
      </c>
      <c r="G892" s="16" t="s">
        <v>64</v>
      </c>
    </row>
    <row r="893" spans="1:7" x14ac:dyDescent="0.2">
      <c r="A893" t="s">
        <v>64</v>
      </c>
      <c r="B893" t="s">
        <v>64</v>
      </c>
      <c r="C893" s="3" t="s">
        <v>64</v>
      </c>
      <c r="D893" s="16" t="s">
        <v>64</v>
      </c>
      <c r="E893" s="16">
        <v>0</v>
      </c>
      <c r="F893" s="16" t="s">
        <v>64</v>
      </c>
      <c r="G893" s="16" t="s">
        <v>64</v>
      </c>
    </row>
    <row r="894" spans="1:7" x14ac:dyDescent="0.2">
      <c r="A894" t="s">
        <v>64</v>
      </c>
      <c r="B894" t="s">
        <v>64</v>
      </c>
      <c r="C894" s="3" t="s">
        <v>64</v>
      </c>
      <c r="D894" s="16" t="s">
        <v>64</v>
      </c>
      <c r="E894" s="16">
        <v>0</v>
      </c>
      <c r="F894" s="16" t="s">
        <v>64</v>
      </c>
      <c r="G894" s="16" t="s">
        <v>64</v>
      </c>
    </row>
    <row r="895" spans="1:7" x14ac:dyDescent="0.2">
      <c r="A895" t="s">
        <v>64</v>
      </c>
      <c r="B895" t="s">
        <v>64</v>
      </c>
      <c r="C895" s="3" t="s">
        <v>64</v>
      </c>
      <c r="D895" s="16" t="s">
        <v>64</v>
      </c>
      <c r="E895" s="16">
        <v>0</v>
      </c>
      <c r="F895" s="16" t="s">
        <v>64</v>
      </c>
      <c r="G895" s="16" t="s">
        <v>64</v>
      </c>
    </row>
    <row r="896" spans="1:7" x14ac:dyDescent="0.2">
      <c r="A896" t="s">
        <v>64</v>
      </c>
      <c r="B896" t="s">
        <v>64</v>
      </c>
      <c r="C896" s="3" t="s">
        <v>64</v>
      </c>
      <c r="D896" s="16" t="s">
        <v>64</v>
      </c>
      <c r="E896" s="16">
        <v>0</v>
      </c>
      <c r="F896" s="16" t="s">
        <v>64</v>
      </c>
      <c r="G896" s="16" t="s">
        <v>64</v>
      </c>
    </row>
    <row r="897" spans="1:7" x14ac:dyDescent="0.2">
      <c r="A897" t="s">
        <v>64</v>
      </c>
      <c r="B897" t="s">
        <v>64</v>
      </c>
      <c r="C897" s="3" t="s">
        <v>64</v>
      </c>
      <c r="D897" s="16" t="s">
        <v>64</v>
      </c>
      <c r="E897" s="16">
        <v>0</v>
      </c>
      <c r="F897" s="16" t="s">
        <v>64</v>
      </c>
      <c r="G897" s="16" t="s">
        <v>64</v>
      </c>
    </row>
    <row r="898" spans="1:7" x14ac:dyDescent="0.2">
      <c r="A898" t="s">
        <v>64</v>
      </c>
      <c r="B898" t="s">
        <v>64</v>
      </c>
      <c r="C898" s="3" t="s">
        <v>64</v>
      </c>
      <c r="D898" s="16" t="s">
        <v>64</v>
      </c>
      <c r="E898" s="16">
        <v>0</v>
      </c>
      <c r="F898" s="16" t="s">
        <v>64</v>
      </c>
      <c r="G898" s="16" t="s">
        <v>64</v>
      </c>
    </row>
    <row r="899" spans="1:7" x14ac:dyDescent="0.2">
      <c r="A899" t="s">
        <v>64</v>
      </c>
      <c r="B899" t="s">
        <v>64</v>
      </c>
      <c r="C899" s="3" t="s">
        <v>64</v>
      </c>
      <c r="D899" s="16" t="s">
        <v>64</v>
      </c>
      <c r="E899" s="16">
        <v>0</v>
      </c>
      <c r="F899" s="16" t="s">
        <v>64</v>
      </c>
      <c r="G899" s="16" t="s">
        <v>64</v>
      </c>
    </row>
    <row r="900" spans="1:7" x14ac:dyDescent="0.2">
      <c r="A900" t="s">
        <v>64</v>
      </c>
      <c r="B900" t="s">
        <v>64</v>
      </c>
      <c r="C900" s="3" t="s">
        <v>64</v>
      </c>
      <c r="D900" s="16" t="s">
        <v>64</v>
      </c>
      <c r="E900" s="16">
        <v>0</v>
      </c>
      <c r="F900" s="16" t="s">
        <v>64</v>
      </c>
      <c r="G900" s="16" t="s">
        <v>64</v>
      </c>
    </row>
    <row r="901" spans="1:7" x14ac:dyDescent="0.2">
      <c r="A901" t="s">
        <v>64</v>
      </c>
      <c r="B901" t="s">
        <v>64</v>
      </c>
      <c r="C901" s="3" t="s">
        <v>64</v>
      </c>
      <c r="D901" s="16" t="s">
        <v>64</v>
      </c>
      <c r="E901" s="16">
        <v>0</v>
      </c>
      <c r="F901" s="16" t="s">
        <v>64</v>
      </c>
      <c r="G901" s="16" t="s">
        <v>64</v>
      </c>
    </row>
    <row r="902" spans="1:7" x14ac:dyDescent="0.2">
      <c r="A902" t="s">
        <v>64</v>
      </c>
      <c r="B902" t="s">
        <v>64</v>
      </c>
      <c r="C902" s="3" t="s">
        <v>64</v>
      </c>
      <c r="D902" s="16" t="s">
        <v>64</v>
      </c>
      <c r="E902" s="16">
        <v>0</v>
      </c>
      <c r="F902" s="16" t="s">
        <v>64</v>
      </c>
      <c r="G902" s="16" t="s">
        <v>64</v>
      </c>
    </row>
    <row r="903" spans="1:7" x14ac:dyDescent="0.2">
      <c r="A903" t="s">
        <v>64</v>
      </c>
      <c r="B903" t="s">
        <v>64</v>
      </c>
      <c r="C903" s="3" t="s">
        <v>64</v>
      </c>
      <c r="D903" s="16" t="s">
        <v>64</v>
      </c>
      <c r="E903" s="16">
        <v>0</v>
      </c>
      <c r="F903" s="16" t="s">
        <v>64</v>
      </c>
      <c r="G903" s="16" t="s">
        <v>64</v>
      </c>
    </row>
    <row r="904" spans="1:7" x14ac:dyDescent="0.2">
      <c r="A904" t="s">
        <v>64</v>
      </c>
      <c r="B904" t="s">
        <v>64</v>
      </c>
      <c r="C904" s="3" t="s">
        <v>64</v>
      </c>
      <c r="D904" s="16" t="s">
        <v>64</v>
      </c>
      <c r="E904" s="16">
        <v>0</v>
      </c>
      <c r="F904" s="16" t="s">
        <v>64</v>
      </c>
      <c r="G904" s="16" t="s">
        <v>64</v>
      </c>
    </row>
    <row r="905" spans="1:7" x14ac:dyDescent="0.2">
      <c r="A905" t="s">
        <v>64</v>
      </c>
      <c r="B905" t="s">
        <v>64</v>
      </c>
      <c r="C905" s="3" t="s">
        <v>64</v>
      </c>
      <c r="D905" s="16" t="s">
        <v>64</v>
      </c>
      <c r="E905" s="16">
        <v>0</v>
      </c>
      <c r="F905" s="16" t="s">
        <v>64</v>
      </c>
      <c r="G905" s="16" t="s">
        <v>64</v>
      </c>
    </row>
    <row r="906" spans="1:7" x14ac:dyDescent="0.2">
      <c r="A906" t="s">
        <v>64</v>
      </c>
      <c r="B906" t="s">
        <v>64</v>
      </c>
      <c r="C906" s="3" t="s">
        <v>64</v>
      </c>
      <c r="D906" s="16" t="s">
        <v>64</v>
      </c>
      <c r="E906" s="16">
        <v>0</v>
      </c>
      <c r="F906" s="16" t="s">
        <v>64</v>
      </c>
      <c r="G906" s="16" t="s">
        <v>64</v>
      </c>
    </row>
    <row r="907" spans="1:7" x14ac:dyDescent="0.2">
      <c r="A907" t="s">
        <v>64</v>
      </c>
      <c r="B907" t="s">
        <v>64</v>
      </c>
      <c r="C907" s="3" t="s">
        <v>64</v>
      </c>
      <c r="D907" s="16" t="s">
        <v>64</v>
      </c>
      <c r="E907" s="16">
        <v>0</v>
      </c>
      <c r="F907" s="16" t="s">
        <v>64</v>
      </c>
      <c r="G907" s="16" t="s">
        <v>64</v>
      </c>
    </row>
    <row r="908" spans="1:7" x14ac:dyDescent="0.2">
      <c r="A908" t="s">
        <v>64</v>
      </c>
      <c r="B908" t="s">
        <v>64</v>
      </c>
      <c r="C908" s="3" t="s">
        <v>64</v>
      </c>
      <c r="D908" s="16" t="s">
        <v>64</v>
      </c>
      <c r="E908" s="16">
        <v>0</v>
      </c>
      <c r="F908" s="16" t="s">
        <v>64</v>
      </c>
      <c r="G908" s="16" t="s">
        <v>64</v>
      </c>
    </row>
    <row r="909" spans="1:7" x14ac:dyDescent="0.2">
      <c r="A909" t="s">
        <v>64</v>
      </c>
      <c r="B909" t="s">
        <v>64</v>
      </c>
      <c r="C909" s="3" t="s">
        <v>64</v>
      </c>
      <c r="D909" s="16" t="s">
        <v>64</v>
      </c>
      <c r="E909" s="16">
        <v>0</v>
      </c>
      <c r="F909" s="16" t="s">
        <v>64</v>
      </c>
      <c r="G909" s="16" t="s">
        <v>64</v>
      </c>
    </row>
    <row r="910" spans="1:7" x14ac:dyDescent="0.2">
      <c r="A910" t="s">
        <v>64</v>
      </c>
      <c r="B910" t="s">
        <v>64</v>
      </c>
      <c r="C910" s="3" t="s">
        <v>64</v>
      </c>
      <c r="D910" s="16" t="s">
        <v>64</v>
      </c>
      <c r="E910" s="16">
        <v>0</v>
      </c>
      <c r="F910" s="16" t="s">
        <v>64</v>
      </c>
      <c r="G910" s="16" t="s">
        <v>64</v>
      </c>
    </row>
    <row r="911" spans="1:7" x14ac:dyDescent="0.2">
      <c r="A911" t="s">
        <v>64</v>
      </c>
      <c r="B911" t="s">
        <v>64</v>
      </c>
      <c r="C911" s="3" t="s">
        <v>64</v>
      </c>
      <c r="D911" s="16" t="s">
        <v>64</v>
      </c>
      <c r="E911" s="16">
        <v>0</v>
      </c>
      <c r="F911" s="16" t="s">
        <v>64</v>
      </c>
      <c r="G911" s="16" t="s">
        <v>64</v>
      </c>
    </row>
    <row r="912" spans="1:7" x14ac:dyDescent="0.2">
      <c r="A912" t="s">
        <v>64</v>
      </c>
      <c r="B912" t="s">
        <v>64</v>
      </c>
      <c r="C912" s="3" t="s">
        <v>64</v>
      </c>
      <c r="D912" s="16" t="s">
        <v>64</v>
      </c>
      <c r="E912" s="16">
        <v>0</v>
      </c>
      <c r="F912" s="16" t="s">
        <v>64</v>
      </c>
      <c r="G912" s="16" t="s">
        <v>64</v>
      </c>
    </row>
    <row r="913" spans="1:7" x14ac:dyDescent="0.2">
      <c r="A913" t="s">
        <v>64</v>
      </c>
      <c r="B913" t="s">
        <v>64</v>
      </c>
      <c r="C913" s="3" t="s">
        <v>64</v>
      </c>
      <c r="D913" s="16" t="s">
        <v>64</v>
      </c>
      <c r="E913" s="16">
        <v>0</v>
      </c>
      <c r="F913" s="16" t="s">
        <v>64</v>
      </c>
      <c r="G913" s="16" t="s">
        <v>64</v>
      </c>
    </row>
    <row r="914" spans="1:7" x14ac:dyDescent="0.2">
      <c r="A914" t="s">
        <v>64</v>
      </c>
      <c r="B914" t="s">
        <v>64</v>
      </c>
      <c r="C914" s="3" t="s">
        <v>64</v>
      </c>
      <c r="D914" s="16" t="s">
        <v>64</v>
      </c>
      <c r="E914" s="16">
        <v>0</v>
      </c>
      <c r="F914" s="16" t="s">
        <v>64</v>
      </c>
      <c r="G914" s="16" t="s">
        <v>64</v>
      </c>
    </row>
    <row r="915" spans="1:7" x14ac:dyDescent="0.2">
      <c r="A915" t="s">
        <v>64</v>
      </c>
      <c r="B915" t="s">
        <v>64</v>
      </c>
      <c r="C915" s="3" t="s">
        <v>64</v>
      </c>
      <c r="D915" s="16" t="s">
        <v>64</v>
      </c>
      <c r="E915" s="16">
        <v>0</v>
      </c>
      <c r="F915" s="16" t="s">
        <v>64</v>
      </c>
      <c r="G915" s="16" t="s">
        <v>64</v>
      </c>
    </row>
    <row r="916" spans="1:7" x14ac:dyDescent="0.2">
      <c r="A916" t="s">
        <v>64</v>
      </c>
      <c r="B916" t="s">
        <v>64</v>
      </c>
      <c r="C916" s="3" t="s">
        <v>64</v>
      </c>
      <c r="D916" s="16" t="s">
        <v>64</v>
      </c>
      <c r="E916" s="16">
        <v>0</v>
      </c>
      <c r="F916" s="16" t="s">
        <v>64</v>
      </c>
      <c r="G916" s="16" t="s">
        <v>64</v>
      </c>
    </row>
    <row r="917" spans="1:7" x14ac:dyDescent="0.2">
      <c r="A917" t="s">
        <v>64</v>
      </c>
      <c r="B917" t="s">
        <v>64</v>
      </c>
      <c r="C917" s="3" t="s">
        <v>64</v>
      </c>
      <c r="D917" s="16" t="s">
        <v>64</v>
      </c>
      <c r="E917" s="16">
        <v>0</v>
      </c>
      <c r="F917" s="16" t="s">
        <v>64</v>
      </c>
      <c r="G917" s="16" t="s">
        <v>64</v>
      </c>
    </row>
    <row r="918" spans="1:7" x14ac:dyDescent="0.2">
      <c r="A918" t="s">
        <v>64</v>
      </c>
      <c r="B918" t="s">
        <v>64</v>
      </c>
      <c r="C918" s="3" t="s">
        <v>64</v>
      </c>
      <c r="D918" s="16" t="s">
        <v>64</v>
      </c>
      <c r="E918" s="16">
        <v>0</v>
      </c>
      <c r="F918" s="16" t="s">
        <v>64</v>
      </c>
      <c r="G918" s="16" t="s">
        <v>64</v>
      </c>
    </row>
    <row r="919" spans="1:7" x14ac:dyDescent="0.2">
      <c r="A919" t="s">
        <v>64</v>
      </c>
      <c r="B919" t="s">
        <v>64</v>
      </c>
      <c r="C919" s="3" t="s">
        <v>64</v>
      </c>
      <c r="D919" s="16" t="s">
        <v>64</v>
      </c>
      <c r="E919" s="16">
        <v>0</v>
      </c>
      <c r="F919" s="16" t="s">
        <v>64</v>
      </c>
      <c r="G919" s="16" t="s">
        <v>64</v>
      </c>
    </row>
    <row r="920" spans="1:7" x14ac:dyDescent="0.2">
      <c r="A920" t="s">
        <v>64</v>
      </c>
      <c r="B920" t="s">
        <v>64</v>
      </c>
      <c r="C920" s="3" t="s">
        <v>64</v>
      </c>
      <c r="D920" s="16" t="s">
        <v>64</v>
      </c>
      <c r="E920" s="16">
        <v>0</v>
      </c>
      <c r="F920" s="16" t="s">
        <v>64</v>
      </c>
      <c r="G920" s="16" t="s">
        <v>64</v>
      </c>
    </row>
    <row r="921" spans="1:7" x14ac:dyDescent="0.2">
      <c r="A921" t="s">
        <v>64</v>
      </c>
      <c r="B921" t="s">
        <v>64</v>
      </c>
      <c r="C921" s="3" t="s">
        <v>64</v>
      </c>
      <c r="D921" s="16" t="s">
        <v>64</v>
      </c>
      <c r="E921" s="16">
        <v>0</v>
      </c>
      <c r="F921" s="16" t="s">
        <v>64</v>
      </c>
      <c r="G921" s="16" t="s">
        <v>64</v>
      </c>
    </row>
    <row r="922" spans="1:7" x14ac:dyDescent="0.2">
      <c r="A922" t="s">
        <v>64</v>
      </c>
      <c r="B922" t="s">
        <v>64</v>
      </c>
      <c r="C922" s="3" t="s">
        <v>64</v>
      </c>
      <c r="D922" s="16" t="s">
        <v>64</v>
      </c>
      <c r="E922" s="16">
        <v>0</v>
      </c>
      <c r="F922" s="16" t="s">
        <v>64</v>
      </c>
      <c r="G922" s="16" t="s">
        <v>64</v>
      </c>
    </row>
    <row r="923" spans="1:7" x14ac:dyDescent="0.2">
      <c r="A923" t="s">
        <v>64</v>
      </c>
      <c r="B923" t="s">
        <v>64</v>
      </c>
      <c r="C923" s="3" t="s">
        <v>64</v>
      </c>
      <c r="D923" s="16" t="s">
        <v>64</v>
      </c>
      <c r="E923" s="16">
        <v>0</v>
      </c>
      <c r="F923" s="16" t="s">
        <v>64</v>
      </c>
      <c r="G923" s="16" t="s">
        <v>64</v>
      </c>
    </row>
    <row r="924" spans="1:7" x14ac:dyDescent="0.2">
      <c r="A924" t="s">
        <v>64</v>
      </c>
      <c r="B924" t="s">
        <v>64</v>
      </c>
      <c r="C924" s="3" t="s">
        <v>64</v>
      </c>
      <c r="D924" s="16" t="s">
        <v>64</v>
      </c>
      <c r="E924" s="16">
        <v>0</v>
      </c>
      <c r="F924" s="16" t="s">
        <v>64</v>
      </c>
      <c r="G924" s="16" t="s">
        <v>64</v>
      </c>
    </row>
    <row r="925" spans="1:7" x14ac:dyDescent="0.2">
      <c r="A925" t="s">
        <v>64</v>
      </c>
      <c r="B925" t="s">
        <v>64</v>
      </c>
      <c r="C925" s="3" t="s">
        <v>64</v>
      </c>
      <c r="D925" s="16" t="s">
        <v>64</v>
      </c>
      <c r="E925" s="16">
        <v>0</v>
      </c>
      <c r="F925" s="16" t="s">
        <v>64</v>
      </c>
      <c r="G925" s="16" t="s">
        <v>64</v>
      </c>
    </row>
    <row r="926" spans="1:7" x14ac:dyDescent="0.2">
      <c r="A926" t="s">
        <v>64</v>
      </c>
      <c r="B926" t="s">
        <v>64</v>
      </c>
      <c r="C926" s="3" t="s">
        <v>64</v>
      </c>
      <c r="D926" s="16" t="s">
        <v>64</v>
      </c>
      <c r="E926" s="16">
        <v>0</v>
      </c>
      <c r="F926" s="16" t="s">
        <v>64</v>
      </c>
      <c r="G926" s="16" t="s">
        <v>64</v>
      </c>
    </row>
    <row r="927" spans="1:7" x14ac:dyDescent="0.2">
      <c r="A927" t="s">
        <v>64</v>
      </c>
      <c r="B927" t="s">
        <v>64</v>
      </c>
      <c r="C927" s="3" t="s">
        <v>64</v>
      </c>
      <c r="D927" s="16" t="s">
        <v>64</v>
      </c>
      <c r="E927" s="16">
        <v>0</v>
      </c>
      <c r="F927" s="16" t="s">
        <v>64</v>
      </c>
      <c r="G927" s="16" t="s">
        <v>64</v>
      </c>
    </row>
    <row r="928" spans="1:7" x14ac:dyDescent="0.2">
      <c r="A928" t="s">
        <v>64</v>
      </c>
      <c r="B928" t="s">
        <v>64</v>
      </c>
      <c r="C928" s="3" t="s">
        <v>64</v>
      </c>
      <c r="D928" s="16" t="s">
        <v>64</v>
      </c>
      <c r="E928" s="16">
        <v>0</v>
      </c>
      <c r="F928" s="16" t="s">
        <v>64</v>
      </c>
      <c r="G928" s="16" t="s">
        <v>64</v>
      </c>
    </row>
    <row r="929" spans="1:7" x14ac:dyDescent="0.2">
      <c r="A929" t="s">
        <v>64</v>
      </c>
      <c r="B929" t="s">
        <v>64</v>
      </c>
      <c r="C929" s="3" t="s">
        <v>64</v>
      </c>
      <c r="D929" s="16" t="s">
        <v>64</v>
      </c>
      <c r="E929" s="16">
        <v>0</v>
      </c>
      <c r="F929" s="16" t="s">
        <v>64</v>
      </c>
      <c r="G929" s="16" t="s">
        <v>64</v>
      </c>
    </row>
    <row r="930" spans="1:7" x14ac:dyDescent="0.2">
      <c r="A930" t="s">
        <v>64</v>
      </c>
      <c r="B930" t="s">
        <v>64</v>
      </c>
      <c r="C930" s="3" t="s">
        <v>64</v>
      </c>
      <c r="D930" s="16" t="s">
        <v>64</v>
      </c>
      <c r="E930" s="16">
        <v>0</v>
      </c>
      <c r="F930" s="16" t="s">
        <v>64</v>
      </c>
      <c r="G930" s="16" t="s">
        <v>64</v>
      </c>
    </row>
    <row r="931" spans="1:7" x14ac:dyDescent="0.2">
      <c r="A931" t="s">
        <v>64</v>
      </c>
      <c r="B931" t="s">
        <v>64</v>
      </c>
      <c r="C931" s="3" t="s">
        <v>64</v>
      </c>
      <c r="D931" s="16" t="s">
        <v>64</v>
      </c>
      <c r="E931" s="16">
        <v>0</v>
      </c>
      <c r="F931" s="16" t="s">
        <v>64</v>
      </c>
      <c r="G931" s="16" t="s">
        <v>64</v>
      </c>
    </row>
    <row r="932" spans="1:7" x14ac:dyDescent="0.2">
      <c r="A932" t="s">
        <v>64</v>
      </c>
      <c r="B932" t="s">
        <v>64</v>
      </c>
      <c r="C932" s="3" t="s">
        <v>64</v>
      </c>
      <c r="D932" s="16" t="s">
        <v>64</v>
      </c>
      <c r="E932" s="16">
        <v>0</v>
      </c>
      <c r="F932" s="16" t="s">
        <v>64</v>
      </c>
      <c r="G932" s="16" t="s">
        <v>64</v>
      </c>
    </row>
    <row r="933" spans="1:7" x14ac:dyDescent="0.2">
      <c r="A933" t="s">
        <v>64</v>
      </c>
      <c r="B933" t="s">
        <v>64</v>
      </c>
      <c r="C933" s="3" t="s">
        <v>64</v>
      </c>
      <c r="D933" s="16" t="s">
        <v>64</v>
      </c>
      <c r="E933" s="16">
        <v>0</v>
      </c>
      <c r="F933" s="16" t="s">
        <v>64</v>
      </c>
      <c r="G933" s="16" t="s">
        <v>64</v>
      </c>
    </row>
    <row r="934" spans="1:7" x14ac:dyDescent="0.2">
      <c r="A934" t="s">
        <v>64</v>
      </c>
      <c r="B934" t="s">
        <v>64</v>
      </c>
      <c r="C934" s="3" t="s">
        <v>64</v>
      </c>
      <c r="D934" s="16" t="s">
        <v>64</v>
      </c>
      <c r="E934" s="16">
        <v>0</v>
      </c>
      <c r="F934" s="16" t="s">
        <v>64</v>
      </c>
      <c r="G934" s="16" t="s">
        <v>64</v>
      </c>
    </row>
    <row r="935" spans="1:7" x14ac:dyDescent="0.2">
      <c r="A935" t="s">
        <v>64</v>
      </c>
      <c r="B935" t="s">
        <v>64</v>
      </c>
      <c r="C935" s="3" t="s">
        <v>64</v>
      </c>
      <c r="D935" s="16" t="s">
        <v>64</v>
      </c>
      <c r="E935" s="16">
        <v>0</v>
      </c>
      <c r="F935" s="16" t="s">
        <v>64</v>
      </c>
      <c r="G935" s="16" t="s">
        <v>64</v>
      </c>
    </row>
    <row r="936" spans="1:7" x14ac:dyDescent="0.2">
      <c r="A936" t="s">
        <v>64</v>
      </c>
      <c r="B936" t="s">
        <v>64</v>
      </c>
      <c r="C936" s="3" t="s">
        <v>64</v>
      </c>
      <c r="D936" s="16" t="s">
        <v>64</v>
      </c>
      <c r="E936" s="16">
        <v>0</v>
      </c>
      <c r="F936" s="16" t="s">
        <v>64</v>
      </c>
      <c r="G936" s="16" t="s">
        <v>64</v>
      </c>
    </row>
    <row r="937" spans="1:7" x14ac:dyDescent="0.2">
      <c r="A937" t="s">
        <v>64</v>
      </c>
      <c r="B937" t="s">
        <v>64</v>
      </c>
      <c r="C937" s="3" t="s">
        <v>64</v>
      </c>
      <c r="D937" s="16" t="s">
        <v>64</v>
      </c>
      <c r="E937" s="16">
        <v>0</v>
      </c>
      <c r="F937" s="16" t="s">
        <v>64</v>
      </c>
      <c r="G937" s="16" t="s">
        <v>64</v>
      </c>
    </row>
    <row r="938" spans="1:7" x14ac:dyDescent="0.2">
      <c r="A938" t="s">
        <v>64</v>
      </c>
      <c r="B938" t="s">
        <v>64</v>
      </c>
      <c r="C938" s="3" t="s">
        <v>64</v>
      </c>
      <c r="D938" s="16" t="s">
        <v>64</v>
      </c>
      <c r="E938" s="16">
        <v>0</v>
      </c>
      <c r="F938" s="16" t="s">
        <v>64</v>
      </c>
      <c r="G938" s="16" t="s">
        <v>64</v>
      </c>
    </row>
    <row r="939" spans="1:7" x14ac:dyDescent="0.2">
      <c r="A939" t="s">
        <v>64</v>
      </c>
      <c r="B939" t="s">
        <v>64</v>
      </c>
      <c r="C939" s="3" t="s">
        <v>64</v>
      </c>
      <c r="D939" s="16" t="s">
        <v>64</v>
      </c>
      <c r="E939" s="16">
        <v>0</v>
      </c>
      <c r="F939" s="16" t="s">
        <v>64</v>
      </c>
      <c r="G939" s="16" t="s">
        <v>64</v>
      </c>
    </row>
    <row r="940" spans="1:7" x14ac:dyDescent="0.2">
      <c r="A940" t="s">
        <v>64</v>
      </c>
      <c r="B940" t="s">
        <v>64</v>
      </c>
      <c r="C940" s="3" t="s">
        <v>64</v>
      </c>
      <c r="D940" s="16" t="s">
        <v>64</v>
      </c>
      <c r="E940" s="16">
        <v>0</v>
      </c>
      <c r="F940" s="16" t="s">
        <v>64</v>
      </c>
      <c r="G940" s="16" t="s">
        <v>64</v>
      </c>
    </row>
    <row r="941" spans="1:7" x14ac:dyDescent="0.2">
      <c r="A941" t="s">
        <v>64</v>
      </c>
      <c r="B941" t="s">
        <v>64</v>
      </c>
      <c r="C941" s="3" t="s">
        <v>64</v>
      </c>
      <c r="D941" s="16" t="s">
        <v>64</v>
      </c>
      <c r="E941" s="16">
        <v>0</v>
      </c>
      <c r="F941" s="16" t="s">
        <v>64</v>
      </c>
      <c r="G941" s="16" t="s">
        <v>64</v>
      </c>
    </row>
    <row r="942" spans="1:7" x14ac:dyDescent="0.2">
      <c r="A942" t="s">
        <v>64</v>
      </c>
      <c r="B942" t="s">
        <v>64</v>
      </c>
      <c r="C942" s="3" t="s">
        <v>64</v>
      </c>
      <c r="D942" s="16" t="s">
        <v>64</v>
      </c>
      <c r="E942" s="16">
        <v>0</v>
      </c>
      <c r="F942" s="16" t="s">
        <v>64</v>
      </c>
      <c r="G942" s="16" t="s">
        <v>64</v>
      </c>
    </row>
    <row r="943" spans="1:7" x14ac:dyDescent="0.2">
      <c r="A943" t="s">
        <v>64</v>
      </c>
      <c r="B943" t="s">
        <v>64</v>
      </c>
      <c r="C943" s="3" t="s">
        <v>64</v>
      </c>
      <c r="D943" s="16" t="s">
        <v>64</v>
      </c>
      <c r="E943" s="16">
        <v>0</v>
      </c>
      <c r="F943" s="16" t="s">
        <v>64</v>
      </c>
      <c r="G943" s="16" t="s">
        <v>64</v>
      </c>
    </row>
    <row r="944" spans="1:7" x14ac:dyDescent="0.2">
      <c r="A944" t="s">
        <v>64</v>
      </c>
      <c r="B944" t="s">
        <v>64</v>
      </c>
      <c r="C944" s="3" t="s">
        <v>64</v>
      </c>
      <c r="D944" s="16" t="s">
        <v>64</v>
      </c>
      <c r="E944" s="16">
        <v>0</v>
      </c>
      <c r="F944" s="16" t="s">
        <v>64</v>
      </c>
      <c r="G944" s="16" t="s">
        <v>64</v>
      </c>
    </row>
    <row r="945" spans="1:7" x14ac:dyDescent="0.2">
      <c r="A945" t="s">
        <v>64</v>
      </c>
      <c r="B945" t="s">
        <v>64</v>
      </c>
      <c r="C945" s="3" t="s">
        <v>64</v>
      </c>
      <c r="D945" s="16" t="s">
        <v>64</v>
      </c>
      <c r="E945" s="16">
        <v>0</v>
      </c>
      <c r="F945" s="16" t="s">
        <v>64</v>
      </c>
      <c r="G945" s="16" t="s">
        <v>64</v>
      </c>
    </row>
    <row r="946" spans="1:7" x14ac:dyDescent="0.2">
      <c r="A946" t="s">
        <v>64</v>
      </c>
      <c r="B946" t="s">
        <v>64</v>
      </c>
      <c r="C946" s="3" t="s">
        <v>64</v>
      </c>
      <c r="D946" s="16" t="s">
        <v>64</v>
      </c>
      <c r="E946" s="16">
        <v>0</v>
      </c>
      <c r="F946" s="16" t="s">
        <v>64</v>
      </c>
      <c r="G946" s="16" t="s">
        <v>64</v>
      </c>
    </row>
    <row r="947" spans="1:7" x14ac:dyDescent="0.2">
      <c r="A947" t="s">
        <v>64</v>
      </c>
      <c r="B947" t="s">
        <v>64</v>
      </c>
      <c r="C947" s="3" t="s">
        <v>64</v>
      </c>
      <c r="D947" s="16" t="s">
        <v>64</v>
      </c>
      <c r="E947" s="16">
        <v>0</v>
      </c>
      <c r="F947" s="16" t="s">
        <v>64</v>
      </c>
      <c r="G947" s="16" t="s">
        <v>64</v>
      </c>
    </row>
    <row r="948" spans="1:7" x14ac:dyDescent="0.2">
      <c r="A948" t="s">
        <v>64</v>
      </c>
      <c r="B948" t="s">
        <v>64</v>
      </c>
      <c r="C948" s="3" t="s">
        <v>64</v>
      </c>
      <c r="D948" s="16" t="s">
        <v>64</v>
      </c>
      <c r="E948" s="16">
        <v>0</v>
      </c>
      <c r="F948" s="16" t="s">
        <v>64</v>
      </c>
      <c r="G948" s="16" t="s">
        <v>64</v>
      </c>
    </row>
    <row r="949" spans="1:7" x14ac:dyDescent="0.2">
      <c r="A949" t="s">
        <v>64</v>
      </c>
      <c r="B949" t="s">
        <v>64</v>
      </c>
      <c r="C949" s="3" t="s">
        <v>64</v>
      </c>
      <c r="D949" s="16" t="s">
        <v>64</v>
      </c>
      <c r="E949" s="16">
        <v>0</v>
      </c>
      <c r="F949" s="16" t="s">
        <v>64</v>
      </c>
      <c r="G949" s="16" t="s">
        <v>64</v>
      </c>
    </row>
    <row r="950" spans="1:7" x14ac:dyDescent="0.2">
      <c r="A950" t="s">
        <v>64</v>
      </c>
      <c r="B950" t="s">
        <v>64</v>
      </c>
      <c r="C950" s="3" t="s">
        <v>64</v>
      </c>
      <c r="D950" s="16" t="s">
        <v>64</v>
      </c>
      <c r="E950" s="16">
        <v>0</v>
      </c>
      <c r="F950" s="16" t="s">
        <v>64</v>
      </c>
      <c r="G950" s="16" t="s">
        <v>64</v>
      </c>
    </row>
    <row r="951" spans="1:7" x14ac:dyDescent="0.2">
      <c r="A951" t="s">
        <v>64</v>
      </c>
      <c r="B951" t="s">
        <v>64</v>
      </c>
      <c r="C951" s="3" t="s">
        <v>64</v>
      </c>
      <c r="D951" s="16" t="s">
        <v>64</v>
      </c>
      <c r="E951" s="16">
        <v>0</v>
      </c>
      <c r="F951" s="16" t="s">
        <v>64</v>
      </c>
      <c r="G951" s="16" t="s">
        <v>64</v>
      </c>
    </row>
    <row r="952" spans="1:7" x14ac:dyDescent="0.2">
      <c r="A952" t="s">
        <v>64</v>
      </c>
      <c r="B952" t="s">
        <v>64</v>
      </c>
      <c r="C952" s="3" t="s">
        <v>64</v>
      </c>
      <c r="D952" s="16" t="s">
        <v>64</v>
      </c>
      <c r="E952" s="16">
        <v>0</v>
      </c>
      <c r="F952" s="16" t="s">
        <v>64</v>
      </c>
      <c r="G952" s="16" t="s">
        <v>64</v>
      </c>
    </row>
    <row r="953" spans="1:7" x14ac:dyDescent="0.2">
      <c r="A953" t="s">
        <v>64</v>
      </c>
      <c r="B953" t="s">
        <v>64</v>
      </c>
      <c r="C953" s="3" t="s">
        <v>64</v>
      </c>
      <c r="D953" s="16" t="s">
        <v>64</v>
      </c>
      <c r="E953" s="16">
        <v>0</v>
      </c>
      <c r="F953" s="16" t="s">
        <v>64</v>
      </c>
      <c r="G953" s="16" t="s">
        <v>64</v>
      </c>
    </row>
    <row r="954" spans="1:7" x14ac:dyDescent="0.2">
      <c r="A954" t="s">
        <v>64</v>
      </c>
      <c r="B954" t="s">
        <v>64</v>
      </c>
      <c r="C954" s="3" t="s">
        <v>64</v>
      </c>
      <c r="D954" s="16" t="s">
        <v>64</v>
      </c>
      <c r="E954" s="16">
        <v>0</v>
      </c>
      <c r="F954" s="16" t="s">
        <v>64</v>
      </c>
      <c r="G954" s="16" t="s">
        <v>64</v>
      </c>
    </row>
    <row r="955" spans="1:7" x14ac:dyDescent="0.2">
      <c r="A955" t="s">
        <v>64</v>
      </c>
      <c r="B955" t="s">
        <v>64</v>
      </c>
      <c r="C955" s="3" t="s">
        <v>64</v>
      </c>
      <c r="D955" s="16" t="s">
        <v>64</v>
      </c>
      <c r="E955" s="16">
        <v>0</v>
      </c>
      <c r="F955" s="16" t="s">
        <v>64</v>
      </c>
      <c r="G955" s="16" t="s">
        <v>64</v>
      </c>
    </row>
    <row r="956" spans="1:7" x14ac:dyDescent="0.2">
      <c r="A956" t="s">
        <v>64</v>
      </c>
      <c r="B956" t="s">
        <v>64</v>
      </c>
      <c r="C956" s="3" t="s">
        <v>64</v>
      </c>
      <c r="D956" s="16" t="s">
        <v>64</v>
      </c>
      <c r="E956" s="16">
        <v>0</v>
      </c>
      <c r="F956" s="16" t="s">
        <v>64</v>
      </c>
      <c r="G956" s="16" t="s">
        <v>64</v>
      </c>
    </row>
    <row r="957" spans="1:7" x14ac:dyDescent="0.2">
      <c r="A957" t="s">
        <v>64</v>
      </c>
      <c r="B957" t="s">
        <v>64</v>
      </c>
      <c r="C957" s="3" t="s">
        <v>64</v>
      </c>
      <c r="D957" s="16" t="s">
        <v>64</v>
      </c>
      <c r="E957" s="16">
        <v>0</v>
      </c>
      <c r="F957" s="16" t="s">
        <v>64</v>
      </c>
      <c r="G957" s="16" t="s">
        <v>64</v>
      </c>
    </row>
    <row r="958" spans="1:7" x14ac:dyDescent="0.2">
      <c r="A958" t="s">
        <v>64</v>
      </c>
      <c r="B958" t="s">
        <v>64</v>
      </c>
      <c r="C958" s="3" t="s">
        <v>64</v>
      </c>
      <c r="D958" s="16" t="s">
        <v>64</v>
      </c>
      <c r="E958" s="16">
        <v>0</v>
      </c>
      <c r="F958" s="16" t="s">
        <v>64</v>
      </c>
      <c r="G958" s="16" t="s">
        <v>64</v>
      </c>
    </row>
    <row r="959" spans="1:7" x14ac:dyDescent="0.2">
      <c r="A959" t="s">
        <v>64</v>
      </c>
      <c r="B959" t="s">
        <v>64</v>
      </c>
      <c r="C959" s="3" t="s">
        <v>64</v>
      </c>
      <c r="D959" s="16" t="s">
        <v>64</v>
      </c>
      <c r="E959" s="16">
        <v>0</v>
      </c>
      <c r="F959" s="16" t="s">
        <v>64</v>
      </c>
      <c r="G959" s="16" t="s">
        <v>64</v>
      </c>
    </row>
    <row r="960" spans="1:7" x14ac:dyDescent="0.2">
      <c r="A960" t="s">
        <v>64</v>
      </c>
      <c r="B960" t="s">
        <v>64</v>
      </c>
      <c r="C960" s="3" t="s">
        <v>64</v>
      </c>
      <c r="D960" s="16" t="s">
        <v>64</v>
      </c>
      <c r="E960" s="16">
        <v>0</v>
      </c>
      <c r="F960" s="16" t="s">
        <v>64</v>
      </c>
      <c r="G960" s="16" t="s">
        <v>64</v>
      </c>
    </row>
    <row r="961" spans="1:7" x14ac:dyDescent="0.2">
      <c r="A961" t="s">
        <v>64</v>
      </c>
      <c r="B961" t="s">
        <v>64</v>
      </c>
      <c r="C961" s="3" t="s">
        <v>64</v>
      </c>
      <c r="D961" s="16" t="s">
        <v>64</v>
      </c>
      <c r="E961" s="16">
        <v>0</v>
      </c>
      <c r="F961" s="16" t="s">
        <v>64</v>
      </c>
      <c r="G961" s="16" t="s">
        <v>64</v>
      </c>
    </row>
    <row r="962" spans="1:7" x14ac:dyDescent="0.2">
      <c r="A962" t="s">
        <v>64</v>
      </c>
      <c r="B962" t="s">
        <v>64</v>
      </c>
      <c r="C962" s="3" t="s">
        <v>64</v>
      </c>
      <c r="D962" s="16" t="s">
        <v>64</v>
      </c>
      <c r="E962" s="16">
        <v>0</v>
      </c>
      <c r="F962" s="16" t="s">
        <v>64</v>
      </c>
      <c r="G962" s="16" t="s">
        <v>64</v>
      </c>
    </row>
    <row r="963" spans="1:7" x14ac:dyDescent="0.2">
      <c r="A963" t="s">
        <v>64</v>
      </c>
      <c r="B963" t="s">
        <v>64</v>
      </c>
      <c r="C963" s="3" t="s">
        <v>64</v>
      </c>
      <c r="D963" s="16" t="s">
        <v>64</v>
      </c>
      <c r="E963" s="16">
        <v>0</v>
      </c>
      <c r="F963" s="16" t="s">
        <v>64</v>
      </c>
      <c r="G963" s="16" t="s">
        <v>64</v>
      </c>
    </row>
    <row r="964" spans="1:7" x14ac:dyDescent="0.2">
      <c r="A964" t="s">
        <v>64</v>
      </c>
      <c r="B964" t="s">
        <v>64</v>
      </c>
      <c r="C964" s="3" t="s">
        <v>64</v>
      </c>
      <c r="D964" s="16" t="s">
        <v>64</v>
      </c>
      <c r="E964" s="16">
        <v>0</v>
      </c>
      <c r="F964" s="16" t="s">
        <v>64</v>
      </c>
      <c r="G964" s="16" t="s">
        <v>64</v>
      </c>
    </row>
    <row r="965" spans="1:7" x14ac:dyDescent="0.2">
      <c r="A965" t="s">
        <v>64</v>
      </c>
      <c r="B965" t="s">
        <v>64</v>
      </c>
      <c r="C965" s="3" t="s">
        <v>64</v>
      </c>
      <c r="D965" s="16" t="s">
        <v>64</v>
      </c>
      <c r="E965" s="16">
        <v>0</v>
      </c>
      <c r="F965" s="16" t="s">
        <v>64</v>
      </c>
      <c r="G965" s="16" t="s">
        <v>64</v>
      </c>
    </row>
    <row r="966" spans="1:7" x14ac:dyDescent="0.2">
      <c r="A966" t="s">
        <v>64</v>
      </c>
      <c r="B966" t="s">
        <v>64</v>
      </c>
      <c r="C966" s="3" t="s">
        <v>64</v>
      </c>
      <c r="D966" s="16" t="s">
        <v>64</v>
      </c>
      <c r="E966" s="16">
        <v>0</v>
      </c>
      <c r="F966" s="16" t="s">
        <v>64</v>
      </c>
      <c r="G966" s="16" t="s">
        <v>64</v>
      </c>
    </row>
    <row r="967" spans="1:7" x14ac:dyDescent="0.2">
      <c r="A967" t="s">
        <v>64</v>
      </c>
      <c r="B967" t="s">
        <v>64</v>
      </c>
      <c r="C967" s="3" t="s">
        <v>64</v>
      </c>
      <c r="D967" s="16" t="s">
        <v>64</v>
      </c>
      <c r="E967" s="16">
        <v>0</v>
      </c>
      <c r="F967" s="16" t="s">
        <v>64</v>
      </c>
      <c r="G967" s="16" t="s">
        <v>64</v>
      </c>
    </row>
    <row r="968" spans="1:7" x14ac:dyDescent="0.2">
      <c r="A968" t="s">
        <v>64</v>
      </c>
      <c r="B968" t="s">
        <v>64</v>
      </c>
      <c r="C968" s="3" t="s">
        <v>64</v>
      </c>
      <c r="D968" s="16" t="s">
        <v>64</v>
      </c>
      <c r="E968" s="16">
        <v>0</v>
      </c>
      <c r="F968" s="16" t="s">
        <v>64</v>
      </c>
      <c r="G968" s="16" t="s">
        <v>64</v>
      </c>
    </row>
    <row r="969" spans="1:7" x14ac:dyDescent="0.2">
      <c r="A969" t="s">
        <v>64</v>
      </c>
      <c r="B969" t="s">
        <v>64</v>
      </c>
      <c r="C969" s="3" t="s">
        <v>64</v>
      </c>
      <c r="D969" s="16" t="s">
        <v>64</v>
      </c>
      <c r="E969" s="16">
        <v>0</v>
      </c>
      <c r="F969" s="16" t="s">
        <v>64</v>
      </c>
      <c r="G969" s="16" t="s">
        <v>64</v>
      </c>
    </row>
    <row r="970" spans="1:7" x14ac:dyDescent="0.2">
      <c r="A970" t="s">
        <v>64</v>
      </c>
      <c r="B970" t="s">
        <v>64</v>
      </c>
      <c r="C970" s="3" t="s">
        <v>64</v>
      </c>
      <c r="D970" s="16" t="s">
        <v>64</v>
      </c>
      <c r="E970" s="16">
        <v>0</v>
      </c>
      <c r="F970" s="16" t="s">
        <v>64</v>
      </c>
      <c r="G970" s="16" t="s">
        <v>64</v>
      </c>
    </row>
    <row r="971" spans="1:7" x14ac:dyDescent="0.2">
      <c r="A971" t="s">
        <v>64</v>
      </c>
      <c r="B971" t="s">
        <v>64</v>
      </c>
      <c r="C971" s="3" t="s">
        <v>64</v>
      </c>
      <c r="D971" s="16" t="s">
        <v>64</v>
      </c>
      <c r="E971" s="16">
        <v>0</v>
      </c>
      <c r="F971" s="16" t="s">
        <v>64</v>
      </c>
      <c r="G971" s="16" t="s">
        <v>64</v>
      </c>
    </row>
    <row r="972" spans="1:7" x14ac:dyDescent="0.2">
      <c r="A972" t="s">
        <v>64</v>
      </c>
      <c r="B972" t="s">
        <v>64</v>
      </c>
      <c r="C972" s="3" t="s">
        <v>64</v>
      </c>
      <c r="D972" s="16" t="s">
        <v>64</v>
      </c>
      <c r="E972" s="16">
        <v>0</v>
      </c>
      <c r="F972" s="16" t="s">
        <v>64</v>
      </c>
      <c r="G972" s="16" t="s">
        <v>64</v>
      </c>
    </row>
    <row r="973" spans="1:7" x14ac:dyDescent="0.2">
      <c r="A973" t="s">
        <v>64</v>
      </c>
      <c r="B973" t="s">
        <v>64</v>
      </c>
      <c r="C973" s="3" t="s">
        <v>64</v>
      </c>
      <c r="D973" s="16" t="s">
        <v>64</v>
      </c>
      <c r="E973" s="16">
        <v>0</v>
      </c>
      <c r="F973" s="16" t="s">
        <v>64</v>
      </c>
      <c r="G973" s="16" t="s">
        <v>64</v>
      </c>
    </row>
    <row r="974" spans="1:7" x14ac:dyDescent="0.2">
      <c r="A974" t="s">
        <v>64</v>
      </c>
      <c r="B974" t="s">
        <v>64</v>
      </c>
      <c r="C974" s="3" t="s">
        <v>64</v>
      </c>
      <c r="D974" s="16" t="s">
        <v>64</v>
      </c>
      <c r="E974" s="16">
        <v>0</v>
      </c>
      <c r="F974" s="16" t="s">
        <v>64</v>
      </c>
      <c r="G974" s="16" t="s">
        <v>64</v>
      </c>
    </row>
    <row r="975" spans="1:7" x14ac:dyDescent="0.2">
      <c r="A975" t="s">
        <v>64</v>
      </c>
      <c r="B975" t="s">
        <v>64</v>
      </c>
      <c r="C975" s="3" t="s">
        <v>64</v>
      </c>
      <c r="D975" s="16" t="s">
        <v>64</v>
      </c>
      <c r="E975" s="16">
        <v>0</v>
      </c>
      <c r="F975" s="16" t="s">
        <v>64</v>
      </c>
      <c r="G975" s="16" t="s">
        <v>64</v>
      </c>
    </row>
    <row r="976" spans="1:7" x14ac:dyDescent="0.2">
      <c r="A976" t="s">
        <v>64</v>
      </c>
      <c r="B976" t="s">
        <v>64</v>
      </c>
      <c r="C976" s="3" t="s">
        <v>64</v>
      </c>
      <c r="D976" s="16" t="s">
        <v>64</v>
      </c>
      <c r="E976" s="16">
        <v>0</v>
      </c>
      <c r="F976" s="16" t="s">
        <v>64</v>
      </c>
      <c r="G976" s="16" t="s">
        <v>64</v>
      </c>
    </row>
    <row r="977" spans="1:7" x14ac:dyDescent="0.2">
      <c r="A977" t="s">
        <v>64</v>
      </c>
      <c r="B977" t="s">
        <v>64</v>
      </c>
      <c r="C977" s="3" t="s">
        <v>64</v>
      </c>
      <c r="D977" s="16" t="s">
        <v>64</v>
      </c>
      <c r="E977" s="16">
        <v>0</v>
      </c>
      <c r="F977" s="16" t="s">
        <v>64</v>
      </c>
      <c r="G977" s="16" t="s">
        <v>64</v>
      </c>
    </row>
    <row r="978" spans="1:7" x14ac:dyDescent="0.2">
      <c r="A978" t="s">
        <v>64</v>
      </c>
      <c r="B978" t="s">
        <v>64</v>
      </c>
      <c r="C978" s="3" t="s">
        <v>64</v>
      </c>
      <c r="D978" s="16" t="s">
        <v>64</v>
      </c>
      <c r="E978" s="16">
        <v>0</v>
      </c>
      <c r="F978" s="16" t="s">
        <v>64</v>
      </c>
      <c r="G978" s="16" t="s">
        <v>64</v>
      </c>
    </row>
    <row r="979" spans="1:7" x14ac:dyDescent="0.2">
      <c r="A979" t="s">
        <v>64</v>
      </c>
      <c r="B979" t="s">
        <v>64</v>
      </c>
      <c r="C979" s="3" t="s">
        <v>64</v>
      </c>
      <c r="D979" s="16" t="s">
        <v>64</v>
      </c>
      <c r="E979" s="16">
        <v>0</v>
      </c>
      <c r="F979" s="16" t="s">
        <v>64</v>
      </c>
      <c r="G979" s="16" t="s">
        <v>64</v>
      </c>
    </row>
    <row r="980" spans="1:7" x14ac:dyDescent="0.2">
      <c r="A980" t="s">
        <v>64</v>
      </c>
      <c r="B980" t="s">
        <v>64</v>
      </c>
      <c r="C980" s="3" t="s">
        <v>64</v>
      </c>
      <c r="D980" s="16" t="s">
        <v>64</v>
      </c>
      <c r="E980" s="16">
        <v>0</v>
      </c>
      <c r="F980" s="16" t="s">
        <v>64</v>
      </c>
      <c r="G980" s="16" t="s">
        <v>64</v>
      </c>
    </row>
    <row r="981" spans="1:7" x14ac:dyDescent="0.2">
      <c r="A981" t="s">
        <v>64</v>
      </c>
      <c r="B981" t="s">
        <v>64</v>
      </c>
      <c r="C981" s="3" t="s">
        <v>64</v>
      </c>
      <c r="D981" s="16" t="s">
        <v>64</v>
      </c>
      <c r="E981" s="16">
        <v>0</v>
      </c>
      <c r="F981" s="16" t="s">
        <v>64</v>
      </c>
      <c r="G981" s="16" t="s">
        <v>64</v>
      </c>
    </row>
    <row r="982" spans="1:7" x14ac:dyDescent="0.2">
      <c r="A982" t="s">
        <v>64</v>
      </c>
      <c r="B982" t="s">
        <v>64</v>
      </c>
      <c r="C982" s="3" t="s">
        <v>64</v>
      </c>
      <c r="D982" s="16" t="s">
        <v>64</v>
      </c>
      <c r="E982" s="16">
        <v>0</v>
      </c>
      <c r="F982" s="16" t="s">
        <v>64</v>
      </c>
      <c r="G982" s="16" t="s">
        <v>64</v>
      </c>
    </row>
    <row r="983" spans="1:7" x14ac:dyDescent="0.2">
      <c r="A983" t="s">
        <v>64</v>
      </c>
      <c r="B983" t="s">
        <v>64</v>
      </c>
      <c r="C983" s="3" t="s">
        <v>64</v>
      </c>
      <c r="D983" s="16" t="s">
        <v>64</v>
      </c>
      <c r="E983" s="16">
        <v>0</v>
      </c>
      <c r="F983" s="16" t="s">
        <v>64</v>
      </c>
      <c r="G983" s="16" t="s">
        <v>64</v>
      </c>
    </row>
    <row r="984" spans="1:7" x14ac:dyDescent="0.2">
      <c r="A984" t="s">
        <v>64</v>
      </c>
      <c r="B984" t="s">
        <v>64</v>
      </c>
      <c r="C984" s="3" t="s">
        <v>64</v>
      </c>
      <c r="D984" s="16" t="s">
        <v>64</v>
      </c>
      <c r="E984" s="16">
        <v>0</v>
      </c>
      <c r="F984" s="16" t="s">
        <v>64</v>
      </c>
      <c r="G984" s="16" t="s">
        <v>64</v>
      </c>
    </row>
    <row r="985" spans="1:7" x14ac:dyDescent="0.2">
      <c r="A985" t="s">
        <v>64</v>
      </c>
      <c r="B985" t="s">
        <v>64</v>
      </c>
      <c r="C985" s="3" t="s">
        <v>64</v>
      </c>
      <c r="D985" s="16" t="s">
        <v>64</v>
      </c>
      <c r="E985" s="16">
        <v>0</v>
      </c>
      <c r="F985" s="16" t="s">
        <v>64</v>
      </c>
      <c r="G985" s="16" t="s">
        <v>64</v>
      </c>
    </row>
    <row r="986" spans="1:7" x14ac:dyDescent="0.2">
      <c r="A986" t="s">
        <v>64</v>
      </c>
      <c r="B986" t="s">
        <v>64</v>
      </c>
      <c r="C986" s="3" t="s">
        <v>64</v>
      </c>
      <c r="D986" s="16" t="s">
        <v>64</v>
      </c>
      <c r="E986" s="16">
        <v>0</v>
      </c>
      <c r="F986" s="16" t="s">
        <v>64</v>
      </c>
      <c r="G986" s="16" t="s">
        <v>64</v>
      </c>
    </row>
    <row r="987" spans="1:7" x14ac:dyDescent="0.2">
      <c r="A987" t="s">
        <v>64</v>
      </c>
      <c r="B987" t="s">
        <v>64</v>
      </c>
      <c r="C987" s="3" t="s">
        <v>64</v>
      </c>
      <c r="D987" s="16" t="s">
        <v>64</v>
      </c>
      <c r="E987" s="16">
        <v>0</v>
      </c>
      <c r="F987" s="16" t="s">
        <v>64</v>
      </c>
      <c r="G987" s="16" t="s">
        <v>64</v>
      </c>
    </row>
    <row r="988" spans="1:7" x14ac:dyDescent="0.2">
      <c r="A988" t="s">
        <v>64</v>
      </c>
      <c r="B988" t="s">
        <v>64</v>
      </c>
      <c r="C988" s="3" t="s">
        <v>64</v>
      </c>
      <c r="D988" s="16" t="s">
        <v>64</v>
      </c>
      <c r="E988" s="16">
        <v>0</v>
      </c>
      <c r="F988" s="16" t="s">
        <v>64</v>
      </c>
      <c r="G988" s="16" t="s">
        <v>64</v>
      </c>
    </row>
    <row r="989" spans="1:7" x14ac:dyDescent="0.2">
      <c r="A989" t="s">
        <v>64</v>
      </c>
      <c r="B989" t="s">
        <v>64</v>
      </c>
      <c r="C989" s="3" t="s">
        <v>64</v>
      </c>
      <c r="D989" s="16" t="s">
        <v>64</v>
      </c>
      <c r="E989" s="16">
        <v>0</v>
      </c>
      <c r="F989" s="16" t="s">
        <v>64</v>
      </c>
      <c r="G989" s="16" t="s">
        <v>64</v>
      </c>
    </row>
    <row r="990" spans="1:7" x14ac:dyDescent="0.2">
      <c r="A990" t="s">
        <v>64</v>
      </c>
      <c r="B990" t="s">
        <v>64</v>
      </c>
      <c r="C990" s="3" t="s">
        <v>64</v>
      </c>
      <c r="D990" s="16" t="s">
        <v>64</v>
      </c>
      <c r="E990" s="16">
        <v>0</v>
      </c>
      <c r="F990" s="16" t="s">
        <v>64</v>
      </c>
      <c r="G990" s="16" t="s">
        <v>64</v>
      </c>
    </row>
    <row r="991" spans="1:7" x14ac:dyDescent="0.2">
      <c r="A991" t="s">
        <v>64</v>
      </c>
      <c r="B991" t="s">
        <v>64</v>
      </c>
      <c r="C991" s="3" t="s">
        <v>64</v>
      </c>
      <c r="D991" s="16" t="s">
        <v>64</v>
      </c>
      <c r="E991" s="16">
        <v>0</v>
      </c>
      <c r="F991" s="16" t="s">
        <v>64</v>
      </c>
      <c r="G991" s="16" t="s">
        <v>64</v>
      </c>
    </row>
    <row r="992" spans="1:7" x14ac:dyDescent="0.2">
      <c r="A992" t="s">
        <v>64</v>
      </c>
      <c r="B992" t="s">
        <v>64</v>
      </c>
      <c r="C992" s="3" t="s">
        <v>64</v>
      </c>
      <c r="D992" s="16" t="s">
        <v>64</v>
      </c>
      <c r="E992" s="16">
        <v>0</v>
      </c>
      <c r="F992" s="16" t="s">
        <v>64</v>
      </c>
      <c r="G992" s="16" t="s">
        <v>64</v>
      </c>
    </row>
    <row r="993" spans="1:7" x14ac:dyDescent="0.2">
      <c r="A993" t="s">
        <v>64</v>
      </c>
      <c r="B993" t="s">
        <v>64</v>
      </c>
      <c r="C993" s="3" t="s">
        <v>64</v>
      </c>
      <c r="D993" s="16" t="s">
        <v>64</v>
      </c>
      <c r="E993" s="16">
        <v>0</v>
      </c>
      <c r="F993" s="16" t="s">
        <v>64</v>
      </c>
      <c r="G993" s="16" t="s">
        <v>64</v>
      </c>
    </row>
    <row r="994" spans="1:7" x14ac:dyDescent="0.2">
      <c r="A994" t="s">
        <v>64</v>
      </c>
      <c r="B994" t="s">
        <v>64</v>
      </c>
      <c r="C994" s="3" t="s">
        <v>64</v>
      </c>
      <c r="D994" s="16" t="s">
        <v>64</v>
      </c>
      <c r="E994" s="16">
        <v>0</v>
      </c>
      <c r="F994" s="16" t="s">
        <v>64</v>
      </c>
      <c r="G994" s="16" t="s">
        <v>64</v>
      </c>
    </row>
    <row r="995" spans="1:7" x14ac:dyDescent="0.2">
      <c r="A995" t="s">
        <v>64</v>
      </c>
      <c r="B995" t="s">
        <v>64</v>
      </c>
      <c r="C995" s="3" t="s">
        <v>64</v>
      </c>
      <c r="D995" s="16" t="s">
        <v>64</v>
      </c>
      <c r="E995" s="16">
        <v>0</v>
      </c>
      <c r="F995" s="16" t="s">
        <v>64</v>
      </c>
      <c r="G995" s="16" t="s">
        <v>64</v>
      </c>
    </row>
    <row r="996" spans="1:7" x14ac:dyDescent="0.2">
      <c r="A996" t="s">
        <v>64</v>
      </c>
      <c r="B996" t="s">
        <v>64</v>
      </c>
      <c r="C996" s="3" t="s">
        <v>64</v>
      </c>
      <c r="D996" s="16" t="s">
        <v>64</v>
      </c>
      <c r="E996" s="16">
        <v>0</v>
      </c>
      <c r="F996" s="16" t="s">
        <v>64</v>
      </c>
      <c r="G996" s="16" t="s">
        <v>64</v>
      </c>
    </row>
    <row r="997" spans="1:7" x14ac:dyDescent="0.2">
      <c r="A997" t="s">
        <v>64</v>
      </c>
      <c r="B997" t="s">
        <v>64</v>
      </c>
      <c r="C997" s="3" t="s">
        <v>64</v>
      </c>
      <c r="D997" s="16" t="s">
        <v>64</v>
      </c>
      <c r="E997" s="16">
        <v>0</v>
      </c>
      <c r="F997" s="16" t="s">
        <v>64</v>
      </c>
      <c r="G997" s="16" t="s">
        <v>64</v>
      </c>
    </row>
    <row r="998" spans="1:7" x14ac:dyDescent="0.2">
      <c r="A998" t="s">
        <v>64</v>
      </c>
      <c r="B998" t="s">
        <v>64</v>
      </c>
      <c r="C998" s="3" t="s">
        <v>64</v>
      </c>
      <c r="D998" s="16" t="s">
        <v>64</v>
      </c>
      <c r="E998" s="16">
        <v>0</v>
      </c>
      <c r="F998" s="16" t="s">
        <v>64</v>
      </c>
      <c r="G998" s="16" t="s">
        <v>64</v>
      </c>
    </row>
    <row r="999" spans="1:7" x14ac:dyDescent="0.2">
      <c r="A999" t="s">
        <v>64</v>
      </c>
      <c r="B999" t="s">
        <v>64</v>
      </c>
      <c r="C999" s="3" t="s">
        <v>64</v>
      </c>
      <c r="D999" s="16" t="s">
        <v>64</v>
      </c>
      <c r="E999" s="16">
        <v>0</v>
      </c>
      <c r="F999" s="16" t="s">
        <v>64</v>
      </c>
      <c r="G999" s="16" t="s">
        <v>64</v>
      </c>
    </row>
    <row r="1000" spans="1:7" x14ac:dyDescent="0.2">
      <c r="A1000" t="s">
        <v>64</v>
      </c>
      <c r="B1000" t="s">
        <v>64</v>
      </c>
      <c r="C1000" s="3" t="s">
        <v>64</v>
      </c>
      <c r="D1000" s="16" t="s">
        <v>64</v>
      </c>
      <c r="E1000" s="16">
        <v>0</v>
      </c>
      <c r="F1000" s="16" t="s">
        <v>64</v>
      </c>
      <c r="G1000" s="16" t="s">
        <v>64</v>
      </c>
    </row>
    <row r="1001" spans="1:7" x14ac:dyDescent="0.2">
      <c r="A1001" t="s">
        <v>64</v>
      </c>
      <c r="B1001" t="s">
        <v>64</v>
      </c>
      <c r="C1001" s="3" t="s">
        <v>64</v>
      </c>
      <c r="D1001" s="16" t="s">
        <v>64</v>
      </c>
      <c r="E1001" s="16">
        <v>0</v>
      </c>
      <c r="F1001" s="16" t="s">
        <v>64</v>
      </c>
      <c r="G1001" s="16" t="s">
        <v>64</v>
      </c>
    </row>
    <row r="1002" spans="1:7" x14ac:dyDescent="0.2">
      <c r="A1002" t="s">
        <v>64</v>
      </c>
      <c r="B1002" t="s">
        <v>64</v>
      </c>
      <c r="C1002" s="3" t="s">
        <v>64</v>
      </c>
      <c r="D1002" s="16" t="s">
        <v>64</v>
      </c>
      <c r="E1002" s="16">
        <v>0</v>
      </c>
      <c r="F1002" s="16" t="s">
        <v>64</v>
      </c>
      <c r="G1002" s="16" t="s">
        <v>64</v>
      </c>
    </row>
    <row r="1003" spans="1:7" x14ac:dyDescent="0.2">
      <c r="A1003" t="s">
        <v>64</v>
      </c>
      <c r="B1003" t="s">
        <v>64</v>
      </c>
      <c r="C1003" s="3" t="s">
        <v>64</v>
      </c>
      <c r="D1003" s="16" t="s">
        <v>64</v>
      </c>
      <c r="E1003" s="16">
        <v>0</v>
      </c>
      <c r="F1003" s="16" t="s">
        <v>64</v>
      </c>
      <c r="G1003" s="16" t="s">
        <v>64</v>
      </c>
    </row>
    <row r="1004" spans="1:7" x14ac:dyDescent="0.2">
      <c r="A1004" t="s">
        <v>64</v>
      </c>
      <c r="B1004" t="s">
        <v>64</v>
      </c>
      <c r="C1004" s="3" t="s">
        <v>64</v>
      </c>
      <c r="D1004" s="16" t="s">
        <v>64</v>
      </c>
      <c r="E1004" s="16">
        <v>0</v>
      </c>
      <c r="F1004" s="16" t="s">
        <v>64</v>
      </c>
      <c r="G1004" s="16" t="s">
        <v>64</v>
      </c>
    </row>
    <row r="1005" spans="1:7" x14ac:dyDescent="0.2">
      <c r="A1005" t="s">
        <v>64</v>
      </c>
      <c r="B1005" t="s">
        <v>64</v>
      </c>
      <c r="C1005" s="3" t="s">
        <v>64</v>
      </c>
      <c r="D1005" s="16" t="s">
        <v>64</v>
      </c>
      <c r="E1005" s="16">
        <v>0</v>
      </c>
      <c r="F1005" s="16" t="s">
        <v>64</v>
      </c>
      <c r="G1005" s="16" t="s">
        <v>64</v>
      </c>
    </row>
    <row r="1006" spans="1:7" x14ac:dyDescent="0.2">
      <c r="A1006" t="s">
        <v>64</v>
      </c>
      <c r="B1006" t="s">
        <v>64</v>
      </c>
      <c r="C1006" s="3" t="s">
        <v>64</v>
      </c>
      <c r="D1006" s="16" t="s">
        <v>64</v>
      </c>
      <c r="E1006" s="16">
        <v>0</v>
      </c>
      <c r="F1006" s="16" t="s">
        <v>64</v>
      </c>
      <c r="G1006" s="16" t="s">
        <v>64</v>
      </c>
    </row>
    <row r="1007" spans="1:7" x14ac:dyDescent="0.2">
      <c r="A1007" t="s">
        <v>64</v>
      </c>
      <c r="B1007" t="s">
        <v>64</v>
      </c>
      <c r="C1007" s="3" t="s">
        <v>64</v>
      </c>
      <c r="D1007" s="16" t="s">
        <v>64</v>
      </c>
      <c r="E1007" s="16">
        <v>0</v>
      </c>
      <c r="F1007" s="16" t="s">
        <v>64</v>
      </c>
      <c r="G1007" s="16" t="s">
        <v>64</v>
      </c>
    </row>
    <row r="1008" spans="1:7" x14ac:dyDescent="0.2">
      <c r="A1008" t="s">
        <v>64</v>
      </c>
      <c r="B1008" t="s">
        <v>64</v>
      </c>
      <c r="C1008" s="3" t="s">
        <v>64</v>
      </c>
      <c r="D1008" s="16" t="s">
        <v>64</v>
      </c>
      <c r="E1008" s="16">
        <v>0</v>
      </c>
      <c r="F1008" s="16" t="s">
        <v>64</v>
      </c>
      <c r="G1008" s="16" t="s">
        <v>64</v>
      </c>
    </row>
    <row r="1009" spans="1:7" x14ac:dyDescent="0.2">
      <c r="A1009" t="s">
        <v>64</v>
      </c>
      <c r="B1009" t="s">
        <v>64</v>
      </c>
      <c r="C1009" s="3" t="s">
        <v>64</v>
      </c>
      <c r="D1009" s="16" t="s">
        <v>64</v>
      </c>
      <c r="E1009" s="16">
        <v>0</v>
      </c>
      <c r="F1009" s="16" t="s">
        <v>64</v>
      </c>
      <c r="G1009" s="16" t="s">
        <v>64</v>
      </c>
    </row>
    <row r="1010" spans="1:7" x14ac:dyDescent="0.2">
      <c r="A1010" t="s">
        <v>64</v>
      </c>
      <c r="B1010" t="s">
        <v>64</v>
      </c>
      <c r="C1010" s="3" t="s">
        <v>64</v>
      </c>
      <c r="D1010" s="16" t="s">
        <v>64</v>
      </c>
      <c r="E1010" s="16">
        <v>0</v>
      </c>
      <c r="F1010" s="16" t="s">
        <v>64</v>
      </c>
      <c r="G1010" s="16" t="s">
        <v>64</v>
      </c>
    </row>
    <row r="1011" spans="1:7" x14ac:dyDescent="0.2">
      <c r="A1011" t="s">
        <v>64</v>
      </c>
      <c r="B1011" t="s">
        <v>64</v>
      </c>
      <c r="C1011" s="3" t="s">
        <v>64</v>
      </c>
      <c r="D1011" s="16" t="s">
        <v>64</v>
      </c>
      <c r="E1011" s="16">
        <v>0</v>
      </c>
      <c r="F1011" s="16" t="s">
        <v>64</v>
      </c>
      <c r="G1011" s="16" t="s">
        <v>64</v>
      </c>
    </row>
    <row r="1012" spans="1:7" x14ac:dyDescent="0.2">
      <c r="A1012" t="s">
        <v>64</v>
      </c>
      <c r="B1012" t="s">
        <v>64</v>
      </c>
      <c r="C1012" s="3" t="s">
        <v>64</v>
      </c>
      <c r="D1012" s="16" t="s">
        <v>64</v>
      </c>
      <c r="E1012" s="16">
        <v>0</v>
      </c>
      <c r="F1012" s="16" t="s">
        <v>64</v>
      </c>
      <c r="G1012" s="16" t="s">
        <v>64</v>
      </c>
    </row>
    <row r="1013" spans="1:7" x14ac:dyDescent="0.2">
      <c r="A1013" t="s">
        <v>64</v>
      </c>
      <c r="B1013" t="s">
        <v>64</v>
      </c>
      <c r="C1013" s="3" t="s">
        <v>64</v>
      </c>
      <c r="D1013" s="16" t="s">
        <v>64</v>
      </c>
      <c r="E1013" s="16">
        <v>0</v>
      </c>
      <c r="F1013" s="16" t="s">
        <v>64</v>
      </c>
      <c r="G1013" s="16" t="s">
        <v>64</v>
      </c>
    </row>
    <row r="1014" spans="1:7" x14ac:dyDescent="0.2">
      <c r="A1014" t="s">
        <v>64</v>
      </c>
      <c r="B1014" t="s">
        <v>64</v>
      </c>
      <c r="C1014" s="3" t="s">
        <v>64</v>
      </c>
      <c r="D1014" s="16" t="s">
        <v>64</v>
      </c>
      <c r="E1014" s="16">
        <v>0</v>
      </c>
      <c r="F1014" s="16" t="s">
        <v>64</v>
      </c>
      <c r="G1014" s="16" t="s">
        <v>64</v>
      </c>
    </row>
    <row r="1015" spans="1:7" x14ac:dyDescent="0.2">
      <c r="A1015" t="s">
        <v>64</v>
      </c>
      <c r="B1015" t="s">
        <v>64</v>
      </c>
      <c r="C1015" s="3" t="s">
        <v>64</v>
      </c>
      <c r="D1015" s="16" t="s">
        <v>64</v>
      </c>
      <c r="E1015" s="16">
        <v>0</v>
      </c>
      <c r="F1015" s="16" t="s">
        <v>64</v>
      </c>
      <c r="G1015" s="16" t="s">
        <v>64</v>
      </c>
    </row>
    <row r="1016" spans="1:7" x14ac:dyDescent="0.2">
      <c r="A1016" t="s">
        <v>64</v>
      </c>
      <c r="B1016" t="s">
        <v>64</v>
      </c>
      <c r="C1016" s="3" t="s">
        <v>64</v>
      </c>
      <c r="D1016" s="16" t="s">
        <v>64</v>
      </c>
      <c r="E1016" s="16">
        <v>0</v>
      </c>
      <c r="F1016" s="16" t="s">
        <v>64</v>
      </c>
      <c r="G1016" s="16" t="s">
        <v>64</v>
      </c>
    </row>
    <row r="1017" spans="1:7" x14ac:dyDescent="0.2">
      <c r="A1017" t="s">
        <v>64</v>
      </c>
      <c r="B1017" t="s">
        <v>64</v>
      </c>
      <c r="C1017" s="3" t="s">
        <v>64</v>
      </c>
      <c r="D1017" s="16" t="s">
        <v>64</v>
      </c>
      <c r="E1017" s="16">
        <v>0</v>
      </c>
      <c r="F1017" s="16" t="s">
        <v>64</v>
      </c>
      <c r="G1017" s="16" t="s">
        <v>64</v>
      </c>
    </row>
    <row r="1018" spans="1:7" x14ac:dyDescent="0.2">
      <c r="A1018" t="s">
        <v>64</v>
      </c>
      <c r="B1018" t="s">
        <v>64</v>
      </c>
      <c r="C1018" s="3" t="s">
        <v>64</v>
      </c>
      <c r="D1018" s="16" t="s">
        <v>64</v>
      </c>
      <c r="E1018" s="16">
        <v>0</v>
      </c>
      <c r="F1018" s="16" t="s">
        <v>64</v>
      </c>
      <c r="G1018" s="16" t="s">
        <v>64</v>
      </c>
    </row>
    <row r="1019" spans="1:7" x14ac:dyDescent="0.2">
      <c r="A1019" t="s">
        <v>64</v>
      </c>
      <c r="B1019" t="s">
        <v>64</v>
      </c>
      <c r="C1019" s="3" t="s">
        <v>64</v>
      </c>
      <c r="D1019" s="16" t="s">
        <v>64</v>
      </c>
      <c r="E1019" s="16">
        <v>0</v>
      </c>
      <c r="F1019" s="16" t="s">
        <v>64</v>
      </c>
      <c r="G1019" s="16" t="s">
        <v>64</v>
      </c>
    </row>
    <row r="1020" spans="1:7" x14ac:dyDescent="0.2">
      <c r="A1020" t="s">
        <v>64</v>
      </c>
      <c r="B1020" t="s">
        <v>64</v>
      </c>
      <c r="C1020" s="3" t="s">
        <v>64</v>
      </c>
      <c r="D1020" s="16" t="s">
        <v>64</v>
      </c>
      <c r="E1020" s="16">
        <v>0</v>
      </c>
      <c r="F1020" s="16" t="s">
        <v>64</v>
      </c>
      <c r="G1020" s="16" t="s">
        <v>64</v>
      </c>
    </row>
    <row r="1021" spans="1:7" x14ac:dyDescent="0.2">
      <c r="A1021" t="s">
        <v>64</v>
      </c>
      <c r="B1021" t="s">
        <v>64</v>
      </c>
      <c r="C1021" s="3" t="s">
        <v>64</v>
      </c>
      <c r="D1021" s="16" t="s">
        <v>64</v>
      </c>
      <c r="E1021" s="16">
        <v>0</v>
      </c>
      <c r="F1021" s="16" t="s">
        <v>64</v>
      </c>
      <c r="G1021" s="16" t="s">
        <v>64</v>
      </c>
    </row>
    <row r="1022" spans="1:7" x14ac:dyDescent="0.2">
      <c r="A1022" t="s">
        <v>64</v>
      </c>
      <c r="B1022" t="s">
        <v>64</v>
      </c>
      <c r="C1022" s="3" t="s">
        <v>64</v>
      </c>
      <c r="D1022" s="16" t="s">
        <v>64</v>
      </c>
      <c r="E1022" s="16">
        <v>0</v>
      </c>
      <c r="F1022" s="16" t="s">
        <v>64</v>
      </c>
      <c r="G1022" s="16" t="s">
        <v>64</v>
      </c>
    </row>
    <row r="1023" spans="1:7" x14ac:dyDescent="0.2">
      <c r="A1023" t="s">
        <v>64</v>
      </c>
      <c r="B1023" t="s">
        <v>64</v>
      </c>
      <c r="C1023" s="3" t="s">
        <v>64</v>
      </c>
      <c r="D1023" s="16" t="s">
        <v>64</v>
      </c>
      <c r="E1023" s="16">
        <v>0</v>
      </c>
      <c r="F1023" s="16" t="s">
        <v>64</v>
      </c>
      <c r="G1023" s="16" t="s">
        <v>64</v>
      </c>
    </row>
    <row r="1024" spans="1:7" x14ac:dyDescent="0.2">
      <c r="A1024" t="s">
        <v>64</v>
      </c>
      <c r="B1024" t="s">
        <v>64</v>
      </c>
      <c r="C1024" s="3" t="s">
        <v>64</v>
      </c>
      <c r="D1024" s="16" t="s">
        <v>64</v>
      </c>
      <c r="E1024" s="16">
        <v>0</v>
      </c>
      <c r="F1024" s="16" t="s">
        <v>64</v>
      </c>
      <c r="G1024" s="16" t="s">
        <v>64</v>
      </c>
    </row>
    <row r="1025" spans="1:7" x14ac:dyDescent="0.2">
      <c r="A1025" t="s">
        <v>64</v>
      </c>
      <c r="B1025" t="s">
        <v>64</v>
      </c>
      <c r="C1025" s="3" t="s">
        <v>64</v>
      </c>
      <c r="D1025" s="16" t="s">
        <v>64</v>
      </c>
      <c r="E1025" s="16">
        <v>0</v>
      </c>
      <c r="F1025" s="16" t="s">
        <v>64</v>
      </c>
      <c r="G1025" s="16" t="s">
        <v>64</v>
      </c>
    </row>
    <row r="1026" spans="1:7" x14ac:dyDescent="0.2">
      <c r="A1026" t="s">
        <v>64</v>
      </c>
      <c r="B1026" t="s">
        <v>64</v>
      </c>
      <c r="C1026" s="3" t="s">
        <v>64</v>
      </c>
      <c r="D1026" s="16" t="s">
        <v>64</v>
      </c>
      <c r="E1026" s="16">
        <v>0</v>
      </c>
      <c r="F1026" s="16" t="s">
        <v>64</v>
      </c>
      <c r="G1026" s="16" t="s">
        <v>64</v>
      </c>
    </row>
    <row r="1027" spans="1:7" x14ac:dyDescent="0.2">
      <c r="A1027" t="s">
        <v>64</v>
      </c>
      <c r="B1027" t="s">
        <v>64</v>
      </c>
      <c r="C1027" s="3" t="s">
        <v>64</v>
      </c>
      <c r="D1027" s="16" t="s">
        <v>64</v>
      </c>
      <c r="E1027" s="16">
        <v>0</v>
      </c>
      <c r="F1027" s="16" t="s">
        <v>64</v>
      </c>
      <c r="G1027" s="16" t="s">
        <v>64</v>
      </c>
    </row>
    <row r="1028" spans="1:7" x14ac:dyDescent="0.2">
      <c r="A1028" t="s">
        <v>64</v>
      </c>
      <c r="B1028" t="s">
        <v>64</v>
      </c>
      <c r="C1028" s="3" t="s">
        <v>64</v>
      </c>
      <c r="D1028" s="16" t="s">
        <v>64</v>
      </c>
      <c r="E1028" s="16">
        <v>0</v>
      </c>
      <c r="F1028" s="16" t="s">
        <v>64</v>
      </c>
      <c r="G1028" s="16" t="s">
        <v>64</v>
      </c>
    </row>
    <row r="1029" spans="1:7" x14ac:dyDescent="0.2">
      <c r="A1029" t="s">
        <v>64</v>
      </c>
      <c r="B1029" t="s">
        <v>64</v>
      </c>
      <c r="C1029" s="3" t="s">
        <v>64</v>
      </c>
      <c r="D1029" s="16" t="s">
        <v>64</v>
      </c>
      <c r="E1029" s="16">
        <v>0</v>
      </c>
      <c r="F1029" s="16" t="s">
        <v>64</v>
      </c>
      <c r="G1029" s="16" t="s">
        <v>64</v>
      </c>
    </row>
    <row r="1030" spans="1:7" x14ac:dyDescent="0.2">
      <c r="A1030" t="s">
        <v>64</v>
      </c>
      <c r="B1030" t="s">
        <v>64</v>
      </c>
      <c r="C1030" s="3" t="s">
        <v>64</v>
      </c>
      <c r="D1030" s="16" t="s">
        <v>64</v>
      </c>
      <c r="E1030" s="16">
        <v>0</v>
      </c>
      <c r="F1030" s="16" t="s">
        <v>64</v>
      </c>
      <c r="G1030" s="16" t="s">
        <v>64</v>
      </c>
    </row>
    <row r="1031" spans="1:7" x14ac:dyDescent="0.2">
      <c r="A1031" t="s">
        <v>64</v>
      </c>
      <c r="B1031" t="s">
        <v>64</v>
      </c>
      <c r="C1031" s="3" t="s">
        <v>64</v>
      </c>
      <c r="D1031" s="16" t="s">
        <v>64</v>
      </c>
      <c r="E1031" s="16">
        <v>0</v>
      </c>
      <c r="F1031" s="16" t="s">
        <v>64</v>
      </c>
      <c r="G1031" s="16" t="s">
        <v>64</v>
      </c>
    </row>
    <row r="1032" spans="1:7" x14ac:dyDescent="0.2">
      <c r="A1032" t="s">
        <v>64</v>
      </c>
      <c r="B1032" t="s">
        <v>64</v>
      </c>
      <c r="C1032" s="3" t="s">
        <v>64</v>
      </c>
      <c r="D1032" s="16" t="s">
        <v>64</v>
      </c>
      <c r="E1032" s="16">
        <v>0</v>
      </c>
      <c r="F1032" s="16" t="s">
        <v>64</v>
      </c>
      <c r="G1032" s="16" t="s">
        <v>64</v>
      </c>
    </row>
    <row r="1033" spans="1:7" x14ac:dyDescent="0.2">
      <c r="A1033" t="s">
        <v>64</v>
      </c>
      <c r="B1033" t="s">
        <v>64</v>
      </c>
      <c r="C1033" s="3" t="s">
        <v>64</v>
      </c>
      <c r="D1033" s="16" t="s">
        <v>64</v>
      </c>
      <c r="E1033" s="16">
        <v>0</v>
      </c>
      <c r="F1033" s="16" t="s">
        <v>64</v>
      </c>
      <c r="G1033" s="16" t="s">
        <v>64</v>
      </c>
    </row>
    <row r="1034" spans="1:7" x14ac:dyDescent="0.2">
      <c r="A1034" t="s">
        <v>64</v>
      </c>
      <c r="B1034" t="s">
        <v>64</v>
      </c>
      <c r="C1034" s="3" t="s">
        <v>64</v>
      </c>
      <c r="D1034" s="16" t="s">
        <v>64</v>
      </c>
      <c r="E1034" s="16">
        <v>0</v>
      </c>
      <c r="F1034" s="16" t="s">
        <v>64</v>
      </c>
      <c r="G1034" s="16" t="s">
        <v>64</v>
      </c>
    </row>
    <row r="1035" spans="1:7" x14ac:dyDescent="0.2">
      <c r="A1035" t="s">
        <v>64</v>
      </c>
      <c r="B1035" t="s">
        <v>64</v>
      </c>
      <c r="C1035" s="3" t="s">
        <v>64</v>
      </c>
      <c r="D1035" s="16" t="s">
        <v>64</v>
      </c>
      <c r="E1035" s="16">
        <v>0</v>
      </c>
      <c r="F1035" s="16" t="s">
        <v>64</v>
      </c>
      <c r="G1035" s="16" t="s">
        <v>64</v>
      </c>
    </row>
    <row r="1036" spans="1:7" x14ac:dyDescent="0.2">
      <c r="A1036" t="s">
        <v>64</v>
      </c>
      <c r="B1036" t="s">
        <v>64</v>
      </c>
      <c r="C1036" s="3" t="s">
        <v>64</v>
      </c>
      <c r="D1036" s="16" t="s">
        <v>64</v>
      </c>
      <c r="E1036" s="16">
        <v>0</v>
      </c>
      <c r="F1036" s="16" t="s">
        <v>64</v>
      </c>
      <c r="G1036" s="16" t="s">
        <v>64</v>
      </c>
    </row>
    <row r="1037" spans="1:7" x14ac:dyDescent="0.2">
      <c r="A1037" t="s">
        <v>64</v>
      </c>
      <c r="B1037" t="s">
        <v>64</v>
      </c>
      <c r="C1037" s="3" t="s">
        <v>64</v>
      </c>
      <c r="D1037" s="16" t="s">
        <v>64</v>
      </c>
      <c r="E1037" s="16">
        <v>0</v>
      </c>
      <c r="F1037" s="16" t="s">
        <v>64</v>
      </c>
      <c r="G1037" s="16" t="s">
        <v>64</v>
      </c>
    </row>
    <row r="1038" spans="1:7" x14ac:dyDescent="0.2">
      <c r="A1038" t="s">
        <v>64</v>
      </c>
      <c r="B1038" t="s">
        <v>64</v>
      </c>
      <c r="C1038" s="3" t="s">
        <v>64</v>
      </c>
      <c r="D1038" s="16" t="s">
        <v>64</v>
      </c>
      <c r="E1038" s="16">
        <v>0</v>
      </c>
      <c r="F1038" s="16" t="s">
        <v>64</v>
      </c>
      <c r="G1038" s="16" t="s">
        <v>64</v>
      </c>
    </row>
    <row r="1039" spans="1:7" x14ac:dyDescent="0.2">
      <c r="A1039" t="s">
        <v>64</v>
      </c>
      <c r="B1039" t="s">
        <v>64</v>
      </c>
      <c r="C1039" s="3" t="s">
        <v>64</v>
      </c>
      <c r="D1039" s="16" t="s">
        <v>64</v>
      </c>
      <c r="E1039" s="16">
        <v>0</v>
      </c>
      <c r="F1039" s="16" t="s">
        <v>64</v>
      </c>
      <c r="G1039" s="16" t="s">
        <v>64</v>
      </c>
    </row>
    <row r="1040" spans="1:7" x14ac:dyDescent="0.2">
      <c r="A1040" t="s">
        <v>64</v>
      </c>
      <c r="B1040" t="s">
        <v>64</v>
      </c>
      <c r="C1040" s="3" t="s">
        <v>64</v>
      </c>
      <c r="D1040" s="16" t="s">
        <v>64</v>
      </c>
      <c r="E1040" s="16">
        <v>0</v>
      </c>
      <c r="F1040" s="16" t="s">
        <v>64</v>
      </c>
      <c r="G1040" s="16" t="s">
        <v>64</v>
      </c>
    </row>
    <row r="1041" spans="1:7" x14ac:dyDescent="0.2">
      <c r="A1041" t="s">
        <v>64</v>
      </c>
      <c r="B1041" t="s">
        <v>64</v>
      </c>
      <c r="C1041" s="3" t="s">
        <v>64</v>
      </c>
      <c r="D1041" s="16" t="s">
        <v>64</v>
      </c>
      <c r="E1041" s="16">
        <v>0</v>
      </c>
      <c r="F1041" s="16" t="s">
        <v>64</v>
      </c>
      <c r="G1041" s="16" t="s">
        <v>64</v>
      </c>
    </row>
    <row r="1042" spans="1:7" x14ac:dyDescent="0.2">
      <c r="A1042" t="s">
        <v>64</v>
      </c>
      <c r="B1042" t="s">
        <v>64</v>
      </c>
      <c r="C1042" s="3" t="s">
        <v>64</v>
      </c>
      <c r="D1042" s="16" t="s">
        <v>64</v>
      </c>
      <c r="E1042" s="16">
        <v>0</v>
      </c>
      <c r="F1042" s="16" t="s">
        <v>64</v>
      </c>
      <c r="G1042" s="16" t="s">
        <v>64</v>
      </c>
    </row>
    <row r="1043" spans="1:7" x14ac:dyDescent="0.2">
      <c r="A1043" t="s">
        <v>64</v>
      </c>
      <c r="B1043" t="s">
        <v>64</v>
      </c>
      <c r="C1043" s="3" t="s">
        <v>64</v>
      </c>
      <c r="D1043" s="16" t="s">
        <v>64</v>
      </c>
      <c r="E1043" s="16">
        <v>0</v>
      </c>
      <c r="F1043" s="16" t="s">
        <v>64</v>
      </c>
      <c r="G1043" s="16" t="s">
        <v>64</v>
      </c>
    </row>
    <row r="1044" spans="1:7" x14ac:dyDescent="0.2">
      <c r="A1044" t="s">
        <v>64</v>
      </c>
      <c r="B1044" t="s">
        <v>64</v>
      </c>
      <c r="C1044" s="3" t="s">
        <v>64</v>
      </c>
      <c r="D1044" s="16" t="s">
        <v>64</v>
      </c>
      <c r="E1044" s="16">
        <v>0</v>
      </c>
      <c r="F1044" s="16" t="s">
        <v>64</v>
      </c>
      <c r="G1044" s="16" t="s">
        <v>64</v>
      </c>
    </row>
    <row r="1045" spans="1:7" x14ac:dyDescent="0.2">
      <c r="A1045" t="s">
        <v>64</v>
      </c>
      <c r="B1045" t="s">
        <v>64</v>
      </c>
      <c r="C1045" s="3" t="s">
        <v>64</v>
      </c>
      <c r="D1045" s="16" t="s">
        <v>64</v>
      </c>
      <c r="E1045" s="16">
        <v>0</v>
      </c>
      <c r="F1045" s="16" t="s">
        <v>64</v>
      </c>
      <c r="G1045" s="16" t="s">
        <v>64</v>
      </c>
    </row>
    <row r="1046" spans="1:7" x14ac:dyDescent="0.2">
      <c r="A1046" t="s">
        <v>64</v>
      </c>
      <c r="B1046" t="s">
        <v>64</v>
      </c>
      <c r="C1046" s="3" t="s">
        <v>64</v>
      </c>
      <c r="D1046" s="16" t="s">
        <v>64</v>
      </c>
      <c r="E1046" s="16">
        <v>0</v>
      </c>
      <c r="F1046" s="16" t="s">
        <v>64</v>
      </c>
      <c r="G1046" s="16" t="s">
        <v>64</v>
      </c>
    </row>
    <row r="1047" spans="1:7" x14ac:dyDescent="0.2">
      <c r="A1047" t="s">
        <v>64</v>
      </c>
      <c r="B1047" t="s">
        <v>64</v>
      </c>
      <c r="C1047" s="3" t="s">
        <v>64</v>
      </c>
      <c r="D1047" s="16" t="s">
        <v>64</v>
      </c>
      <c r="E1047" s="16">
        <v>0</v>
      </c>
      <c r="F1047" s="16" t="s">
        <v>64</v>
      </c>
      <c r="G1047" s="16" t="s">
        <v>64</v>
      </c>
    </row>
    <row r="1048" spans="1:7" x14ac:dyDescent="0.2">
      <c r="A1048" t="s">
        <v>64</v>
      </c>
      <c r="B1048" t="s">
        <v>64</v>
      </c>
      <c r="C1048" s="3" t="s">
        <v>64</v>
      </c>
      <c r="D1048" s="16" t="s">
        <v>64</v>
      </c>
      <c r="E1048" s="16">
        <v>0</v>
      </c>
      <c r="F1048" s="16" t="s">
        <v>64</v>
      </c>
      <c r="G1048" s="16" t="s">
        <v>64</v>
      </c>
    </row>
    <row r="1049" spans="1:7" x14ac:dyDescent="0.2">
      <c r="A1049" t="s">
        <v>64</v>
      </c>
      <c r="B1049" t="s">
        <v>64</v>
      </c>
      <c r="C1049" s="3" t="s">
        <v>64</v>
      </c>
      <c r="D1049" s="16" t="s">
        <v>64</v>
      </c>
      <c r="E1049" s="16">
        <v>0</v>
      </c>
      <c r="F1049" s="16" t="s">
        <v>64</v>
      </c>
      <c r="G1049" s="16" t="s">
        <v>64</v>
      </c>
    </row>
    <row r="1050" spans="1:7" x14ac:dyDescent="0.2">
      <c r="A1050" t="s">
        <v>64</v>
      </c>
      <c r="B1050" t="s">
        <v>64</v>
      </c>
      <c r="C1050" s="3" t="s">
        <v>64</v>
      </c>
      <c r="D1050" s="16" t="s">
        <v>64</v>
      </c>
      <c r="E1050" s="16">
        <v>0</v>
      </c>
      <c r="F1050" s="16" t="s">
        <v>64</v>
      </c>
      <c r="G1050" s="16" t="s">
        <v>64</v>
      </c>
    </row>
    <row r="1051" spans="1:7" x14ac:dyDescent="0.2">
      <c r="A1051" t="s">
        <v>64</v>
      </c>
      <c r="B1051" t="s">
        <v>64</v>
      </c>
      <c r="C1051" s="3" t="s">
        <v>64</v>
      </c>
      <c r="D1051" s="16" t="s">
        <v>64</v>
      </c>
      <c r="E1051" s="16">
        <v>0</v>
      </c>
      <c r="F1051" s="16" t="s">
        <v>64</v>
      </c>
      <c r="G1051" s="16" t="s">
        <v>64</v>
      </c>
    </row>
    <row r="1052" spans="1:7" x14ac:dyDescent="0.2">
      <c r="A1052" t="s">
        <v>64</v>
      </c>
      <c r="B1052" t="s">
        <v>64</v>
      </c>
      <c r="C1052" s="3" t="s">
        <v>64</v>
      </c>
      <c r="D1052" s="16" t="s">
        <v>64</v>
      </c>
      <c r="E1052" s="16">
        <v>0</v>
      </c>
      <c r="F1052" s="16" t="s">
        <v>64</v>
      </c>
      <c r="G1052" s="16" t="s">
        <v>64</v>
      </c>
    </row>
    <row r="1053" spans="1:7" x14ac:dyDescent="0.2">
      <c r="A1053" t="s">
        <v>64</v>
      </c>
      <c r="B1053" t="s">
        <v>64</v>
      </c>
      <c r="C1053" s="3" t="s">
        <v>64</v>
      </c>
      <c r="D1053" s="16" t="s">
        <v>64</v>
      </c>
      <c r="E1053" s="16">
        <v>0</v>
      </c>
      <c r="F1053" s="16" t="s">
        <v>64</v>
      </c>
      <c r="G1053" s="16" t="s">
        <v>64</v>
      </c>
    </row>
    <row r="1054" spans="1:7" x14ac:dyDescent="0.2">
      <c r="A1054" t="s">
        <v>64</v>
      </c>
      <c r="B1054" t="s">
        <v>64</v>
      </c>
      <c r="C1054" s="3" t="s">
        <v>64</v>
      </c>
      <c r="D1054" s="16" t="s">
        <v>64</v>
      </c>
      <c r="E1054" s="16">
        <v>0</v>
      </c>
      <c r="F1054" s="16" t="s">
        <v>64</v>
      </c>
      <c r="G1054" s="16" t="s">
        <v>64</v>
      </c>
    </row>
    <row r="1055" spans="1:7" x14ac:dyDescent="0.2">
      <c r="A1055" t="s">
        <v>64</v>
      </c>
      <c r="B1055" t="s">
        <v>64</v>
      </c>
      <c r="C1055" s="3" t="s">
        <v>64</v>
      </c>
      <c r="D1055" s="16" t="s">
        <v>64</v>
      </c>
      <c r="E1055" s="16">
        <v>0</v>
      </c>
      <c r="F1055" s="16" t="s">
        <v>64</v>
      </c>
      <c r="G1055" s="16" t="s">
        <v>64</v>
      </c>
    </row>
    <row r="1056" spans="1:7" x14ac:dyDescent="0.2">
      <c r="A1056" t="s">
        <v>64</v>
      </c>
      <c r="B1056" t="s">
        <v>64</v>
      </c>
      <c r="C1056" s="3" t="s">
        <v>64</v>
      </c>
      <c r="D1056" s="16" t="s">
        <v>64</v>
      </c>
      <c r="E1056" s="16">
        <v>0</v>
      </c>
      <c r="F1056" s="16" t="s">
        <v>64</v>
      </c>
      <c r="G1056" s="16" t="s">
        <v>64</v>
      </c>
    </row>
    <row r="1057" spans="1:7" x14ac:dyDescent="0.2">
      <c r="A1057" t="s">
        <v>64</v>
      </c>
      <c r="B1057" t="s">
        <v>64</v>
      </c>
      <c r="C1057" s="3" t="s">
        <v>64</v>
      </c>
      <c r="D1057" s="16" t="s">
        <v>64</v>
      </c>
      <c r="E1057" s="16">
        <v>0</v>
      </c>
      <c r="F1057" s="16" t="s">
        <v>64</v>
      </c>
      <c r="G1057" s="16" t="s">
        <v>64</v>
      </c>
    </row>
    <row r="1058" spans="1:7" x14ac:dyDescent="0.2">
      <c r="A1058" t="s">
        <v>64</v>
      </c>
      <c r="B1058" t="s">
        <v>64</v>
      </c>
      <c r="C1058" s="3" t="s">
        <v>64</v>
      </c>
      <c r="D1058" s="16" t="s">
        <v>64</v>
      </c>
      <c r="E1058" s="16">
        <v>0</v>
      </c>
      <c r="F1058" s="16" t="s">
        <v>64</v>
      </c>
      <c r="G1058" s="16" t="s">
        <v>64</v>
      </c>
    </row>
    <row r="1059" spans="1:7" x14ac:dyDescent="0.2">
      <c r="A1059" t="s">
        <v>64</v>
      </c>
      <c r="B1059" t="s">
        <v>64</v>
      </c>
      <c r="C1059" s="3" t="s">
        <v>64</v>
      </c>
      <c r="D1059" s="16" t="s">
        <v>64</v>
      </c>
      <c r="E1059" s="16">
        <v>0</v>
      </c>
      <c r="F1059" s="16" t="s">
        <v>64</v>
      </c>
      <c r="G1059" s="16" t="s">
        <v>64</v>
      </c>
    </row>
    <row r="1060" spans="1:7" x14ac:dyDescent="0.2">
      <c r="A1060" t="s">
        <v>64</v>
      </c>
      <c r="B1060" t="s">
        <v>64</v>
      </c>
      <c r="C1060" s="3" t="s">
        <v>64</v>
      </c>
      <c r="D1060" s="16" t="s">
        <v>64</v>
      </c>
      <c r="E1060" s="16">
        <v>0</v>
      </c>
      <c r="F1060" s="16" t="s">
        <v>64</v>
      </c>
      <c r="G1060" s="16" t="s">
        <v>64</v>
      </c>
    </row>
    <row r="1061" spans="1:7" x14ac:dyDescent="0.2">
      <c r="A1061" t="s">
        <v>64</v>
      </c>
      <c r="B1061" t="s">
        <v>64</v>
      </c>
      <c r="C1061" s="3" t="s">
        <v>64</v>
      </c>
      <c r="D1061" s="16" t="s">
        <v>64</v>
      </c>
      <c r="E1061" s="16">
        <v>0</v>
      </c>
      <c r="F1061" s="16" t="s">
        <v>64</v>
      </c>
      <c r="G1061" s="16" t="s">
        <v>64</v>
      </c>
    </row>
    <row r="1062" spans="1:7" x14ac:dyDescent="0.2">
      <c r="A1062" t="s">
        <v>64</v>
      </c>
      <c r="B1062" t="s">
        <v>64</v>
      </c>
      <c r="C1062" s="3" t="s">
        <v>64</v>
      </c>
      <c r="D1062" s="16" t="s">
        <v>64</v>
      </c>
      <c r="E1062" s="16">
        <v>0</v>
      </c>
      <c r="F1062" s="16" t="s">
        <v>64</v>
      </c>
      <c r="G1062" s="16" t="s">
        <v>64</v>
      </c>
    </row>
    <row r="1063" spans="1:7" x14ac:dyDescent="0.2">
      <c r="A1063" t="s">
        <v>64</v>
      </c>
      <c r="B1063" t="s">
        <v>64</v>
      </c>
      <c r="C1063" s="3" t="s">
        <v>64</v>
      </c>
      <c r="D1063" s="16" t="s">
        <v>64</v>
      </c>
      <c r="E1063" s="16">
        <v>0</v>
      </c>
      <c r="F1063" s="16" t="s">
        <v>64</v>
      </c>
      <c r="G1063" s="16" t="s">
        <v>64</v>
      </c>
    </row>
    <row r="1064" spans="1:7" x14ac:dyDescent="0.2">
      <c r="A1064" t="s">
        <v>64</v>
      </c>
      <c r="B1064" t="s">
        <v>64</v>
      </c>
      <c r="C1064" s="3" t="s">
        <v>64</v>
      </c>
      <c r="D1064" s="16" t="s">
        <v>64</v>
      </c>
      <c r="E1064" s="16">
        <v>0</v>
      </c>
      <c r="F1064" s="16" t="s">
        <v>64</v>
      </c>
      <c r="G1064" s="16" t="s">
        <v>64</v>
      </c>
    </row>
    <row r="1065" spans="1:7" x14ac:dyDescent="0.2">
      <c r="A1065" t="s">
        <v>64</v>
      </c>
      <c r="B1065" t="s">
        <v>64</v>
      </c>
      <c r="C1065" s="3" t="s">
        <v>64</v>
      </c>
      <c r="D1065" s="16" t="s">
        <v>64</v>
      </c>
      <c r="E1065" s="16">
        <v>0</v>
      </c>
      <c r="F1065" s="16" t="s">
        <v>64</v>
      </c>
      <c r="G1065" s="16" t="s">
        <v>64</v>
      </c>
    </row>
    <row r="1066" spans="1:7" x14ac:dyDescent="0.2">
      <c r="A1066" t="s">
        <v>64</v>
      </c>
      <c r="B1066" t="s">
        <v>64</v>
      </c>
      <c r="C1066" s="3" t="s">
        <v>64</v>
      </c>
      <c r="D1066" s="16" t="s">
        <v>64</v>
      </c>
      <c r="E1066" s="16">
        <v>0</v>
      </c>
      <c r="F1066" s="16" t="s">
        <v>64</v>
      </c>
      <c r="G1066" s="16" t="s">
        <v>64</v>
      </c>
    </row>
    <row r="1067" spans="1:7" x14ac:dyDescent="0.2">
      <c r="A1067" t="s">
        <v>64</v>
      </c>
      <c r="B1067" t="s">
        <v>64</v>
      </c>
      <c r="C1067" s="3" t="s">
        <v>64</v>
      </c>
      <c r="D1067" s="16" t="s">
        <v>64</v>
      </c>
      <c r="E1067" s="16">
        <v>0</v>
      </c>
      <c r="F1067" s="16" t="s">
        <v>64</v>
      </c>
      <c r="G1067" s="16" t="s">
        <v>64</v>
      </c>
    </row>
    <row r="1068" spans="1:7" x14ac:dyDescent="0.2">
      <c r="A1068" t="s">
        <v>64</v>
      </c>
      <c r="B1068" t="s">
        <v>64</v>
      </c>
      <c r="C1068" s="3" t="s">
        <v>64</v>
      </c>
      <c r="D1068" s="16" t="s">
        <v>64</v>
      </c>
      <c r="E1068" s="16">
        <v>0</v>
      </c>
      <c r="F1068" s="16" t="s">
        <v>64</v>
      </c>
      <c r="G1068" s="16" t="s">
        <v>64</v>
      </c>
    </row>
    <row r="1069" spans="1:7" x14ac:dyDescent="0.2">
      <c r="A1069" t="s">
        <v>64</v>
      </c>
      <c r="B1069" t="s">
        <v>64</v>
      </c>
      <c r="C1069" s="3" t="s">
        <v>64</v>
      </c>
      <c r="D1069" s="16" t="s">
        <v>64</v>
      </c>
      <c r="E1069" s="16">
        <v>0</v>
      </c>
      <c r="F1069" s="16" t="s">
        <v>64</v>
      </c>
      <c r="G1069" s="16" t="s">
        <v>64</v>
      </c>
    </row>
    <row r="1070" spans="1:7" x14ac:dyDescent="0.2">
      <c r="A1070" t="s">
        <v>64</v>
      </c>
      <c r="B1070" t="s">
        <v>64</v>
      </c>
      <c r="C1070" s="3" t="s">
        <v>64</v>
      </c>
      <c r="D1070" s="16" t="s">
        <v>64</v>
      </c>
      <c r="E1070" s="16">
        <v>0</v>
      </c>
      <c r="F1070" s="16" t="s">
        <v>64</v>
      </c>
      <c r="G1070" s="16" t="s">
        <v>64</v>
      </c>
    </row>
    <row r="1071" spans="1:7" x14ac:dyDescent="0.2">
      <c r="A1071" t="s">
        <v>64</v>
      </c>
      <c r="B1071" t="s">
        <v>64</v>
      </c>
      <c r="C1071" s="3" t="s">
        <v>64</v>
      </c>
      <c r="D1071" s="16" t="s">
        <v>64</v>
      </c>
      <c r="E1071" s="16">
        <v>0</v>
      </c>
      <c r="F1071" s="16" t="s">
        <v>64</v>
      </c>
      <c r="G1071" s="16" t="s">
        <v>64</v>
      </c>
    </row>
    <row r="1072" spans="1:7" x14ac:dyDescent="0.2">
      <c r="A1072" t="s">
        <v>64</v>
      </c>
      <c r="B1072" t="s">
        <v>64</v>
      </c>
      <c r="C1072" s="3" t="s">
        <v>64</v>
      </c>
      <c r="D1072" s="16" t="s">
        <v>64</v>
      </c>
      <c r="E1072" s="16">
        <v>0</v>
      </c>
      <c r="F1072" s="16" t="s">
        <v>64</v>
      </c>
      <c r="G1072" s="16" t="s">
        <v>64</v>
      </c>
    </row>
    <row r="1073" spans="1:7" x14ac:dyDescent="0.2">
      <c r="A1073" t="s">
        <v>64</v>
      </c>
      <c r="B1073" t="s">
        <v>64</v>
      </c>
      <c r="C1073" s="3" t="s">
        <v>64</v>
      </c>
      <c r="D1073" s="16" t="s">
        <v>64</v>
      </c>
      <c r="E1073" s="16">
        <v>0</v>
      </c>
      <c r="F1073" s="16" t="s">
        <v>64</v>
      </c>
      <c r="G1073" s="16" t="s">
        <v>64</v>
      </c>
    </row>
    <row r="1074" spans="1:7" x14ac:dyDescent="0.2">
      <c r="A1074" t="s">
        <v>64</v>
      </c>
      <c r="B1074" t="s">
        <v>64</v>
      </c>
      <c r="C1074" s="3" t="s">
        <v>64</v>
      </c>
      <c r="D1074" s="16" t="s">
        <v>64</v>
      </c>
      <c r="E1074" s="16">
        <v>0</v>
      </c>
      <c r="F1074" s="16" t="s">
        <v>64</v>
      </c>
      <c r="G1074" s="16" t="s">
        <v>64</v>
      </c>
    </row>
    <row r="1075" spans="1:7" x14ac:dyDescent="0.2">
      <c r="A1075" t="s">
        <v>64</v>
      </c>
      <c r="B1075" t="s">
        <v>64</v>
      </c>
      <c r="C1075" s="3" t="s">
        <v>64</v>
      </c>
      <c r="D1075" s="16" t="s">
        <v>64</v>
      </c>
      <c r="E1075" s="16">
        <v>0</v>
      </c>
      <c r="F1075" s="16" t="s">
        <v>64</v>
      </c>
      <c r="G1075" s="16" t="s">
        <v>64</v>
      </c>
    </row>
    <row r="1076" spans="1:7" x14ac:dyDescent="0.2">
      <c r="A1076" t="s">
        <v>64</v>
      </c>
      <c r="B1076" t="s">
        <v>64</v>
      </c>
      <c r="C1076" s="3" t="s">
        <v>64</v>
      </c>
      <c r="D1076" s="16" t="s">
        <v>64</v>
      </c>
      <c r="E1076" s="16">
        <v>0</v>
      </c>
      <c r="F1076" s="16" t="s">
        <v>64</v>
      </c>
      <c r="G1076" s="16" t="s">
        <v>64</v>
      </c>
    </row>
    <row r="1077" spans="1:7" x14ac:dyDescent="0.2">
      <c r="A1077" t="s">
        <v>64</v>
      </c>
      <c r="B1077" t="s">
        <v>64</v>
      </c>
      <c r="C1077" s="3" t="s">
        <v>64</v>
      </c>
      <c r="D1077" s="16" t="s">
        <v>64</v>
      </c>
      <c r="E1077" s="16">
        <v>0</v>
      </c>
      <c r="F1077" s="16" t="s">
        <v>64</v>
      </c>
      <c r="G1077" s="16" t="s">
        <v>64</v>
      </c>
    </row>
    <row r="1078" spans="1:7" x14ac:dyDescent="0.2">
      <c r="A1078" t="s">
        <v>64</v>
      </c>
      <c r="B1078" t="s">
        <v>64</v>
      </c>
      <c r="C1078" s="3" t="s">
        <v>64</v>
      </c>
      <c r="D1078" s="16" t="s">
        <v>64</v>
      </c>
      <c r="E1078" s="16">
        <v>0</v>
      </c>
      <c r="F1078" s="16" t="s">
        <v>64</v>
      </c>
      <c r="G1078" s="16" t="s">
        <v>64</v>
      </c>
    </row>
    <row r="1079" spans="1:7" x14ac:dyDescent="0.2">
      <c r="A1079" t="s">
        <v>64</v>
      </c>
      <c r="B1079" t="s">
        <v>64</v>
      </c>
      <c r="C1079" s="3" t="s">
        <v>64</v>
      </c>
      <c r="D1079" s="16" t="s">
        <v>64</v>
      </c>
      <c r="E1079" s="16">
        <v>0</v>
      </c>
      <c r="F1079" s="16" t="s">
        <v>64</v>
      </c>
      <c r="G1079" s="16" t="s">
        <v>64</v>
      </c>
    </row>
    <row r="1080" spans="1:7" x14ac:dyDescent="0.2">
      <c r="A1080" t="s">
        <v>64</v>
      </c>
      <c r="B1080" t="s">
        <v>64</v>
      </c>
      <c r="C1080" s="3" t="s">
        <v>64</v>
      </c>
      <c r="D1080" s="16" t="s">
        <v>64</v>
      </c>
      <c r="E1080" s="16">
        <v>0</v>
      </c>
      <c r="F1080" s="16" t="s">
        <v>64</v>
      </c>
      <c r="G1080" s="16" t="s">
        <v>64</v>
      </c>
    </row>
    <row r="1081" spans="1:7" x14ac:dyDescent="0.2">
      <c r="A1081" t="s">
        <v>64</v>
      </c>
      <c r="B1081" t="s">
        <v>64</v>
      </c>
      <c r="C1081" s="3" t="s">
        <v>64</v>
      </c>
      <c r="D1081" s="16" t="s">
        <v>64</v>
      </c>
      <c r="E1081" s="16">
        <v>0</v>
      </c>
      <c r="F1081" s="16" t="s">
        <v>64</v>
      </c>
      <c r="G1081" s="16" t="s">
        <v>64</v>
      </c>
    </row>
    <row r="1082" spans="1:7" x14ac:dyDescent="0.2">
      <c r="A1082" t="s">
        <v>64</v>
      </c>
      <c r="B1082" t="s">
        <v>64</v>
      </c>
      <c r="C1082" s="3" t="s">
        <v>64</v>
      </c>
      <c r="D1082" s="16" t="s">
        <v>64</v>
      </c>
      <c r="E1082" s="16">
        <v>0</v>
      </c>
      <c r="F1082" s="16" t="s">
        <v>64</v>
      </c>
      <c r="G1082" s="16" t="s">
        <v>64</v>
      </c>
    </row>
    <row r="1083" spans="1:7" x14ac:dyDescent="0.2">
      <c r="A1083" t="s">
        <v>64</v>
      </c>
      <c r="B1083" t="s">
        <v>64</v>
      </c>
      <c r="C1083" s="3" t="s">
        <v>64</v>
      </c>
      <c r="D1083" s="16" t="s">
        <v>64</v>
      </c>
      <c r="E1083" s="16">
        <v>0</v>
      </c>
      <c r="F1083" s="16" t="s">
        <v>64</v>
      </c>
      <c r="G1083" s="16" t="s">
        <v>64</v>
      </c>
    </row>
    <row r="1084" spans="1:7" x14ac:dyDescent="0.2">
      <c r="A1084" t="s">
        <v>64</v>
      </c>
      <c r="B1084" t="s">
        <v>64</v>
      </c>
      <c r="C1084" s="3" t="s">
        <v>64</v>
      </c>
      <c r="D1084" s="16" t="s">
        <v>64</v>
      </c>
      <c r="E1084" s="16">
        <v>0</v>
      </c>
      <c r="F1084" s="16" t="s">
        <v>64</v>
      </c>
      <c r="G1084" s="16" t="s">
        <v>64</v>
      </c>
    </row>
    <row r="1085" spans="1:7" x14ac:dyDescent="0.2">
      <c r="A1085" t="s">
        <v>64</v>
      </c>
      <c r="B1085" t="s">
        <v>64</v>
      </c>
      <c r="C1085" s="3" t="s">
        <v>64</v>
      </c>
      <c r="D1085" s="16" t="s">
        <v>64</v>
      </c>
      <c r="E1085" s="16">
        <v>0</v>
      </c>
      <c r="F1085" s="16" t="s">
        <v>64</v>
      </c>
      <c r="G1085" s="16" t="s">
        <v>64</v>
      </c>
    </row>
    <row r="1086" spans="1:7" x14ac:dyDescent="0.2">
      <c r="A1086" t="s">
        <v>64</v>
      </c>
      <c r="B1086" t="s">
        <v>64</v>
      </c>
      <c r="C1086" s="3" t="s">
        <v>64</v>
      </c>
      <c r="D1086" s="16" t="s">
        <v>64</v>
      </c>
      <c r="E1086" s="16">
        <v>0</v>
      </c>
      <c r="F1086" s="16" t="s">
        <v>64</v>
      </c>
      <c r="G1086" s="16" t="s">
        <v>64</v>
      </c>
    </row>
    <row r="1087" spans="1:7" x14ac:dyDescent="0.2">
      <c r="A1087" t="s">
        <v>64</v>
      </c>
      <c r="B1087" t="s">
        <v>64</v>
      </c>
      <c r="C1087" s="3" t="s">
        <v>64</v>
      </c>
      <c r="D1087" s="16" t="s">
        <v>64</v>
      </c>
      <c r="E1087" s="16">
        <v>0</v>
      </c>
      <c r="F1087" s="16" t="s">
        <v>64</v>
      </c>
      <c r="G1087" s="16" t="s">
        <v>64</v>
      </c>
    </row>
    <row r="1088" spans="1:7" x14ac:dyDescent="0.2">
      <c r="A1088" t="s">
        <v>64</v>
      </c>
      <c r="B1088" t="s">
        <v>64</v>
      </c>
      <c r="C1088" s="3" t="s">
        <v>64</v>
      </c>
      <c r="D1088" s="16" t="s">
        <v>64</v>
      </c>
      <c r="E1088" s="16">
        <v>0</v>
      </c>
      <c r="F1088" s="16" t="s">
        <v>64</v>
      </c>
      <c r="G1088" s="16" t="s">
        <v>64</v>
      </c>
    </row>
    <row r="1089" spans="1:7" x14ac:dyDescent="0.2">
      <c r="A1089" t="s">
        <v>64</v>
      </c>
      <c r="B1089" t="s">
        <v>64</v>
      </c>
      <c r="C1089" s="3" t="s">
        <v>64</v>
      </c>
      <c r="D1089" s="16" t="s">
        <v>64</v>
      </c>
      <c r="E1089" s="16">
        <v>0</v>
      </c>
      <c r="F1089" s="16" t="s">
        <v>64</v>
      </c>
      <c r="G1089" s="16" t="s">
        <v>64</v>
      </c>
    </row>
    <row r="1090" spans="1:7" x14ac:dyDescent="0.2">
      <c r="A1090" t="s">
        <v>64</v>
      </c>
      <c r="B1090" t="s">
        <v>64</v>
      </c>
      <c r="C1090" s="3" t="s">
        <v>64</v>
      </c>
      <c r="D1090" s="16" t="s">
        <v>64</v>
      </c>
      <c r="E1090" s="16">
        <v>0</v>
      </c>
      <c r="F1090" s="16" t="s">
        <v>64</v>
      </c>
      <c r="G1090" s="16" t="s">
        <v>64</v>
      </c>
    </row>
    <row r="1091" spans="1:7" x14ac:dyDescent="0.2">
      <c r="A1091" t="s">
        <v>64</v>
      </c>
      <c r="B1091" t="s">
        <v>64</v>
      </c>
      <c r="C1091" s="3" t="s">
        <v>64</v>
      </c>
      <c r="D1091" s="16" t="s">
        <v>64</v>
      </c>
      <c r="E1091" s="16">
        <v>0</v>
      </c>
      <c r="F1091" s="16" t="s">
        <v>64</v>
      </c>
      <c r="G1091" s="16" t="s">
        <v>64</v>
      </c>
    </row>
    <row r="1092" spans="1:7" x14ac:dyDescent="0.2">
      <c r="A1092" t="s">
        <v>64</v>
      </c>
      <c r="B1092" t="s">
        <v>64</v>
      </c>
      <c r="C1092" s="3" t="s">
        <v>64</v>
      </c>
      <c r="D1092" s="16" t="s">
        <v>64</v>
      </c>
      <c r="E1092" s="16">
        <v>0</v>
      </c>
      <c r="F1092" s="16" t="s">
        <v>64</v>
      </c>
      <c r="G1092" s="16" t="s">
        <v>64</v>
      </c>
    </row>
    <row r="1093" spans="1:7" x14ac:dyDescent="0.2">
      <c r="A1093" t="s">
        <v>64</v>
      </c>
      <c r="B1093" t="s">
        <v>64</v>
      </c>
      <c r="C1093" s="3" t="s">
        <v>64</v>
      </c>
      <c r="D1093" s="16" t="s">
        <v>64</v>
      </c>
      <c r="E1093" s="16">
        <v>0</v>
      </c>
      <c r="F1093" s="16" t="s">
        <v>64</v>
      </c>
      <c r="G1093" s="16" t="s">
        <v>64</v>
      </c>
    </row>
    <row r="1094" spans="1:7" x14ac:dyDescent="0.2">
      <c r="A1094" t="s">
        <v>64</v>
      </c>
      <c r="B1094" t="s">
        <v>64</v>
      </c>
      <c r="C1094" s="3" t="s">
        <v>64</v>
      </c>
      <c r="D1094" s="16" t="s">
        <v>64</v>
      </c>
      <c r="E1094" s="16">
        <v>0</v>
      </c>
      <c r="F1094" s="16" t="s">
        <v>64</v>
      </c>
      <c r="G1094" s="16" t="s">
        <v>64</v>
      </c>
    </row>
    <row r="1095" spans="1:7" x14ac:dyDescent="0.2">
      <c r="A1095" t="s">
        <v>64</v>
      </c>
      <c r="B1095" t="s">
        <v>64</v>
      </c>
      <c r="C1095" s="3" t="s">
        <v>64</v>
      </c>
      <c r="D1095" s="16" t="s">
        <v>64</v>
      </c>
      <c r="E1095" s="16">
        <v>0</v>
      </c>
      <c r="F1095" s="16" t="s">
        <v>64</v>
      </c>
      <c r="G1095" s="16" t="s">
        <v>64</v>
      </c>
    </row>
    <row r="1096" spans="1:7" x14ac:dyDescent="0.2">
      <c r="A1096" t="s">
        <v>64</v>
      </c>
      <c r="B1096" t="s">
        <v>64</v>
      </c>
      <c r="C1096" s="3" t="s">
        <v>64</v>
      </c>
      <c r="D1096" s="16" t="s">
        <v>64</v>
      </c>
      <c r="E1096" s="16">
        <v>0</v>
      </c>
      <c r="F1096" s="16" t="s">
        <v>64</v>
      </c>
      <c r="G1096" s="16" t="s">
        <v>64</v>
      </c>
    </row>
    <row r="1097" spans="1:7" x14ac:dyDescent="0.2">
      <c r="A1097" t="s">
        <v>64</v>
      </c>
      <c r="B1097" t="s">
        <v>64</v>
      </c>
      <c r="C1097" s="3" t="s">
        <v>64</v>
      </c>
      <c r="D1097" s="16" t="s">
        <v>64</v>
      </c>
      <c r="E1097" s="16">
        <v>0</v>
      </c>
      <c r="F1097" s="16" t="s">
        <v>64</v>
      </c>
      <c r="G1097" s="16" t="s">
        <v>64</v>
      </c>
    </row>
    <row r="1098" spans="1:7" x14ac:dyDescent="0.2">
      <c r="A1098" t="s">
        <v>64</v>
      </c>
      <c r="B1098" t="s">
        <v>64</v>
      </c>
      <c r="C1098" s="3" t="s">
        <v>64</v>
      </c>
      <c r="D1098" s="16" t="s">
        <v>64</v>
      </c>
      <c r="E1098" s="16">
        <v>0</v>
      </c>
      <c r="F1098" s="16" t="s">
        <v>64</v>
      </c>
      <c r="G1098" s="16" t="s">
        <v>64</v>
      </c>
    </row>
    <row r="1099" spans="1:7" x14ac:dyDescent="0.2">
      <c r="A1099" t="s">
        <v>64</v>
      </c>
      <c r="B1099" t="s">
        <v>64</v>
      </c>
      <c r="C1099" s="3" t="s">
        <v>64</v>
      </c>
      <c r="D1099" s="16" t="s">
        <v>64</v>
      </c>
      <c r="E1099" s="16">
        <v>0</v>
      </c>
      <c r="F1099" s="16" t="s">
        <v>64</v>
      </c>
      <c r="G1099" s="16" t="s">
        <v>64</v>
      </c>
    </row>
    <row r="1100" spans="1:7" x14ac:dyDescent="0.2">
      <c r="A1100" t="s">
        <v>64</v>
      </c>
      <c r="B1100" t="s">
        <v>64</v>
      </c>
      <c r="C1100" s="3" t="s">
        <v>64</v>
      </c>
      <c r="D1100" s="16" t="s">
        <v>64</v>
      </c>
      <c r="E1100" s="16">
        <v>0</v>
      </c>
      <c r="F1100" s="16" t="s">
        <v>64</v>
      </c>
      <c r="G1100" s="16" t="s">
        <v>64</v>
      </c>
    </row>
    <row r="1101" spans="1:7" x14ac:dyDescent="0.2">
      <c r="A1101" t="s">
        <v>64</v>
      </c>
      <c r="B1101" t="s">
        <v>64</v>
      </c>
      <c r="C1101" s="3" t="s">
        <v>64</v>
      </c>
      <c r="D1101" s="16" t="s">
        <v>64</v>
      </c>
      <c r="E1101" s="16">
        <v>0</v>
      </c>
      <c r="F1101" s="16" t="s">
        <v>64</v>
      </c>
      <c r="G1101" s="16" t="s">
        <v>64</v>
      </c>
    </row>
    <row r="1102" spans="1:7" x14ac:dyDescent="0.2">
      <c r="A1102" t="s">
        <v>64</v>
      </c>
      <c r="B1102" t="s">
        <v>64</v>
      </c>
      <c r="C1102" s="3" t="s">
        <v>64</v>
      </c>
      <c r="D1102" s="16" t="s">
        <v>64</v>
      </c>
      <c r="E1102" s="16">
        <v>0</v>
      </c>
      <c r="F1102" s="16" t="s">
        <v>64</v>
      </c>
      <c r="G1102" s="16" t="s">
        <v>64</v>
      </c>
    </row>
    <row r="1103" spans="1:7" x14ac:dyDescent="0.2">
      <c r="A1103" t="s">
        <v>64</v>
      </c>
      <c r="B1103" t="s">
        <v>64</v>
      </c>
      <c r="C1103" s="3" t="s">
        <v>64</v>
      </c>
      <c r="D1103" s="16" t="s">
        <v>64</v>
      </c>
      <c r="E1103" s="16">
        <v>0</v>
      </c>
      <c r="F1103" s="16" t="s">
        <v>64</v>
      </c>
      <c r="G1103" s="16" t="s">
        <v>64</v>
      </c>
    </row>
    <row r="1104" spans="1:7" x14ac:dyDescent="0.2">
      <c r="A1104" t="s">
        <v>64</v>
      </c>
      <c r="B1104" t="s">
        <v>64</v>
      </c>
      <c r="C1104" s="3" t="s">
        <v>64</v>
      </c>
      <c r="D1104" s="16" t="s">
        <v>64</v>
      </c>
      <c r="E1104" s="16">
        <v>0</v>
      </c>
      <c r="F1104" s="16" t="s">
        <v>64</v>
      </c>
      <c r="G1104" s="16" t="s">
        <v>64</v>
      </c>
    </row>
    <row r="1105" spans="1:7" x14ac:dyDescent="0.2">
      <c r="A1105" t="s">
        <v>64</v>
      </c>
      <c r="B1105" t="s">
        <v>64</v>
      </c>
      <c r="C1105" s="3" t="s">
        <v>64</v>
      </c>
      <c r="D1105" s="16" t="s">
        <v>64</v>
      </c>
      <c r="E1105" s="16">
        <v>0</v>
      </c>
      <c r="F1105" s="16" t="s">
        <v>64</v>
      </c>
      <c r="G1105" s="16" t="s">
        <v>64</v>
      </c>
    </row>
    <row r="1106" spans="1:7" x14ac:dyDescent="0.2">
      <c r="A1106" t="s">
        <v>64</v>
      </c>
      <c r="B1106" t="s">
        <v>64</v>
      </c>
      <c r="C1106" s="3" t="s">
        <v>64</v>
      </c>
      <c r="D1106" s="16" t="s">
        <v>64</v>
      </c>
      <c r="E1106" s="16">
        <v>0</v>
      </c>
      <c r="F1106" s="16" t="s">
        <v>64</v>
      </c>
      <c r="G1106" s="16" t="s">
        <v>64</v>
      </c>
    </row>
    <row r="1107" spans="1:7" x14ac:dyDescent="0.2">
      <c r="A1107" t="s">
        <v>64</v>
      </c>
      <c r="B1107" t="s">
        <v>64</v>
      </c>
      <c r="C1107" s="3" t="s">
        <v>64</v>
      </c>
      <c r="D1107" s="16" t="s">
        <v>64</v>
      </c>
      <c r="E1107" s="16">
        <v>0</v>
      </c>
      <c r="F1107" s="16" t="s">
        <v>64</v>
      </c>
      <c r="G1107" s="16" t="s">
        <v>64</v>
      </c>
    </row>
    <row r="1108" spans="1:7" x14ac:dyDescent="0.2">
      <c r="A1108" t="s">
        <v>64</v>
      </c>
      <c r="B1108" t="s">
        <v>64</v>
      </c>
      <c r="C1108" s="3" t="s">
        <v>64</v>
      </c>
      <c r="D1108" s="16" t="s">
        <v>64</v>
      </c>
      <c r="E1108" s="16">
        <v>0</v>
      </c>
      <c r="F1108" s="16" t="s">
        <v>64</v>
      </c>
      <c r="G1108" s="16" t="s">
        <v>64</v>
      </c>
    </row>
    <row r="1109" spans="1:7" x14ac:dyDescent="0.2">
      <c r="A1109" t="s">
        <v>64</v>
      </c>
      <c r="B1109" t="s">
        <v>64</v>
      </c>
      <c r="C1109" s="3" t="s">
        <v>64</v>
      </c>
      <c r="D1109" s="16" t="s">
        <v>64</v>
      </c>
      <c r="E1109" s="16">
        <v>0</v>
      </c>
      <c r="F1109" s="16" t="s">
        <v>64</v>
      </c>
      <c r="G1109" s="16" t="s">
        <v>64</v>
      </c>
    </row>
    <row r="1110" spans="1:7" x14ac:dyDescent="0.2">
      <c r="A1110" t="s">
        <v>64</v>
      </c>
      <c r="B1110" t="s">
        <v>64</v>
      </c>
      <c r="C1110" s="3" t="s">
        <v>64</v>
      </c>
      <c r="D1110" s="16" t="s">
        <v>64</v>
      </c>
      <c r="E1110" s="16">
        <v>0</v>
      </c>
      <c r="F1110" s="16" t="s">
        <v>64</v>
      </c>
      <c r="G1110" s="16" t="s">
        <v>64</v>
      </c>
    </row>
    <row r="1111" spans="1:7" x14ac:dyDescent="0.2">
      <c r="A1111" t="s">
        <v>64</v>
      </c>
      <c r="B1111" t="s">
        <v>64</v>
      </c>
      <c r="C1111" s="3" t="s">
        <v>64</v>
      </c>
      <c r="D1111" s="16" t="s">
        <v>64</v>
      </c>
      <c r="E1111" s="16">
        <v>0</v>
      </c>
      <c r="F1111" s="16" t="s">
        <v>64</v>
      </c>
      <c r="G1111" s="16" t="s">
        <v>64</v>
      </c>
    </row>
    <row r="1112" spans="1:7" x14ac:dyDescent="0.2">
      <c r="A1112" t="s">
        <v>64</v>
      </c>
      <c r="B1112" t="s">
        <v>64</v>
      </c>
      <c r="C1112" s="3" t="s">
        <v>64</v>
      </c>
      <c r="D1112" s="16" t="s">
        <v>64</v>
      </c>
      <c r="E1112" s="16">
        <v>0</v>
      </c>
      <c r="F1112" s="16" t="s">
        <v>64</v>
      </c>
      <c r="G1112" s="16" t="s">
        <v>64</v>
      </c>
    </row>
    <row r="1113" spans="1:7" x14ac:dyDescent="0.2">
      <c r="A1113" t="s">
        <v>64</v>
      </c>
      <c r="B1113" t="s">
        <v>64</v>
      </c>
      <c r="C1113" s="3" t="s">
        <v>64</v>
      </c>
      <c r="D1113" s="16" t="s">
        <v>64</v>
      </c>
      <c r="E1113" s="16">
        <v>0</v>
      </c>
      <c r="F1113" s="16" t="s">
        <v>64</v>
      </c>
      <c r="G1113" s="16" t="s">
        <v>64</v>
      </c>
    </row>
    <row r="1114" spans="1:7" x14ac:dyDescent="0.2">
      <c r="A1114" t="s">
        <v>64</v>
      </c>
      <c r="B1114" t="s">
        <v>64</v>
      </c>
      <c r="C1114" s="3" t="s">
        <v>64</v>
      </c>
      <c r="D1114" s="16" t="s">
        <v>64</v>
      </c>
      <c r="E1114" s="16">
        <v>0</v>
      </c>
      <c r="F1114" s="16" t="s">
        <v>64</v>
      </c>
      <c r="G1114" s="16" t="s">
        <v>64</v>
      </c>
    </row>
    <row r="1115" spans="1:7" x14ac:dyDescent="0.2">
      <c r="A1115" t="s">
        <v>64</v>
      </c>
      <c r="B1115" t="s">
        <v>64</v>
      </c>
      <c r="C1115" s="3" t="s">
        <v>64</v>
      </c>
      <c r="D1115" s="16" t="s">
        <v>64</v>
      </c>
      <c r="E1115" s="16">
        <v>0</v>
      </c>
      <c r="F1115" s="16" t="s">
        <v>64</v>
      </c>
      <c r="G1115" s="16" t="s">
        <v>64</v>
      </c>
    </row>
    <row r="1116" spans="1:7" x14ac:dyDescent="0.2">
      <c r="A1116" t="s">
        <v>64</v>
      </c>
      <c r="B1116" t="s">
        <v>64</v>
      </c>
      <c r="C1116" s="3" t="s">
        <v>64</v>
      </c>
      <c r="D1116" s="16" t="s">
        <v>64</v>
      </c>
      <c r="E1116" s="16">
        <v>0</v>
      </c>
      <c r="F1116" s="16" t="s">
        <v>64</v>
      </c>
      <c r="G1116" s="16" t="s">
        <v>64</v>
      </c>
    </row>
    <row r="1117" spans="1:7" x14ac:dyDescent="0.2">
      <c r="A1117" t="s">
        <v>64</v>
      </c>
      <c r="B1117" t="s">
        <v>64</v>
      </c>
      <c r="C1117" s="3" t="s">
        <v>64</v>
      </c>
      <c r="D1117" s="16" t="s">
        <v>64</v>
      </c>
      <c r="E1117" s="16">
        <v>0</v>
      </c>
      <c r="F1117" s="16" t="s">
        <v>64</v>
      </c>
      <c r="G1117" s="16" t="s">
        <v>64</v>
      </c>
    </row>
    <row r="1118" spans="1:7" x14ac:dyDescent="0.2">
      <c r="A1118" t="s">
        <v>64</v>
      </c>
      <c r="B1118" t="s">
        <v>64</v>
      </c>
      <c r="C1118" s="3" t="s">
        <v>64</v>
      </c>
      <c r="D1118" s="16" t="s">
        <v>64</v>
      </c>
      <c r="E1118" s="16">
        <v>0</v>
      </c>
      <c r="F1118" s="16" t="s">
        <v>64</v>
      </c>
      <c r="G1118" s="16" t="s">
        <v>64</v>
      </c>
    </row>
    <row r="1119" spans="1:7" x14ac:dyDescent="0.2">
      <c r="A1119" t="s">
        <v>64</v>
      </c>
      <c r="B1119" t="s">
        <v>64</v>
      </c>
      <c r="C1119" s="3" t="s">
        <v>64</v>
      </c>
      <c r="D1119" s="16" t="s">
        <v>64</v>
      </c>
      <c r="E1119" s="16">
        <v>0</v>
      </c>
      <c r="F1119" s="16" t="s">
        <v>64</v>
      </c>
      <c r="G1119" s="16" t="s">
        <v>64</v>
      </c>
    </row>
    <row r="1120" spans="1:7" x14ac:dyDescent="0.2">
      <c r="A1120" t="s">
        <v>64</v>
      </c>
      <c r="B1120" t="s">
        <v>64</v>
      </c>
      <c r="C1120" s="3" t="s">
        <v>64</v>
      </c>
      <c r="D1120" s="16" t="s">
        <v>64</v>
      </c>
      <c r="E1120" s="16">
        <v>0</v>
      </c>
      <c r="F1120" s="16" t="s">
        <v>64</v>
      </c>
      <c r="G1120" s="16" t="s">
        <v>64</v>
      </c>
    </row>
    <row r="1121" spans="1:7" x14ac:dyDescent="0.2">
      <c r="A1121" t="s">
        <v>64</v>
      </c>
      <c r="B1121" t="s">
        <v>64</v>
      </c>
      <c r="C1121" s="3" t="s">
        <v>64</v>
      </c>
      <c r="D1121" s="16" t="s">
        <v>64</v>
      </c>
      <c r="E1121" s="16">
        <v>0</v>
      </c>
      <c r="F1121" s="16" t="s">
        <v>64</v>
      </c>
      <c r="G1121" s="16" t="s">
        <v>64</v>
      </c>
    </row>
    <row r="1122" spans="1:7" x14ac:dyDescent="0.2">
      <c r="A1122" t="s">
        <v>64</v>
      </c>
      <c r="B1122" t="s">
        <v>64</v>
      </c>
      <c r="C1122" s="3" t="s">
        <v>64</v>
      </c>
      <c r="D1122" s="16" t="s">
        <v>64</v>
      </c>
      <c r="E1122" s="16">
        <v>0</v>
      </c>
      <c r="F1122" s="16" t="s">
        <v>64</v>
      </c>
      <c r="G1122" s="16" t="s">
        <v>64</v>
      </c>
    </row>
    <row r="1123" spans="1:7" x14ac:dyDescent="0.2">
      <c r="A1123" t="s">
        <v>64</v>
      </c>
      <c r="B1123" t="s">
        <v>64</v>
      </c>
      <c r="C1123" s="3" t="s">
        <v>64</v>
      </c>
      <c r="D1123" s="16" t="s">
        <v>64</v>
      </c>
      <c r="E1123" s="16">
        <v>0</v>
      </c>
      <c r="F1123" s="16" t="s">
        <v>64</v>
      </c>
      <c r="G1123" s="16" t="s">
        <v>64</v>
      </c>
    </row>
    <row r="1124" spans="1:7" x14ac:dyDescent="0.2">
      <c r="A1124" t="s">
        <v>64</v>
      </c>
      <c r="B1124" t="s">
        <v>64</v>
      </c>
      <c r="C1124" s="3" t="s">
        <v>64</v>
      </c>
      <c r="D1124" s="16" t="s">
        <v>64</v>
      </c>
      <c r="E1124" s="16">
        <v>0</v>
      </c>
      <c r="F1124" s="16" t="s">
        <v>64</v>
      </c>
      <c r="G1124" s="16" t="s">
        <v>64</v>
      </c>
    </row>
    <row r="1125" spans="1:7" x14ac:dyDescent="0.2">
      <c r="A1125" t="s">
        <v>64</v>
      </c>
      <c r="B1125" t="s">
        <v>64</v>
      </c>
      <c r="C1125" s="3" t="s">
        <v>64</v>
      </c>
      <c r="D1125" s="16" t="s">
        <v>64</v>
      </c>
      <c r="E1125" s="16">
        <v>0</v>
      </c>
      <c r="F1125" s="16" t="s">
        <v>64</v>
      </c>
      <c r="G1125" s="16" t="s">
        <v>64</v>
      </c>
    </row>
    <row r="1126" spans="1:7" x14ac:dyDescent="0.2">
      <c r="A1126" t="s">
        <v>64</v>
      </c>
      <c r="B1126" t="s">
        <v>64</v>
      </c>
      <c r="C1126" s="3" t="s">
        <v>64</v>
      </c>
      <c r="D1126" s="16" t="s">
        <v>64</v>
      </c>
      <c r="E1126" s="16">
        <v>0</v>
      </c>
      <c r="F1126" s="16" t="s">
        <v>64</v>
      </c>
      <c r="G1126" s="16" t="s">
        <v>64</v>
      </c>
    </row>
    <row r="1127" spans="1:7" x14ac:dyDescent="0.2">
      <c r="A1127" t="s">
        <v>64</v>
      </c>
      <c r="B1127" t="s">
        <v>64</v>
      </c>
      <c r="C1127" s="3" t="s">
        <v>64</v>
      </c>
      <c r="D1127" s="16" t="s">
        <v>64</v>
      </c>
      <c r="E1127" s="16">
        <v>0</v>
      </c>
      <c r="F1127" s="16" t="s">
        <v>64</v>
      </c>
      <c r="G1127" s="16" t="s">
        <v>64</v>
      </c>
    </row>
    <row r="1128" spans="1:7" x14ac:dyDescent="0.2">
      <c r="A1128" t="s">
        <v>64</v>
      </c>
      <c r="B1128" t="s">
        <v>64</v>
      </c>
      <c r="C1128" s="3" t="s">
        <v>64</v>
      </c>
      <c r="D1128" s="16" t="s">
        <v>64</v>
      </c>
      <c r="E1128" s="16">
        <v>0</v>
      </c>
      <c r="F1128" s="16" t="s">
        <v>64</v>
      </c>
      <c r="G1128" s="16" t="s">
        <v>64</v>
      </c>
    </row>
    <row r="1129" spans="1:7" x14ac:dyDescent="0.2">
      <c r="A1129" t="s">
        <v>64</v>
      </c>
      <c r="B1129" t="s">
        <v>64</v>
      </c>
      <c r="C1129" s="3" t="s">
        <v>64</v>
      </c>
      <c r="D1129" s="16" t="s">
        <v>64</v>
      </c>
      <c r="E1129" s="16">
        <v>0</v>
      </c>
      <c r="F1129" s="16" t="s">
        <v>64</v>
      </c>
      <c r="G1129" s="16" t="s">
        <v>64</v>
      </c>
    </row>
    <row r="1130" spans="1:7" x14ac:dyDescent="0.2">
      <c r="A1130" t="s">
        <v>64</v>
      </c>
      <c r="B1130" t="s">
        <v>64</v>
      </c>
      <c r="C1130" s="3" t="s">
        <v>64</v>
      </c>
      <c r="D1130" s="16" t="s">
        <v>64</v>
      </c>
      <c r="E1130" s="16">
        <v>0</v>
      </c>
      <c r="F1130" s="16" t="s">
        <v>64</v>
      </c>
      <c r="G1130" s="16" t="s">
        <v>64</v>
      </c>
    </row>
    <row r="1131" spans="1:7" x14ac:dyDescent="0.2">
      <c r="A1131" t="s">
        <v>64</v>
      </c>
      <c r="B1131" t="s">
        <v>64</v>
      </c>
      <c r="C1131" s="3" t="s">
        <v>64</v>
      </c>
      <c r="D1131" s="16" t="s">
        <v>64</v>
      </c>
      <c r="E1131" s="16">
        <v>0</v>
      </c>
      <c r="F1131" s="16" t="s">
        <v>64</v>
      </c>
      <c r="G1131" s="16" t="s">
        <v>64</v>
      </c>
    </row>
    <row r="1132" spans="1:7" x14ac:dyDescent="0.2">
      <c r="A1132" t="s">
        <v>64</v>
      </c>
      <c r="B1132" t="s">
        <v>64</v>
      </c>
      <c r="C1132" s="3" t="s">
        <v>64</v>
      </c>
      <c r="D1132" s="16" t="s">
        <v>64</v>
      </c>
      <c r="E1132" s="16">
        <v>0</v>
      </c>
      <c r="F1132" s="16" t="s">
        <v>64</v>
      </c>
      <c r="G1132" s="16" t="s">
        <v>64</v>
      </c>
    </row>
    <row r="1133" spans="1:7" x14ac:dyDescent="0.2">
      <c r="A1133" t="s">
        <v>64</v>
      </c>
      <c r="B1133" t="s">
        <v>64</v>
      </c>
      <c r="C1133" s="3" t="s">
        <v>64</v>
      </c>
      <c r="D1133" s="16" t="s">
        <v>64</v>
      </c>
      <c r="E1133" s="16">
        <v>0</v>
      </c>
      <c r="F1133" s="16" t="s">
        <v>64</v>
      </c>
      <c r="G1133" s="16" t="s">
        <v>64</v>
      </c>
    </row>
    <row r="1134" spans="1:7" x14ac:dyDescent="0.2">
      <c r="A1134" t="s">
        <v>64</v>
      </c>
      <c r="B1134" t="s">
        <v>64</v>
      </c>
      <c r="C1134" s="3" t="s">
        <v>64</v>
      </c>
      <c r="D1134" s="16" t="s">
        <v>64</v>
      </c>
      <c r="E1134" s="16">
        <v>0</v>
      </c>
      <c r="F1134" s="16" t="s">
        <v>64</v>
      </c>
      <c r="G1134" s="16" t="s">
        <v>64</v>
      </c>
    </row>
    <row r="1135" spans="1:7" x14ac:dyDescent="0.2">
      <c r="A1135" t="s">
        <v>64</v>
      </c>
      <c r="B1135" t="s">
        <v>64</v>
      </c>
      <c r="C1135" s="3" t="s">
        <v>64</v>
      </c>
      <c r="D1135" s="16" t="s">
        <v>64</v>
      </c>
      <c r="E1135" s="16">
        <v>0</v>
      </c>
      <c r="F1135" s="16" t="s">
        <v>64</v>
      </c>
      <c r="G1135" s="16" t="s">
        <v>64</v>
      </c>
    </row>
    <row r="1136" spans="1:7" x14ac:dyDescent="0.2">
      <c r="A1136" t="s">
        <v>64</v>
      </c>
      <c r="B1136" t="s">
        <v>64</v>
      </c>
      <c r="C1136" s="3" t="s">
        <v>64</v>
      </c>
      <c r="D1136" s="16" t="s">
        <v>64</v>
      </c>
      <c r="E1136" s="16">
        <v>0</v>
      </c>
      <c r="F1136" s="16" t="s">
        <v>64</v>
      </c>
      <c r="G1136" s="16" t="s">
        <v>64</v>
      </c>
    </row>
    <row r="1137" spans="1:7" x14ac:dyDescent="0.2">
      <c r="A1137" t="s">
        <v>64</v>
      </c>
      <c r="B1137" t="s">
        <v>64</v>
      </c>
      <c r="C1137" s="3" t="s">
        <v>64</v>
      </c>
      <c r="D1137" s="16" t="s">
        <v>64</v>
      </c>
      <c r="E1137" s="16">
        <v>0</v>
      </c>
      <c r="F1137" s="16" t="s">
        <v>64</v>
      </c>
      <c r="G1137" s="16" t="s">
        <v>64</v>
      </c>
    </row>
    <row r="1138" spans="1:7" x14ac:dyDescent="0.2">
      <c r="A1138" t="s">
        <v>64</v>
      </c>
      <c r="B1138" t="s">
        <v>64</v>
      </c>
      <c r="C1138" s="3" t="s">
        <v>64</v>
      </c>
      <c r="D1138" s="16" t="s">
        <v>64</v>
      </c>
      <c r="E1138" s="16">
        <v>0</v>
      </c>
      <c r="F1138" s="16" t="s">
        <v>64</v>
      </c>
      <c r="G1138" s="16" t="s">
        <v>64</v>
      </c>
    </row>
    <row r="1139" spans="1:7" x14ac:dyDescent="0.2">
      <c r="A1139" t="s">
        <v>64</v>
      </c>
      <c r="B1139" t="s">
        <v>64</v>
      </c>
      <c r="C1139" s="3" t="s">
        <v>64</v>
      </c>
      <c r="D1139" s="16" t="s">
        <v>64</v>
      </c>
      <c r="E1139" s="16">
        <v>0</v>
      </c>
      <c r="F1139" s="16" t="s">
        <v>64</v>
      </c>
      <c r="G1139" s="16" t="s">
        <v>64</v>
      </c>
    </row>
    <row r="1140" spans="1:7" x14ac:dyDescent="0.2">
      <c r="A1140" t="s">
        <v>64</v>
      </c>
      <c r="B1140" t="s">
        <v>64</v>
      </c>
      <c r="C1140" s="3" t="s">
        <v>64</v>
      </c>
      <c r="D1140" s="16" t="s">
        <v>64</v>
      </c>
      <c r="E1140" s="16">
        <v>0</v>
      </c>
      <c r="F1140" s="16" t="s">
        <v>64</v>
      </c>
      <c r="G1140" s="16" t="s">
        <v>64</v>
      </c>
    </row>
    <row r="1141" spans="1:7" x14ac:dyDescent="0.2">
      <c r="A1141" t="s">
        <v>64</v>
      </c>
      <c r="B1141" t="s">
        <v>64</v>
      </c>
      <c r="C1141" s="3" t="s">
        <v>64</v>
      </c>
      <c r="D1141" s="16" t="s">
        <v>64</v>
      </c>
      <c r="E1141" s="16">
        <v>0</v>
      </c>
      <c r="F1141" s="16" t="s">
        <v>64</v>
      </c>
      <c r="G1141" s="16" t="s">
        <v>64</v>
      </c>
    </row>
    <row r="1142" spans="1:7" x14ac:dyDescent="0.2">
      <c r="A1142" t="s">
        <v>64</v>
      </c>
      <c r="B1142" t="s">
        <v>64</v>
      </c>
      <c r="C1142" s="3" t="s">
        <v>64</v>
      </c>
      <c r="D1142" s="16" t="s">
        <v>64</v>
      </c>
      <c r="E1142" s="16">
        <v>0</v>
      </c>
      <c r="F1142" s="16" t="s">
        <v>64</v>
      </c>
      <c r="G1142" s="16" t="s">
        <v>64</v>
      </c>
    </row>
    <row r="1143" spans="1:7" x14ac:dyDescent="0.2">
      <c r="A1143" t="s">
        <v>64</v>
      </c>
      <c r="B1143" t="s">
        <v>64</v>
      </c>
      <c r="C1143" s="3" t="s">
        <v>64</v>
      </c>
      <c r="D1143" s="16" t="s">
        <v>64</v>
      </c>
      <c r="E1143" s="16">
        <v>0</v>
      </c>
      <c r="F1143" s="16" t="s">
        <v>64</v>
      </c>
      <c r="G1143" s="16" t="s">
        <v>64</v>
      </c>
    </row>
    <row r="1144" spans="1:7" x14ac:dyDescent="0.2">
      <c r="A1144" t="s">
        <v>64</v>
      </c>
      <c r="B1144" t="s">
        <v>64</v>
      </c>
      <c r="C1144" s="3" t="s">
        <v>64</v>
      </c>
      <c r="D1144" s="16" t="s">
        <v>64</v>
      </c>
      <c r="E1144" s="16">
        <v>0</v>
      </c>
      <c r="F1144" s="16" t="s">
        <v>64</v>
      </c>
      <c r="G1144" s="16" t="s">
        <v>64</v>
      </c>
    </row>
    <row r="1145" spans="1:7" x14ac:dyDescent="0.2">
      <c r="A1145" t="s">
        <v>64</v>
      </c>
      <c r="B1145" t="s">
        <v>64</v>
      </c>
      <c r="C1145" s="3" t="s">
        <v>64</v>
      </c>
      <c r="D1145" s="16" t="s">
        <v>64</v>
      </c>
      <c r="E1145" s="16">
        <v>0</v>
      </c>
      <c r="F1145" s="16" t="s">
        <v>64</v>
      </c>
      <c r="G1145" s="16" t="s">
        <v>64</v>
      </c>
    </row>
    <row r="1146" spans="1:7" x14ac:dyDescent="0.2">
      <c r="A1146" t="s">
        <v>64</v>
      </c>
      <c r="B1146" t="s">
        <v>64</v>
      </c>
      <c r="C1146" s="3" t="s">
        <v>64</v>
      </c>
      <c r="D1146" s="16" t="s">
        <v>64</v>
      </c>
      <c r="E1146" s="16">
        <v>0</v>
      </c>
      <c r="F1146" s="16" t="s">
        <v>64</v>
      </c>
      <c r="G1146" s="16" t="s">
        <v>64</v>
      </c>
    </row>
    <row r="1147" spans="1:7" x14ac:dyDescent="0.2">
      <c r="A1147" t="s">
        <v>64</v>
      </c>
      <c r="B1147" t="s">
        <v>64</v>
      </c>
      <c r="C1147" s="3" t="s">
        <v>64</v>
      </c>
      <c r="D1147" s="16" t="s">
        <v>64</v>
      </c>
      <c r="E1147" s="16">
        <v>0</v>
      </c>
      <c r="F1147" s="16" t="s">
        <v>64</v>
      </c>
      <c r="G1147" s="16" t="s">
        <v>64</v>
      </c>
    </row>
    <row r="1148" spans="1:7" x14ac:dyDescent="0.2">
      <c r="A1148" t="s">
        <v>64</v>
      </c>
      <c r="B1148" t="s">
        <v>64</v>
      </c>
      <c r="C1148" s="3" t="s">
        <v>64</v>
      </c>
      <c r="D1148" s="16" t="s">
        <v>64</v>
      </c>
      <c r="E1148" s="16">
        <v>0</v>
      </c>
      <c r="F1148" s="16" t="s">
        <v>64</v>
      </c>
      <c r="G1148" s="16" t="s">
        <v>64</v>
      </c>
    </row>
    <row r="1149" spans="1:7" x14ac:dyDescent="0.2">
      <c r="A1149" t="s">
        <v>64</v>
      </c>
      <c r="B1149" t="s">
        <v>64</v>
      </c>
      <c r="C1149" s="3" t="s">
        <v>64</v>
      </c>
      <c r="D1149" s="16" t="s">
        <v>64</v>
      </c>
      <c r="E1149" s="16">
        <v>0</v>
      </c>
      <c r="F1149" s="16" t="s">
        <v>64</v>
      </c>
      <c r="G1149" s="16" t="s">
        <v>64</v>
      </c>
    </row>
    <row r="1150" spans="1:7" x14ac:dyDescent="0.2">
      <c r="A1150" t="s">
        <v>64</v>
      </c>
      <c r="B1150" t="s">
        <v>64</v>
      </c>
      <c r="C1150" s="3" t="s">
        <v>64</v>
      </c>
      <c r="D1150" s="16" t="s">
        <v>64</v>
      </c>
      <c r="E1150" s="16">
        <v>0</v>
      </c>
      <c r="F1150" s="16" t="s">
        <v>64</v>
      </c>
      <c r="G1150" s="16" t="s">
        <v>64</v>
      </c>
    </row>
    <row r="1151" spans="1:7" x14ac:dyDescent="0.2">
      <c r="A1151" t="s">
        <v>64</v>
      </c>
      <c r="B1151" t="s">
        <v>64</v>
      </c>
      <c r="C1151" s="3" t="s">
        <v>64</v>
      </c>
      <c r="D1151" s="16" t="s">
        <v>64</v>
      </c>
      <c r="E1151" s="16">
        <v>0</v>
      </c>
      <c r="F1151" s="16" t="s">
        <v>64</v>
      </c>
      <c r="G1151" s="16" t="s">
        <v>64</v>
      </c>
    </row>
    <row r="1152" spans="1:7" x14ac:dyDescent="0.2">
      <c r="A1152" t="s">
        <v>64</v>
      </c>
      <c r="B1152" t="s">
        <v>64</v>
      </c>
      <c r="C1152" s="3" t="s">
        <v>64</v>
      </c>
      <c r="D1152" s="16" t="s">
        <v>64</v>
      </c>
      <c r="E1152" s="16">
        <v>0</v>
      </c>
      <c r="F1152" s="16" t="s">
        <v>64</v>
      </c>
      <c r="G1152" s="16" t="s">
        <v>64</v>
      </c>
    </row>
    <row r="1153" spans="1:7" x14ac:dyDescent="0.2">
      <c r="A1153" t="s">
        <v>64</v>
      </c>
      <c r="B1153" t="s">
        <v>64</v>
      </c>
      <c r="C1153" s="3" t="s">
        <v>64</v>
      </c>
      <c r="D1153" s="16" t="s">
        <v>64</v>
      </c>
      <c r="E1153" s="16">
        <v>0</v>
      </c>
      <c r="F1153" s="16" t="s">
        <v>64</v>
      </c>
      <c r="G1153" s="16" t="s">
        <v>64</v>
      </c>
    </row>
    <row r="1154" spans="1:7" x14ac:dyDescent="0.2">
      <c r="A1154" t="s">
        <v>64</v>
      </c>
      <c r="B1154" t="s">
        <v>64</v>
      </c>
      <c r="C1154" s="3" t="s">
        <v>64</v>
      </c>
      <c r="D1154" s="16" t="s">
        <v>64</v>
      </c>
      <c r="E1154" s="16">
        <v>0</v>
      </c>
      <c r="F1154" s="16" t="s">
        <v>64</v>
      </c>
      <c r="G1154" s="16" t="s">
        <v>64</v>
      </c>
    </row>
    <row r="1155" spans="1:7" x14ac:dyDescent="0.2">
      <c r="A1155" t="s">
        <v>64</v>
      </c>
      <c r="B1155" t="s">
        <v>64</v>
      </c>
      <c r="C1155" s="3" t="s">
        <v>64</v>
      </c>
      <c r="D1155" s="16" t="s">
        <v>64</v>
      </c>
      <c r="E1155" s="16">
        <v>0</v>
      </c>
      <c r="F1155" s="16" t="s">
        <v>64</v>
      </c>
      <c r="G1155" s="16" t="s">
        <v>64</v>
      </c>
    </row>
    <row r="1156" spans="1:7" x14ac:dyDescent="0.2">
      <c r="A1156" t="s">
        <v>64</v>
      </c>
      <c r="B1156" t="s">
        <v>64</v>
      </c>
      <c r="C1156" s="3" t="s">
        <v>64</v>
      </c>
      <c r="D1156" s="16" t="s">
        <v>64</v>
      </c>
      <c r="E1156" s="16">
        <v>0</v>
      </c>
      <c r="F1156" s="16" t="s">
        <v>64</v>
      </c>
      <c r="G1156" s="16" t="s">
        <v>64</v>
      </c>
    </row>
    <row r="1157" spans="1:7" x14ac:dyDescent="0.2">
      <c r="A1157" t="s">
        <v>64</v>
      </c>
      <c r="B1157" t="s">
        <v>64</v>
      </c>
      <c r="C1157" s="3" t="s">
        <v>64</v>
      </c>
      <c r="D1157" s="16" t="s">
        <v>64</v>
      </c>
      <c r="E1157" s="16">
        <v>0</v>
      </c>
      <c r="F1157" s="16" t="s">
        <v>64</v>
      </c>
      <c r="G1157" s="16" t="s">
        <v>64</v>
      </c>
    </row>
    <row r="1158" spans="1:7" x14ac:dyDescent="0.2">
      <c r="A1158" t="s">
        <v>64</v>
      </c>
      <c r="B1158" t="s">
        <v>64</v>
      </c>
      <c r="C1158" s="3" t="s">
        <v>64</v>
      </c>
      <c r="D1158" s="16" t="s">
        <v>64</v>
      </c>
      <c r="E1158" s="16">
        <v>0</v>
      </c>
      <c r="F1158" s="16" t="s">
        <v>64</v>
      </c>
      <c r="G1158" s="16" t="s">
        <v>64</v>
      </c>
    </row>
    <row r="1159" spans="1:7" x14ac:dyDescent="0.2">
      <c r="A1159" t="s">
        <v>64</v>
      </c>
      <c r="B1159" t="s">
        <v>64</v>
      </c>
      <c r="C1159" s="3" t="s">
        <v>64</v>
      </c>
      <c r="D1159" s="16" t="s">
        <v>64</v>
      </c>
      <c r="E1159" s="16">
        <v>0</v>
      </c>
      <c r="F1159" s="16" t="s">
        <v>64</v>
      </c>
      <c r="G1159" s="16" t="s">
        <v>64</v>
      </c>
    </row>
    <row r="1160" spans="1:7" x14ac:dyDescent="0.2">
      <c r="A1160" t="s">
        <v>64</v>
      </c>
      <c r="B1160" t="s">
        <v>64</v>
      </c>
      <c r="C1160" s="3" t="s">
        <v>64</v>
      </c>
      <c r="D1160" s="16" t="s">
        <v>64</v>
      </c>
      <c r="E1160" s="16">
        <v>0</v>
      </c>
      <c r="F1160" s="16" t="s">
        <v>64</v>
      </c>
      <c r="G1160" s="16" t="s">
        <v>64</v>
      </c>
    </row>
    <row r="1161" spans="1:7" x14ac:dyDescent="0.2">
      <c r="A1161" t="s">
        <v>64</v>
      </c>
      <c r="B1161" t="s">
        <v>64</v>
      </c>
      <c r="C1161" s="3" t="s">
        <v>64</v>
      </c>
      <c r="D1161" s="16" t="s">
        <v>64</v>
      </c>
      <c r="E1161" s="16">
        <v>0</v>
      </c>
      <c r="F1161" s="16" t="s">
        <v>64</v>
      </c>
      <c r="G1161" s="16" t="s">
        <v>64</v>
      </c>
    </row>
    <row r="1162" spans="1:7" x14ac:dyDescent="0.2">
      <c r="A1162" t="s">
        <v>64</v>
      </c>
      <c r="B1162" t="s">
        <v>64</v>
      </c>
      <c r="C1162" s="3" t="s">
        <v>64</v>
      </c>
      <c r="D1162" s="16" t="s">
        <v>64</v>
      </c>
      <c r="E1162" s="16">
        <v>0</v>
      </c>
      <c r="F1162" s="16" t="s">
        <v>64</v>
      </c>
      <c r="G1162" s="16" t="s">
        <v>64</v>
      </c>
    </row>
    <row r="1163" spans="1:7" x14ac:dyDescent="0.2">
      <c r="A1163" t="s">
        <v>64</v>
      </c>
      <c r="B1163" t="s">
        <v>64</v>
      </c>
      <c r="C1163" s="3" t="s">
        <v>64</v>
      </c>
      <c r="D1163" s="16" t="s">
        <v>64</v>
      </c>
      <c r="E1163" s="16">
        <v>0</v>
      </c>
      <c r="F1163" s="16" t="s">
        <v>64</v>
      </c>
      <c r="G1163" s="16" t="s">
        <v>64</v>
      </c>
    </row>
    <row r="1164" spans="1:7" x14ac:dyDescent="0.2">
      <c r="A1164" t="s">
        <v>64</v>
      </c>
      <c r="B1164" t="s">
        <v>64</v>
      </c>
      <c r="C1164" s="3" t="s">
        <v>64</v>
      </c>
      <c r="D1164" s="16" t="s">
        <v>64</v>
      </c>
      <c r="E1164" s="16">
        <v>0</v>
      </c>
      <c r="F1164" s="16" t="s">
        <v>64</v>
      </c>
      <c r="G1164" s="16" t="s">
        <v>64</v>
      </c>
    </row>
    <row r="1165" spans="1:7" x14ac:dyDescent="0.2">
      <c r="A1165" t="s">
        <v>64</v>
      </c>
      <c r="B1165" t="s">
        <v>64</v>
      </c>
      <c r="C1165" s="3" t="s">
        <v>64</v>
      </c>
      <c r="D1165" s="16" t="s">
        <v>64</v>
      </c>
      <c r="E1165" s="16">
        <v>0</v>
      </c>
      <c r="F1165" s="16" t="s">
        <v>64</v>
      </c>
      <c r="G1165" s="16" t="s">
        <v>64</v>
      </c>
    </row>
    <row r="1166" spans="1:7" x14ac:dyDescent="0.2">
      <c r="A1166" t="s">
        <v>64</v>
      </c>
      <c r="B1166" t="s">
        <v>64</v>
      </c>
      <c r="C1166" s="3" t="s">
        <v>64</v>
      </c>
      <c r="D1166" s="16" t="s">
        <v>64</v>
      </c>
      <c r="E1166" s="16">
        <v>0</v>
      </c>
      <c r="F1166" s="16" t="s">
        <v>64</v>
      </c>
      <c r="G1166" s="16" t="s">
        <v>64</v>
      </c>
    </row>
    <row r="1167" spans="1:7" x14ac:dyDescent="0.2">
      <c r="A1167" t="s">
        <v>64</v>
      </c>
      <c r="B1167" t="s">
        <v>64</v>
      </c>
      <c r="C1167" s="3" t="s">
        <v>64</v>
      </c>
      <c r="D1167" s="16" t="s">
        <v>64</v>
      </c>
      <c r="E1167" s="16">
        <v>0</v>
      </c>
      <c r="F1167" s="16" t="s">
        <v>64</v>
      </c>
      <c r="G1167" s="16" t="s">
        <v>64</v>
      </c>
    </row>
    <row r="1168" spans="1:7" x14ac:dyDescent="0.2">
      <c r="A1168" t="s">
        <v>64</v>
      </c>
      <c r="B1168" t="s">
        <v>64</v>
      </c>
      <c r="C1168" s="3" t="s">
        <v>64</v>
      </c>
      <c r="D1168" s="16" t="s">
        <v>64</v>
      </c>
      <c r="E1168" s="16">
        <v>0</v>
      </c>
      <c r="F1168" s="16" t="s">
        <v>64</v>
      </c>
      <c r="G1168" s="16" t="s">
        <v>64</v>
      </c>
    </row>
    <row r="1169" spans="1:7" x14ac:dyDescent="0.2">
      <c r="A1169" t="s">
        <v>64</v>
      </c>
      <c r="B1169" t="s">
        <v>64</v>
      </c>
      <c r="C1169" s="3" t="s">
        <v>64</v>
      </c>
      <c r="D1169" s="16" t="s">
        <v>64</v>
      </c>
      <c r="E1169" s="16">
        <v>0</v>
      </c>
      <c r="F1169" s="16" t="s">
        <v>64</v>
      </c>
      <c r="G1169" s="16" t="s">
        <v>64</v>
      </c>
    </row>
    <row r="1170" spans="1:7" x14ac:dyDescent="0.2">
      <c r="A1170" t="s">
        <v>64</v>
      </c>
      <c r="B1170" t="s">
        <v>64</v>
      </c>
      <c r="C1170" s="3" t="s">
        <v>64</v>
      </c>
      <c r="D1170" s="16" t="s">
        <v>64</v>
      </c>
      <c r="E1170" s="16">
        <v>0</v>
      </c>
      <c r="F1170" s="16" t="s">
        <v>64</v>
      </c>
      <c r="G1170" s="16" t="s">
        <v>64</v>
      </c>
    </row>
    <row r="1171" spans="1:7" x14ac:dyDescent="0.2">
      <c r="A1171" t="s">
        <v>64</v>
      </c>
      <c r="B1171" t="s">
        <v>64</v>
      </c>
      <c r="C1171" s="3" t="s">
        <v>64</v>
      </c>
      <c r="D1171" s="16" t="s">
        <v>64</v>
      </c>
      <c r="E1171" s="16">
        <v>0</v>
      </c>
      <c r="F1171" s="16" t="s">
        <v>64</v>
      </c>
      <c r="G1171" s="16" t="s">
        <v>64</v>
      </c>
    </row>
    <row r="1172" spans="1:7" x14ac:dyDescent="0.2">
      <c r="A1172" t="s">
        <v>64</v>
      </c>
      <c r="B1172" t="s">
        <v>64</v>
      </c>
      <c r="C1172" s="3" t="s">
        <v>64</v>
      </c>
      <c r="D1172" s="16" t="s">
        <v>64</v>
      </c>
      <c r="E1172" s="16">
        <v>0</v>
      </c>
      <c r="F1172" s="16" t="s">
        <v>64</v>
      </c>
      <c r="G1172" s="16" t="s">
        <v>64</v>
      </c>
    </row>
    <row r="1173" spans="1:7" x14ac:dyDescent="0.2">
      <c r="A1173" t="s">
        <v>64</v>
      </c>
      <c r="B1173" t="s">
        <v>64</v>
      </c>
      <c r="C1173" s="3" t="s">
        <v>64</v>
      </c>
      <c r="D1173" s="16" t="s">
        <v>64</v>
      </c>
      <c r="E1173" s="16">
        <v>0</v>
      </c>
      <c r="F1173" s="16" t="s">
        <v>64</v>
      </c>
      <c r="G1173" s="16" t="s">
        <v>64</v>
      </c>
    </row>
    <row r="1174" spans="1:7" x14ac:dyDescent="0.2">
      <c r="A1174" t="s">
        <v>64</v>
      </c>
      <c r="B1174" t="s">
        <v>64</v>
      </c>
      <c r="C1174" s="3" t="s">
        <v>64</v>
      </c>
      <c r="D1174" s="16" t="s">
        <v>64</v>
      </c>
      <c r="E1174" s="16">
        <v>0</v>
      </c>
      <c r="F1174" s="16" t="s">
        <v>64</v>
      </c>
      <c r="G1174" s="16" t="s">
        <v>64</v>
      </c>
    </row>
    <row r="1175" spans="1:7" x14ac:dyDescent="0.2">
      <c r="A1175" t="s">
        <v>64</v>
      </c>
      <c r="B1175" t="s">
        <v>64</v>
      </c>
      <c r="C1175" s="3" t="s">
        <v>64</v>
      </c>
      <c r="D1175" s="16" t="s">
        <v>64</v>
      </c>
      <c r="E1175" s="16">
        <v>0</v>
      </c>
      <c r="F1175" s="16" t="s">
        <v>64</v>
      </c>
      <c r="G1175" s="16" t="s">
        <v>64</v>
      </c>
    </row>
    <row r="1176" spans="1:7" x14ac:dyDescent="0.2">
      <c r="A1176" t="s">
        <v>64</v>
      </c>
      <c r="B1176" t="s">
        <v>64</v>
      </c>
      <c r="C1176" s="3" t="s">
        <v>64</v>
      </c>
      <c r="D1176" s="16" t="s">
        <v>64</v>
      </c>
      <c r="E1176" s="16">
        <v>0</v>
      </c>
      <c r="F1176" s="16" t="s">
        <v>64</v>
      </c>
      <c r="G1176" s="16" t="s">
        <v>64</v>
      </c>
    </row>
    <row r="1177" spans="1:7" x14ac:dyDescent="0.2">
      <c r="A1177" t="s">
        <v>64</v>
      </c>
      <c r="B1177" t="s">
        <v>64</v>
      </c>
      <c r="C1177" s="3" t="s">
        <v>64</v>
      </c>
      <c r="D1177" s="16" t="s">
        <v>64</v>
      </c>
      <c r="E1177" s="16">
        <v>0</v>
      </c>
      <c r="F1177" s="16" t="s">
        <v>64</v>
      </c>
      <c r="G1177" s="16" t="s">
        <v>64</v>
      </c>
    </row>
    <row r="1178" spans="1:7" x14ac:dyDescent="0.2">
      <c r="A1178" t="s">
        <v>64</v>
      </c>
      <c r="B1178" t="s">
        <v>64</v>
      </c>
      <c r="C1178" s="3" t="s">
        <v>64</v>
      </c>
      <c r="D1178" s="16" t="s">
        <v>64</v>
      </c>
      <c r="E1178" s="16">
        <v>0</v>
      </c>
      <c r="F1178" s="16" t="s">
        <v>64</v>
      </c>
      <c r="G1178" s="16" t="s">
        <v>64</v>
      </c>
    </row>
    <row r="1179" spans="1:7" x14ac:dyDescent="0.2">
      <c r="A1179" t="s">
        <v>64</v>
      </c>
      <c r="B1179" t="s">
        <v>64</v>
      </c>
      <c r="C1179" s="3" t="s">
        <v>64</v>
      </c>
      <c r="D1179" s="16" t="s">
        <v>64</v>
      </c>
      <c r="E1179" s="16">
        <v>0</v>
      </c>
      <c r="F1179" s="16" t="s">
        <v>64</v>
      </c>
      <c r="G1179" s="16" t="s">
        <v>64</v>
      </c>
    </row>
    <row r="1180" spans="1:7" x14ac:dyDescent="0.2">
      <c r="A1180" t="s">
        <v>64</v>
      </c>
      <c r="B1180" t="s">
        <v>64</v>
      </c>
      <c r="C1180" s="3" t="s">
        <v>64</v>
      </c>
      <c r="D1180" s="16" t="s">
        <v>64</v>
      </c>
      <c r="E1180" s="16">
        <v>0</v>
      </c>
      <c r="F1180" s="16" t="s">
        <v>64</v>
      </c>
      <c r="G1180" s="16" t="s">
        <v>64</v>
      </c>
    </row>
    <row r="1181" spans="1:7" x14ac:dyDescent="0.2">
      <c r="A1181" t="s">
        <v>64</v>
      </c>
      <c r="B1181" t="s">
        <v>64</v>
      </c>
      <c r="C1181" s="3" t="s">
        <v>64</v>
      </c>
      <c r="D1181" s="16" t="s">
        <v>64</v>
      </c>
      <c r="E1181" s="16">
        <v>0</v>
      </c>
      <c r="F1181" s="16" t="s">
        <v>64</v>
      </c>
      <c r="G1181" s="16" t="s">
        <v>64</v>
      </c>
    </row>
    <row r="1182" spans="1:7" x14ac:dyDescent="0.2">
      <c r="A1182" t="s">
        <v>64</v>
      </c>
      <c r="B1182" t="s">
        <v>64</v>
      </c>
      <c r="C1182" s="3" t="s">
        <v>64</v>
      </c>
      <c r="D1182" s="16" t="s">
        <v>64</v>
      </c>
      <c r="E1182" s="16">
        <v>0</v>
      </c>
      <c r="F1182" s="16" t="s">
        <v>64</v>
      </c>
      <c r="G1182" s="16" t="s">
        <v>64</v>
      </c>
    </row>
    <row r="1183" spans="1:7" x14ac:dyDescent="0.2">
      <c r="A1183" t="s">
        <v>64</v>
      </c>
      <c r="B1183" t="s">
        <v>64</v>
      </c>
      <c r="C1183" s="3" t="s">
        <v>64</v>
      </c>
      <c r="D1183" s="16" t="s">
        <v>64</v>
      </c>
      <c r="E1183" s="16">
        <v>0</v>
      </c>
      <c r="F1183" s="16" t="s">
        <v>64</v>
      </c>
      <c r="G1183" s="16" t="s">
        <v>64</v>
      </c>
    </row>
    <row r="1184" spans="1:7" x14ac:dyDescent="0.2">
      <c r="A1184" t="s">
        <v>64</v>
      </c>
      <c r="B1184" t="s">
        <v>64</v>
      </c>
      <c r="C1184" s="3" t="s">
        <v>64</v>
      </c>
      <c r="D1184" s="16" t="s">
        <v>64</v>
      </c>
      <c r="E1184" s="16">
        <v>0</v>
      </c>
      <c r="F1184" s="16" t="s">
        <v>64</v>
      </c>
      <c r="G1184" s="16" t="s">
        <v>64</v>
      </c>
    </row>
    <row r="1185" spans="1:7" x14ac:dyDescent="0.2">
      <c r="A1185" t="s">
        <v>64</v>
      </c>
      <c r="B1185" t="s">
        <v>64</v>
      </c>
      <c r="C1185" s="3" t="s">
        <v>64</v>
      </c>
      <c r="D1185" s="16" t="s">
        <v>64</v>
      </c>
      <c r="E1185" s="16">
        <v>0</v>
      </c>
      <c r="F1185" s="16" t="s">
        <v>64</v>
      </c>
      <c r="G1185" s="16" t="s">
        <v>64</v>
      </c>
    </row>
    <row r="1186" spans="1:7" x14ac:dyDescent="0.2">
      <c r="A1186" t="s">
        <v>64</v>
      </c>
      <c r="B1186" t="s">
        <v>64</v>
      </c>
      <c r="C1186" s="3" t="s">
        <v>64</v>
      </c>
      <c r="D1186" s="16" t="s">
        <v>64</v>
      </c>
      <c r="E1186" s="16">
        <v>0</v>
      </c>
      <c r="F1186" s="16" t="s">
        <v>64</v>
      </c>
      <c r="G1186" s="16" t="s">
        <v>64</v>
      </c>
    </row>
    <row r="1187" spans="1:7" x14ac:dyDescent="0.2">
      <c r="A1187" t="s">
        <v>64</v>
      </c>
      <c r="B1187" t="s">
        <v>64</v>
      </c>
      <c r="C1187" s="3" t="s">
        <v>64</v>
      </c>
      <c r="D1187" s="16" t="s">
        <v>64</v>
      </c>
      <c r="E1187" s="16">
        <v>0</v>
      </c>
      <c r="F1187" s="16" t="s">
        <v>64</v>
      </c>
      <c r="G1187" s="16" t="s">
        <v>64</v>
      </c>
    </row>
    <row r="1188" spans="1:7" x14ac:dyDescent="0.2">
      <c r="A1188" t="s">
        <v>64</v>
      </c>
      <c r="B1188" t="s">
        <v>64</v>
      </c>
      <c r="C1188" s="3" t="s">
        <v>64</v>
      </c>
      <c r="D1188" s="16" t="s">
        <v>64</v>
      </c>
      <c r="E1188" s="16">
        <v>0</v>
      </c>
      <c r="F1188" s="16" t="s">
        <v>64</v>
      </c>
      <c r="G1188" s="16" t="s">
        <v>64</v>
      </c>
    </row>
    <row r="1189" spans="1:7" x14ac:dyDescent="0.2">
      <c r="A1189" t="s">
        <v>64</v>
      </c>
      <c r="B1189" t="s">
        <v>64</v>
      </c>
      <c r="C1189" s="3" t="s">
        <v>64</v>
      </c>
      <c r="D1189" s="16" t="s">
        <v>64</v>
      </c>
      <c r="E1189" s="16">
        <v>0</v>
      </c>
      <c r="F1189" s="16" t="s">
        <v>64</v>
      </c>
      <c r="G1189" s="16" t="s">
        <v>64</v>
      </c>
    </row>
    <row r="1190" spans="1:7" x14ac:dyDescent="0.2">
      <c r="A1190" t="s">
        <v>64</v>
      </c>
      <c r="B1190" t="s">
        <v>64</v>
      </c>
      <c r="C1190" s="3" t="s">
        <v>64</v>
      </c>
      <c r="D1190" s="16" t="s">
        <v>64</v>
      </c>
      <c r="E1190" s="16">
        <v>0</v>
      </c>
      <c r="F1190" s="16" t="s">
        <v>64</v>
      </c>
      <c r="G1190" s="16" t="s">
        <v>64</v>
      </c>
    </row>
    <row r="1191" spans="1:7" x14ac:dyDescent="0.2">
      <c r="A1191" t="s">
        <v>64</v>
      </c>
      <c r="B1191" t="s">
        <v>64</v>
      </c>
      <c r="C1191" s="3" t="s">
        <v>64</v>
      </c>
      <c r="D1191" s="16" t="s">
        <v>64</v>
      </c>
      <c r="E1191" s="16">
        <v>0</v>
      </c>
      <c r="F1191" s="16" t="s">
        <v>64</v>
      </c>
      <c r="G1191" s="16" t="s">
        <v>64</v>
      </c>
    </row>
    <row r="1192" spans="1:7" x14ac:dyDescent="0.2">
      <c r="A1192" t="s">
        <v>64</v>
      </c>
      <c r="B1192" t="s">
        <v>64</v>
      </c>
      <c r="C1192" s="3" t="s">
        <v>64</v>
      </c>
      <c r="D1192" s="16" t="s">
        <v>64</v>
      </c>
      <c r="E1192" s="16">
        <v>0</v>
      </c>
      <c r="F1192" s="16" t="s">
        <v>64</v>
      </c>
      <c r="G1192" s="16" t="s">
        <v>64</v>
      </c>
    </row>
    <row r="1193" spans="1:7" x14ac:dyDescent="0.2">
      <c r="A1193" t="s">
        <v>64</v>
      </c>
      <c r="B1193" t="s">
        <v>64</v>
      </c>
      <c r="C1193" s="3" t="s">
        <v>64</v>
      </c>
      <c r="D1193" s="16" t="s">
        <v>64</v>
      </c>
      <c r="E1193" s="16">
        <v>0</v>
      </c>
      <c r="F1193" s="16" t="s">
        <v>64</v>
      </c>
      <c r="G1193" s="16" t="s">
        <v>64</v>
      </c>
    </row>
    <row r="1194" spans="1:7" x14ac:dyDescent="0.2">
      <c r="A1194" t="s">
        <v>64</v>
      </c>
      <c r="B1194" t="s">
        <v>64</v>
      </c>
      <c r="C1194" s="3" t="s">
        <v>64</v>
      </c>
      <c r="D1194" s="16" t="s">
        <v>64</v>
      </c>
      <c r="E1194" s="16">
        <v>0</v>
      </c>
      <c r="F1194" s="16" t="s">
        <v>64</v>
      </c>
      <c r="G1194" s="16" t="s">
        <v>64</v>
      </c>
    </row>
    <row r="1195" spans="1:7" x14ac:dyDescent="0.2">
      <c r="A1195" t="s">
        <v>64</v>
      </c>
      <c r="B1195" t="s">
        <v>64</v>
      </c>
      <c r="C1195" s="3" t="s">
        <v>64</v>
      </c>
      <c r="D1195" s="16" t="s">
        <v>64</v>
      </c>
      <c r="E1195" s="16">
        <v>0</v>
      </c>
      <c r="F1195" s="16" t="s">
        <v>64</v>
      </c>
      <c r="G1195" s="16" t="s">
        <v>64</v>
      </c>
    </row>
    <row r="1196" spans="1:7" x14ac:dyDescent="0.2">
      <c r="A1196" t="s">
        <v>64</v>
      </c>
      <c r="B1196" t="s">
        <v>64</v>
      </c>
      <c r="C1196" s="3" t="s">
        <v>64</v>
      </c>
      <c r="D1196" s="16" t="s">
        <v>64</v>
      </c>
      <c r="E1196" s="16">
        <v>0</v>
      </c>
      <c r="F1196" s="16" t="s">
        <v>64</v>
      </c>
      <c r="G1196" s="16" t="s">
        <v>64</v>
      </c>
    </row>
    <row r="1197" spans="1:7" x14ac:dyDescent="0.2">
      <c r="A1197" t="s">
        <v>64</v>
      </c>
      <c r="B1197" t="s">
        <v>64</v>
      </c>
      <c r="C1197" s="3" t="s">
        <v>64</v>
      </c>
      <c r="D1197" s="16" t="s">
        <v>64</v>
      </c>
      <c r="E1197" s="16">
        <v>0</v>
      </c>
      <c r="F1197" s="16" t="s">
        <v>64</v>
      </c>
      <c r="G1197" s="16" t="s">
        <v>64</v>
      </c>
    </row>
    <row r="1198" spans="1:7" x14ac:dyDescent="0.2">
      <c r="A1198" t="s">
        <v>64</v>
      </c>
      <c r="B1198" t="s">
        <v>64</v>
      </c>
      <c r="C1198" s="3" t="s">
        <v>64</v>
      </c>
      <c r="D1198" s="16" t="s">
        <v>64</v>
      </c>
      <c r="E1198" s="16">
        <v>0</v>
      </c>
      <c r="F1198" s="16" t="s">
        <v>64</v>
      </c>
      <c r="G1198" s="16" t="s">
        <v>64</v>
      </c>
    </row>
    <row r="1199" spans="1:7" x14ac:dyDescent="0.2">
      <c r="A1199" t="s">
        <v>64</v>
      </c>
      <c r="B1199" t="s">
        <v>64</v>
      </c>
      <c r="C1199" s="3" t="s">
        <v>64</v>
      </c>
      <c r="D1199" s="16" t="s">
        <v>64</v>
      </c>
      <c r="E1199" s="16">
        <v>0</v>
      </c>
      <c r="F1199" s="16" t="s">
        <v>64</v>
      </c>
      <c r="G1199" s="16" t="s">
        <v>64</v>
      </c>
    </row>
    <row r="1200" spans="1:7" x14ac:dyDescent="0.2">
      <c r="A1200" t="s">
        <v>64</v>
      </c>
      <c r="B1200" t="s">
        <v>64</v>
      </c>
      <c r="C1200" s="3" t="s">
        <v>64</v>
      </c>
      <c r="D1200" s="16" t="s">
        <v>64</v>
      </c>
      <c r="E1200" s="16">
        <v>0</v>
      </c>
      <c r="F1200" s="16" t="s">
        <v>64</v>
      </c>
      <c r="G1200" s="16" t="s">
        <v>64</v>
      </c>
    </row>
    <row r="1201" spans="1:7" x14ac:dyDescent="0.2">
      <c r="A1201" t="s">
        <v>64</v>
      </c>
      <c r="B1201" t="s">
        <v>64</v>
      </c>
      <c r="C1201" s="3" t="s">
        <v>64</v>
      </c>
      <c r="D1201" s="16" t="s">
        <v>64</v>
      </c>
      <c r="E1201" s="16">
        <v>0</v>
      </c>
      <c r="F1201" s="16" t="s">
        <v>64</v>
      </c>
      <c r="G1201" s="16" t="s">
        <v>64</v>
      </c>
    </row>
    <row r="1202" spans="1:7" x14ac:dyDescent="0.2">
      <c r="A1202" t="s">
        <v>64</v>
      </c>
      <c r="B1202" t="s">
        <v>64</v>
      </c>
      <c r="C1202" s="3" t="s">
        <v>64</v>
      </c>
      <c r="D1202" s="16" t="s">
        <v>64</v>
      </c>
      <c r="E1202" s="16">
        <v>0</v>
      </c>
      <c r="F1202" s="16" t="s">
        <v>64</v>
      </c>
      <c r="G1202" s="16" t="s">
        <v>64</v>
      </c>
    </row>
    <row r="1203" spans="1:7" x14ac:dyDescent="0.2">
      <c r="A1203" t="s">
        <v>64</v>
      </c>
      <c r="B1203" t="s">
        <v>64</v>
      </c>
      <c r="C1203" s="3" t="s">
        <v>64</v>
      </c>
      <c r="D1203" s="16" t="s">
        <v>64</v>
      </c>
      <c r="E1203" s="16">
        <v>0</v>
      </c>
      <c r="F1203" s="16" t="s">
        <v>64</v>
      </c>
      <c r="G1203" s="16" t="s">
        <v>64</v>
      </c>
    </row>
    <row r="1204" spans="1:7" x14ac:dyDescent="0.2">
      <c r="A1204" t="s">
        <v>64</v>
      </c>
      <c r="B1204" t="s">
        <v>64</v>
      </c>
      <c r="C1204" s="3" t="s">
        <v>64</v>
      </c>
      <c r="D1204" s="16" t="s">
        <v>64</v>
      </c>
      <c r="E1204" s="16">
        <v>0</v>
      </c>
      <c r="F1204" s="16" t="s">
        <v>64</v>
      </c>
      <c r="G1204" s="16" t="s">
        <v>64</v>
      </c>
    </row>
    <row r="1205" spans="1:7" x14ac:dyDescent="0.2">
      <c r="A1205" t="s">
        <v>64</v>
      </c>
      <c r="B1205" t="s">
        <v>64</v>
      </c>
      <c r="C1205" s="3" t="s">
        <v>64</v>
      </c>
      <c r="D1205" s="16" t="s">
        <v>64</v>
      </c>
      <c r="E1205" s="16">
        <v>0</v>
      </c>
      <c r="F1205" s="16" t="s">
        <v>64</v>
      </c>
      <c r="G1205" s="16" t="s">
        <v>64</v>
      </c>
    </row>
    <row r="1206" spans="1:7" x14ac:dyDescent="0.2">
      <c r="A1206" t="s">
        <v>64</v>
      </c>
      <c r="B1206" t="s">
        <v>64</v>
      </c>
      <c r="C1206" s="3" t="s">
        <v>64</v>
      </c>
      <c r="D1206" s="16" t="s">
        <v>64</v>
      </c>
      <c r="E1206" s="16">
        <v>0</v>
      </c>
      <c r="F1206" s="16" t="s">
        <v>64</v>
      </c>
      <c r="G1206" s="16" t="s">
        <v>64</v>
      </c>
    </row>
    <row r="1207" spans="1:7" x14ac:dyDescent="0.2">
      <c r="A1207" t="s">
        <v>64</v>
      </c>
      <c r="B1207" t="s">
        <v>64</v>
      </c>
      <c r="C1207" s="3" t="s">
        <v>64</v>
      </c>
      <c r="D1207" s="16" t="s">
        <v>64</v>
      </c>
      <c r="E1207" s="16">
        <v>0</v>
      </c>
      <c r="F1207" s="16" t="s">
        <v>64</v>
      </c>
      <c r="G1207" s="16" t="s">
        <v>64</v>
      </c>
    </row>
    <row r="1208" spans="1:7" x14ac:dyDescent="0.2">
      <c r="A1208" t="s">
        <v>64</v>
      </c>
      <c r="B1208" t="s">
        <v>64</v>
      </c>
      <c r="C1208" s="3" t="s">
        <v>64</v>
      </c>
      <c r="D1208" s="16" t="s">
        <v>64</v>
      </c>
      <c r="E1208" s="16">
        <v>0</v>
      </c>
      <c r="F1208" s="16" t="s">
        <v>64</v>
      </c>
      <c r="G1208" s="16" t="s">
        <v>64</v>
      </c>
    </row>
    <row r="1209" spans="1:7" x14ac:dyDescent="0.2">
      <c r="A1209" t="s">
        <v>64</v>
      </c>
      <c r="B1209" t="s">
        <v>64</v>
      </c>
      <c r="C1209" s="3" t="s">
        <v>64</v>
      </c>
      <c r="D1209" s="16" t="s">
        <v>64</v>
      </c>
      <c r="E1209" s="16">
        <v>0</v>
      </c>
      <c r="F1209" s="16" t="s">
        <v>64</v>
      </c>
      <c r="G1209" s="16" t="s">
        <v>64</v>
      </c>
    </row>
    <row r="1210" spans="1:7" x14ac:dyDescent="0.2">
      <c r="A1210" t="s">
        <v>64</v>
      </c>
      <c r="B1210" t="s">
        <v>64</v>
      </c>
      <c r="C1210" s="3" t="s">
        <v>64</v>
      </c>
      <c r="D1210" s="16" t="s">
        <v>64</v>
      </c>
      <c r="E1210" s="16">
        <v>0</v>
      </c>
      <c r="F1210" s="16" t="s">
        <v>64</v>
      </c>
      <c r="G1210" s="16" t="s">
        <v>64</v>
      </c>
    </row>
    <row r="1211" spans="1:7" x14ac:dyDescent="0.2">
      <c r="A1211" t="s">
        <v>64</v>
      </c>
      <c r="B1211" t="s">
        <v>64</v>
      </c>
      <c r="C1211" s="3" t="s">
        <v>64</v>
      </c>
      <c r="D1211" s="16" t="s">
        <v>64</v>
      </c>
      <c r="E1211" s="16">
        <v>0</v>
      </c>
      <c r="F1211" s="16" t="s">
        <v>64</v>
      </c>
      <c r="G1211" s="16" t="s">
        <v>64</v>
      </c>
    </row>
    <row r="1212" spans="1:7" x14ac:dyDescent="0.2">
      <c r="A1212" t="s">
        <v>64</v>
      </c>
      <c r="B1212" t="s">
        <v>64</v>
      </c>
      <c r="C1212" s="3" t="s">
        <v>64</v>
      </c>
      <c r="D1212" s="16" t="s">
        <v>64</v>
      </c>
      <c r="E1212" s="16">
        <v>0</v>
      </c>
      <c r="F1212" s="16" t="s">
        <v>64</v>
      </c>
      <c r="G1212" s="16" t="s">
        <v>64</v>
      </c>
    </row>
    <row r="1213" spans="1:7" x14ac:dyDescent="0.2">
      <c r="A1213" t="s">
        <v>64</v>
      </c>
      <c r="B1213" t="s">
        <v>64</v>
      </c>
      <c r="C1213" s="3" t="s">
        <v>64</v>
      </c>
      <c r="D1213" s="16" t="s">
        <v>64</v>
      </c>
      <c r="E1213" s="16">
        <v>0</v>
      </c>
      <c r="F1213" s="16" t="s">
        <v>64</v>
      </c>
      <c r="G1213" s="16" t="s">
        <v>64</v>
      </c>
    </row>
    <row r="1214" spans="1:7" x14ac:dyDescent="0.2">
      <c r="A1214" t="s">
        <v>64</v>
      </c>
      <c r="B1214" t="s">
        <v>64</v>
      </c>
      <c r="C1214" s="3" t="s">
        <v>64</v>
      </c>
      <c r="D1214" s="16" t="s">
        <v>64</v>
      </c>
      <c r="E1214" s="16">
        <v>0</v>
      </c>
      <c r="F1214" s="16" t="s">
        <v>64</v>
      </c>
      <c r="G1214" s="16" t="s">
        <v>64</v>
      </c>
    </row>
    <row r="1215" spans="1:7" x14ac:dyDescent="0.2">
      <c r="A1215" t="s">
        <v>64</v>
      </c>
      <c r="B1215" t="s">
        <v>64</v>
      </c>
      <c r="C1215" s="3" t="s">
        <v>64</v>
      </c>
      <c r="D1215" s="16" t="s">
        <v>64</v>
      </c>
      <c r="E1215" s="16">
        <v>0</v>
      </c>
      <c r="F1215" s="16" t="s">
        <v>64</v>
      </c>
      <c r="G1215" s="16" t="s">
        <v>64</v>
      </c>
    </row>
    <row r="1216" spans="1:7" x14ac:dyDescent="0.2">
      <c r="A1216" t="s">
        <v>64</v>
      </c>
      <c r="B1216" t="s">
        <v>64</v>
      </c>
      <c r="C1216" s="3" t="s">
        <v>64</v>
      </c>
      <c r="D1216" s="16" t="s">
        <v>64</v>
      </c>
      <c r="E1216" s="16">
        <v>0</v>
      </c>
      <c r="F1216" s="16" t="s">
        <v>64</v>
      </c>
      <c r="G1216" s="16" t="s">
        <v>64</v>
      </c>
    </row>
    <row r="1217" spans="1:7" x14ac:dyDescent="0.2">
      <c r="A1217" t="s">
        <v>64</v>
      </c>
      <c r="B1217" t="s">
        <v>64</v>
      </c>
      <c r="C1217" s="3" t="s">
        <v>64</v>
      </c>
      <c r="D1217" s="16" t="s">
        <v>64</v>
      </c>
      <c r="E1217" s="16">
        <v>0</v>
      </c>
      <c r="F1217" s="16" t="s">
        <v>64</v>
      </c>
      <c r="G1217" s="16" t="s">
        <v>64</v>
      </c>
    </row>
    <row r="1218" spans="1:7" x14ac:dyDescent="0.2">
      <c r="A1218" t="s">
        <v>64</v>
      </c>
      <c r="B1218" t="s">
        <v>64</v>
      </c>
      <c r="C1218" s="3" t="s">
        <v>64</v>
      </c>
      <c r="D1218" s="16" t="s">
        <v>64</v>
      </c>
      <c r="E1218" s="16">
        <v>0</v>
      </c>
      <c r="F1218" s="16" t="s">
        <v>64</v>
      </c>
      <c r="G1218" s="16" t="s">
        <v>64</v>
      </c>
    </row>
    <row r="1219" spans="1:7" x14ac:dyDescent="0.2">
      <c r="A1219" t="s">
        <v>64</v>
      </c>
      <c r="B1219" t="s">
        <v>64</v>
      </c>
      <c r="C1219" s="3" t="s">
        <v>64</v>
      </c>
      <c r="D1219" s="16" t="s">
        <v>64</v>
      </c>
      <c r="E1219" s="16">
        <v>0</v>
      </c>
      <c r="F1219" s="16" t="s">
        <v>64</v>
      </c>
      <c r="G1219" s="16" t="s">
        <v>64</v>
      </c>
    </row>
    <row r="1220" spans="1:7" x14ac:dyDescent="0.2">
      <c r="A1220" t="s">
        <v>64</v>
      </c>
      <c r="B1220" t="s">
        <v>64</v>
      </c>
      <c r="C1220" s="3" t="s">
        <v>64</v>
      </c>
      <c r="D1220" s="16" t="s">
        <v>64</v>
      </c>
      <c r="E1220" s="16">
        <v>0</v>
      </c>
      <c r="F1220" s="16" t="s">
        <v>64</v>
      </c>
      <c r="G1220" s="16" t="s">
        <v>64</v>
      </c>
    </row>
    <row r="1221" spans="1:7" x14ac:dyDescent="0.2">
      <c r="A1221" t="s">
        <v>64</v>
      </c>
      <c r="B1221" t="s">
        <v>64</v>
      </c>
      <c r="C1221" s="3" t="s">
        <v>64</v>
      </c>
      <c r="D1221" s="16" t="s">
        <v>64</v>
      </c>
      <c r="E1221" s="16">
        <v>0</v>
      </c>
      <c r="F1221" s="16" t="s">
        <v>64</v>
      </c>
      <c r="G1221" s="16" t="s">
        <v>64</v>
      </c>
    </row>
    <row r="1222" spans="1:7" x14ac:dyDescent="0.2">
      <c r="A1222" t="s">
        <v>64</v>
      </c>
      <c r="B1222" t="s">
        <v>64</v>
      </c>
      <c r="C1222" s="3" t="s">
        <v>64</v>
      </c>
      <c r="D1222" s="16" t="s">
        <v>64</v>
      </c>
      <c r="E1222" s="16">
        <v>0</v>
      </c>
      <c r="F1222" s="16" t="s">
        <v>64</v>
      </c>
      <c r="G1222" s="16" t="s">
        <v>64</v>
      </c>
    </row>
    <row r="1223" spans="1:7" x14ac:dyDescent="0.2">
      <c r="A1223" t="s">
        <v>64</v>
      </c>
      <c r="B1223" t="s">
        <v>64</v>
      </c>
      <c r="C1223" s="3" t="s">
        <v>64</v>
      </c>
      <c r="D1223" s="16" t="s">
        <v>64</v>
      </c>
      <c r="E1223" s="16">
        <v>0</v>
      </c>
      <c r="F1223" s="16" t="s">
        <v>64</v>
      </c>
      <c r="G1223" s="16" t="s">
        <v>64</v>
      </c>
    </row>
    <row r="1224" spans="1:7" x14ac:dyDescent="0.2">
      <c r="A1224" t="s">
        <v>64</v>
      </c>
      <c r="B1224" t="s">
        <v>64</v>
      </c>
      <c r="C1224" s="3" t="s">
        <v>64</v>
      </c>
      <c r="D1224" s="16" t="s">
        <v>64</v>
      </c>
      <c r="E1224" s="16">
        <v>0</v>
      </c>
      <c r="F1224" s="16" t="s">
        <v>64</v>
      </c>
      <c r="G1224" s="16" t="s">
        <v>64</v>
      </c>
    </row>
    <row r="1225" spans="1:7" x14ac:dyDescent="0.2">
      <c r="A1225" t="s">
        <v>64</v>
      </c>
      <c r="B1225" t="s">
        <v>64</v>
      </c>
      <c r="C1225" s="3" t="s">
        <v>64</v>
      </c>
      <c r="D1225" s="16" t="s">
        <v>64</v>
      </c>
      <c r="E1225" s="16">
        <v>0</v>
      </c>
      <c r="F1225" s="16" t="s">
        <v>64</v>
      </c>
      <c r="G1225" s="16" t="s">
        <v>64</v>
      </c>
    </row>
    <row r="1226" spans="1:7" x14ac:dyDescent="0.2">
      <c r="A1226" t="s">
        <v>64</v>
      </c>
      <c r="B1226" t="s">
        <v>64</v>
      </c>
      <c r="C1226" s="3" t="s">
        <v>64</v>
      </c>
      <c r="D1226" s="16" t="s">
        <v>64</v>
      </c>
      <c r="E1226" s="16">
        <v>0</v>
      </c>
      <c r="F1226" s="16" t="s">
        <v>64</v>
      </c>
      <c r="G1226" s="16" t="s">
        <v>64</v>
      </c>
    </row>
    <row r="1227" spans="1:7" x14ac:dyDescent="0.2">
      <c r="A1227" t="s">
        <v>64</v>
      </c>
      <c r="B1227" t="s">
        <v>64</v>
      </c>
      <c r="C1227" s="3" t="s">
        <v>64</v>
      </c>
      <c r="D1227" s="16" t="s">
        <v>64</v>
      </c>
      <c r="E1227" s="16">
        <v>0</v>
      </c>
      <c r="F1227" s="16" t="s">
        <v>64</v>
      </c>
      <c r="G1227" s="16" t="s">
        <v>64</v>
      </c>
    </row>
    <row r="1228" spans="1:7" x14ac:dyDescent="0.2">
      <c r="A1228" t="s">
        <v>64</v>
      </c>
      <c r="B1228" t="s">
        <v>64</v>
      </c>
      <c r="C1228" s="3" t="s">
        <v>64</v>
      </c>
      <c r="D1228" s="16" t="s">
        <v>64</v>
      </c>
      <c r="E1228" s="16">
        <v>0</v>
      </c>
      <c r="F1228" s="16" t="s">
        <v>64</v>
      </c>
      <c r="G1228" s="16" t="s">
        <v>64</v>
      </c>
    </row>
    <row r="1229" spans="1:7" x14ac:dyDescent="0.2">
      <c r="A1229" t="s">
        <v>64</v>
      </c>
      <c r="B1229" t="s">
        <v>64</v>
      </c>
      <c r="C1229" s="3" t="s">
        <v>64</v>
      </c>
      <c r="D1229" s="16" t="s">
        <v>64</v>
      </c>
      <c r="E1229" s="16">
        <v>0</v>
      </c>
      <c r="F1229" s="16" t="s">
        <v>64</v>
      </c>
      <c r="G1229" s="16" t="s">
        <v>64</v>
      </c>
    </row>
    <row r="1230" spans="1:7" x14ac:dyDescent="0.2">
      <c r="A1230" t="s">
        <v>64</v>
      </c>
      <c r="B1230" t="s">
        <v>64</v>
      </c>
      <c r="C1230" s="3" t="s">
        <v>64</v>
      </c>
      <c r="D1230" s="16" t="s">
        <v>64</v>
      </c>
      <c r="E1230" s="16">
        <v>0</v>
      </c>
      <c r="F1230" s="16" t="s">
        <v>64</v>
      </c>
      <c r="G1230" s="16" t="s">
        <v>64</v>
      </c>
    </row>
    <row r="1231" spans="1:7" x14ac:dyDescent="0.2">
      <c r="A1231" t="s">
        <v>64</v>
      </c>
      <c r="B1231" t="s">
        <v>64</v>
      </c>
      <c r="C1231" s="3" t="s">
        <v>64</v>
      </c>
      <c r="D1231" s="16" t="s">
        <v>64</v>
      </c>
      <c r="E1231" s="16">
        <v>0</v>
      </c>
      <c r="F1231" s="16" t="s">
        <v>64</v>
      </c>
      <c r="G1231" s="16" t="s">
        <v>64</v>
      </c>
    </row>
    <row r="1232" spans="1:7" x14ac:dyDescent="0.2">
      <c r="A1232" t="s">
        <v>64</v>
      </c>
      <c r="B1232" t="s">
        <v>64</v>
      </c>
      <c r="C1232" s="3" t="s">
        <v>64</v>
      </c>
      <c r="D1232" s="16" t="s">
        <v>64</v>
      </c>
      <c r="E1232" s="16">
        <v>0</v>
      </c>
      <c r="F1232" s="16" t="s">
        <v>64</v>
      </c>
      <c r="G1232" s="16" t="s">
        <v>64</v>
      </c>
    </row>
    <row r="1233" spans="1:7" x14ac:dyDescent="0.2">
      <c r="A1233" t="s">
        <v>64</v>
      </c>
      <c r="B1233" t="s">
        <v>64</v>
      </c>
      <c r="C1233" s="3" t="s">
        <v>64</v>
      </c>
      <c r="D1233" s="16" t="s">
        <v>64</v>
      </c>
      <c r="E1233" s="16">
        <v>0</v>
      </c>
      <c r="F1233" s="16" t="s">
        <v>64</v>
      </c>
      <c r="G1233" s="16" t="s">
        <v>64</v>
      </c>
    </row>
    <row r="1234" spans="1:7" x14ac:dyDescent="0.2">
      <c r="A1234" t="s">
        <v>64</v>
      </c>
      <c r="B1234" t="s">
        <v>64</v>
      </c>
      <c r="C1234" s="3" t="s">
        <v>64</v>
      </c>
      <c r="D1234" s="16" t="s">
        <v>64</v>
      </c>
      <c r="E1234" s="16">
        <v>0</v>
      </c>
      <c r="F1234" s="16" t="s">
        <v>64</v>
      </c>
      <c r="G1234" s="16" t="s">
        <v>64</v>
      </c>
    </row>
    <row r="1235" spans="1:7" x14ac:dyDescent="0.2">
      <c r="A1235" t="s">
        <v>64</v>
      </c>
      <c r="B1235" t="s">
        <v>64</v>
      </c>
      <c r="C1235" s="3" t="s">
        <v>64</v>
      </c>
      <c r="D1235" s="16" t="s">
        <v>64</v>
      </c>
      <c r="E1235" s="16">
        <v>0</v>
      </c>
      <c r="F1235" s="16" t="s">
        <v>64</v>
      </c>
      <c r="G1235" s="16" t="s">
        <v>64</v>
      </c>
    </row>
    <row r="1236" spans="1:7" x14ac:dyDescent="0.2">
      <c r="A1236" t="s">
        <v>64</v>
      </c>
      <c r="B1236" t="s">
        <v>64</v>
      </c>
      <c r="C1236" s="3" t="s">
        <v>64</v>
      </c>
      <c r="D1236" s="16" t="s">
        <v>64</v>
      </c>
      <c r="E1236" s="16">
        <v>0</v>
      </c>
      <c r="F1236" s="16" t="s">
        <v>64</v>
      </c>
      <c r="G1236" s="16" t="s">
        <v>64</v>
      </c>
    </row>
    <row r="1237" spans="1:7" x14ac:dyDescent="0.2">
      <c r="A1237" t="s">
        <v>64</v>
      </c>
      <c r="B1237" t="s">
        <v>64</v>
      </c>
      <c r="C1237" s="3" t="s">
        <v>64</v>
      </c>
      <c r="D1237" s="16" t="s">
        <v>64</v>
      </c>
      <c r="E1237" s="16">
        <v>0</v>
      </c>
      <c r="F1237" s="16" t="s">
        <v>64</v>
      </c>
      <c r="G1237" s="16" t="s">
        <v>64</v>
      </c>
    </row>
    <row r="1238" spans="1:7" x14ac:dyDescent="0.2">
      <c r="A1238" t="s">
        <v>64</v>
      </c>
      <c r="B1238" t="s">
        <v>64</v>
      </c>
      <c r="C1238" s="3" t="s">
        <v>64</v>
      </c>
      <c r="D1238" s="16" t="s">
        <v>64</v>
      </c>
      <c r="E1238" s="16">
        <v>0</v>
      </c>
      <c r="F1238" s="16" t="s">
        <v>64</v>
      </c>
      <c r="G1238" s="16" t="s">
        <v>64</v>
      </c>
    </row>
    <row r="1239" spans="1:7" x14ac:dyDescent="0.2">
      <c r="A1239" t="s">
        <v>64</v>
      </c>
      <c r="B1239" t="s">
        <v>64</v>
      </c>
      <c r="C1239" s="3" t="s">
        <v>64</v>
      </c>
      <c r="D1239" s="16" t="s">
        <v>64</v>
      </c>
      <c r="E1239" s="16">
        <v>0</v>
      </c>
      <c r="F1239" s="16" t="s">
        <v>64</v>
      </c>
      <c r="G1239" s="16" t="s">
        <v>64</v>
      </c>
    </row>
    <row r="1240" spans="1:7" x14ac:dyDescent="0.2">
      <c r="A1240" t="s">
        <v>64</v>
      </c>
      <c r="B1240" t="s">
        <v>64</v>
      </c>
      <c r="C1240" s="3" t="s">
        <v>64</v>
      </c>
      <c r="D1240" s="16" t="s">
        <v>64</v>
      </c>
      <c r="E1240" s="16">
        <v>0</v>
      </c>
      <c r="F1240" s="16" t="s">
        <v>64</v>
      </c>
      <c r="G1240" s="16" t="s">
        <v>64</v>
      </c>
    </row>
    <row r="1241" spans="1:7" x14ac:dyDescent="0.2">
      <c r="A1241" t="s">
        <v>64</v>
      </c>
      <c r="B1241" t="s">
        <v>64</v>
      </c>
      <c r="C1241" s="3" t="s">
        <v>64</v>
      </c>
      <c r="D1241" s="16" t="s">
        <v>64</v>
      </c>
      <c r="E1241" s="16">
        <v>0</v>
      </c>
      <c r="F1241" s="16" t="s">
        <v>64</v>
      </c>
      <c r="G1241" s="16" t="s">
        <v>64</v>
      </c>
    </row>
    <row r="1242" spans="1:7" x14ac:dyDescent="0.2">
      <c r="A1242" t="s">
        <v>64</v>
      </c>
      <c r="B1242" t="s">
        <v>64</v>
      </c>
      <c r="C1242" s="3" t="s">
        <v>64</v>
      </c>
      <c r="D1242" s="16" t="s">
        <v>64</v>
      </c>
      <c r="E1242" s="16">
        <v>0</v>
      </c>
      <c r="F1242" s="16" t="s">
        <v>64</v>
      </c>
      <c r="G1242" s="16" t="s">
        <v>64</v>
      </c>
    </row>
    <row r="1243" spans="1:7" x14ac:dyDescent="0.2">
      <c r="A1243" t="s">
        <v>64</v>
      </c>
      <c r="B1243" t="s">
        <v>64</v>
      </c>
      <c r="C1243" s="3" t="s">
        <v>64</v>
      </c>
      <c r="D1243" s="16" t="s">
        <v>64</v>
      </c>
      <c r="E1243" s="16">
        <v>0</v>
      </c>
      <c r="F1243" s="16" t="s">
        <v>64</v>
      </c>
      <c r="G1243" s="16" t="s">
        <v>64</v>
      </c>
    </row>
    <row r="1244" spans="1:7" x14ac:dyDescent="0.2">
      <c r="A1244" t="s">
        <v>64</v>
      </c>
      <c r="B1244" t="s">
        <v>64</v>
      </c>
      <c r="C1244" s="3" t="s">
        <v>64</v>
      </c>
      <c r="D1244" s="16" t="s">
        <v>64</v>
      </c>
      <c r="E1244" s="16">
        <v>0</v>
      </c>
      <c r="F1244" s="16" t="s">
        <v>64</v>
      </c>
      <c r="G1244" s="16" t="s">
        <v>64</v>
      </c>
    </row>
    <row r="1245" spans="1:7" x14ac:dyDescent="0.2">
      <c r="A1245" t="s">
        <v>64</v>
      </c>
      <c r="B1245" t="s">
        <v>64</v>
      </c>
      <c r="C1245" s="3" t="s">
        <v>64</v>
      </c>
      <c r="D1245" s="16" t="s">
        <v>64</v>
      </c>
      <c r="E1245" s="16">
        <v>0</v>
      </c>
      <c r="F1245" s="16" t="s">
        <v>64</v>
      </c>
      <c r="G1245" s="16" t="s">
        <v>64</v>
      </c>
    </row>
    <row r="1246" spans="1:7" x14ac:dyDescent="0.2">
      <c r="A1246" t="s">
        <v>64</v>
      </c>
      <c r="B1246" t="s">
        <v>64</v>
      </c>
      <c r="C1246" s="3" t="s">
        <v>64</v>
      </c>
      <c r="D1246" s="16" t="s">
        <v>64</v>
      </c>
      <c r="E1246" s="16">
        <v>0</v>
      </c>
      <c r="F1246" s="16" t="s">
        <v>64</v>
      </c>
      <c r="G1246" s="16" t="s">
        <v>64</v>
      </c>
    </row>
    <row r="1247" spans="1:7" x14ac:dyDescent="0.2">
      <c r="A1247" t="s">
        <v>64</v>
      </c>
      <c r="B1247" t="s">
        <v>64</v>
      </c>
      <c r="C1247" s="3" t="s">
        <v>64</v>
      </c>
      <c r="D1247" s="16" t="s">
        <v>64</v>
      </c>
      <c r="E1247" s="16">
        <v>0</v>
      </c>
      <c r="F1247" s="16" t="s">
        <v>64</v>
      </c>
      <c r="G1247" s="16" t="s">
        <v>64</v>
      </c>
    </row>
    <row r="1248" spans="1:7" x14ac:dyDescent="0.2">
      <c r="A1248" t="s">
        <v>64</v>
      </c>
      <c r="B1248" t="s">
        <v>64</v>
      </c>
      <c r="C1248" s="3" t="s">
        <v>64</v>
      </c>
      <c r="D1248" s="16" t="s">
        <v>64</v>
      </c>
      <c r="E1248" s="16">
        <v>0</v>
      </c>
      <c r="F1248" s="16" t="s">
        <v>64</v>
      </c>
      <c r="G1248" s="16" t="s">
        <v>64</v>
      </c>
    </row>
    <row r="1249" spans="1:7" x14ac:dyDescent="0.2">
      <c r="A1249" t="s">
        <v>64</v>
      </c>
      <c r="B1249" t="s">
        <v>64</v>
      </c>
      <c r="C1249" s="3" t="s">
        <v>64</v>
      </c>
      <c r="D1249" s="16" t="s">
        <v>64</v>
      </c>
      <c r="E1249" s="16">
        <v>0</v>
      </c>
      <c r="F1249" s="16" t="s">
        <v>64</v>
      </c>
      <c r="G1249" s="16" t="s">
        <v>64</v>
      </c>
    </row>
    <row r="1250" spans="1:7" x14ac:dyDescent="0.2">
      <c r="A1250" t="s">
        <v>64</v>
      </c>
      <c r="B1250" t="s">
        <v>64</v>
      </c>
      <c r="C1250" s="3" t="s">
        <v>64</v>
      </c>
      <c r="D1250" s="16" t="s">
        <v>64</v>
      </c>
      <c r="E1250" s="16">
        <v>0</v>
      </c>
      <c r="F1250" s="16" t="s">
        <v>64</v>
      </c>
      <c r="G1250" s="16" t="s">
        <v>64</v>
      </c>
    </row>
    <row r="1251" spans="1:7" x14ac:dyDescent="0.2">
      <c r="A1251" t="s">
        <v>64</v>
      </c>
      <c r="B1251" t="s">
        <v>64</v>
      </c>
      <c r="C1251" s="3" t="s">
        <v>64</v>
      </c>
      <c r="D1251" s="16" t="s">
        <v>64</v>
      </c>
      <c r="E1251" s="16">
        <v>0</v>
      </c>
      <c r="F1251" s="16" t="s">
        <v>64</v>
      </c>
      <c r="G1251" s="16" t="s">
        <v>64</v>
      </c>
    </row>
    <row r="1252" spans="1:7" x14ac:dyDescent="0.2">
      <c r="A1252" t="s">
        <v>64</v>
      </c>
      <c r="B1252" t="s">
        <v>64</v>
      </c>
      <c r="C1252" s="3" t="s">
        <v>64</v>
      </c>
      <c r="D1252" s="16" t="s">
        <v>64</v>
      </c>
      <c r="E1252" s="16">
        <v>0</v>
      </c>
      <c r="F1252" s="16" t="s">
        <v>64</v>
      </c>
      <c r="G1252" s="16" t="s">
        <v>64</v>
      </c>
    </row>
    <row r="1253" spans="1:7" x14ac:dyDescent="0.2">
      <c r="A1253" t="s">
        <v>64</v>
      </c>
      <c r="B1253" t="s">
        <v>64</v>
      </c>
      <c r="C1253" s="3" t="s">
        <v>64</v>
      </c>
      <c r="D1253" s="16" t="s">
        <v>64</v>
      </c>
      <c r="E1253" s="16">
        <v>0</v>
      </c>
      <c r="F1253" s="16" t="s">
        <v>64</v>
      </c>
      <c r="G1253" s="16" t="s">
        <v>64</v>
      </c>
    </row>
    <row r="1254" spans="1:7" x14ac:dyDescent="0.2">
      <c r="A1254" t="s">
        <v>64</v>
      </c>
      <c r="B1254" t="s">
        <v>64</v>
      </c>
      <c r="C1254" s="3" t="s">
        <v>64</v>
      </c>
      <c r="D1254" s="16" t="s">
        <v>64</v>
      </c>
      <c r="E1254" s="16">
        <v>0</v>
      </c>
      <c r="F1254" s="16" t="s">
        <v>64</v>
      </c>
      <c r="G1254" s="16" t="s">
        <v>64</v>
      </c>
    </row>
    <row r="1255" spans="1:7" x14ac:dyDescent="0.2">
      <c r="A1255" t="s">
        <v>64</v>
      </c>
      <c r="B1255" t="s">
        <v>64</v>
      </c>
      <c r="C1255" s="3" t="s">
        <v>64</v>
      </c>
      <c r="D1255" s="16" t="s">
        <v>64</v>
      </c>
      <c r="E1255" s="16">
        <v>0</v>
      </c>
      <c r="F1255" s="16" t="s">
        <v>64</v>
      </c>
      <c r="G1255" s="16" t="s">
        <v>64</v>
      </c>
    </row>
    <row r="1256" spans="1:7" x14ac:dyDescent="0.2">
      <c r="A1256" t="s">
        <v>64</v>
      </c>
      <c r="B1256" t="s">
        <v>64</v>
      </c>
      <c r="C1256" s="3" t="s">
        <v>64</v>
      </c>
      <c r="D1256" s="16" t="s">
        <v>64</v>
      </c>
      <c r="E1256" s="16">
        <v>0</v>
      </c>
      <c r="F1256" s="16" t="s">
        <v>64</v>
      </c>
      <c r="G1256" s="16" t="s">
        <v>64</v>
      </c>
    </row>
    <row r="1257" spans="1:7" x14ac:dyDescent="0.2">
      <c r="A1257" t="s">
        <v>64</v>
      </c>
      <c r="B1257" t="s">
        <v>64</v>
      </c>
      <c r="C1257" s="3" t="s">
        <v>64</v>
      </c>
      <c r="D1257" s="16" t="s">
        <v>64</v>
      </c>
      <c r="E1257" s="16">
        <v>0</v>
      </c>
      <c r="F1257" s="16" t="s">
        <v>64</v>
      </c>
      <c r="G1257" s="16" t="s">
        <v>64</v>
      </c>
    </row>
    <row r="1258" spans="1:7" x14ac:dyDescent="0.2">
      <c r="A1258" t="s">
        <v>64</v>
      </c>
      <c r="B1258" t="s">
        <v>64</v>
      </c>
      <c r="C1258" s="3" t="s">
        <v>64</v>
      </c>
      <c r="D1258" s="16" t="s">
        <v>64</v>
      </c>
      <c r="E1258" s="16">
        <v>0</v>
      </c>
      <c r="F1258" s="16" t="s">
        <v>64</v>
      </c>
      <c r="G1258" s="16" t="s">
        <v>64</v>
      </c>
    </row>
    <row r="1259" spans="1:7" x14ac:dyDescent="0.2">
      <c r="A1259" t="s">
        <v>64</v>
      </c>
      <c r="B1259" t="s">
        <v>64</v>
      </c>
      <c r="C1259" s="3" t="s">
        <v>64</v>
      </c>
      <c r="D1259" s="16" t="s">
        <v>64</v>
      </c>
      <c r="E1259" s="16">
        <v>0</v>
      </c>
      <c r="F1259" s="16" t="s">
        <v>64</v>
      </c>
      <c r="G1259" s="16" t="s">
        <v>64</v>
      </c>
    </row>
    <row r="1260" spans="1:7" x14ac:dyDescent="0.2">
      <c r="A1260" t="s">
        <v>64</v>
      </c>
      <c r="B1260" t="s">
        <v>64</v>
      </c>
      <c r="C1260" s="3" t="s">
        <v>64</v>
      </c>
      <c r="D1260" s="16" t="s">
        <v>64</v>
      </c>
      <c r="E1260" s="16">
        <v>0</v>
      </c>
      <c r="F1260" s="16" t="s">
        <v>64</v>
      </c>
      <c r="G1260" s="16" t="s">
        <v>64</v>
      </c>
    </row>
    <row r="1261" spans="1:7" x14ac:dyDescent="0.2">
      <c r="A1261" t="s">
        <v>64</v>
      </c>
      <c r="B1261" t="s">
        <v>64</v>
      </c>
      <c r="C1261" s="3" t="s">
        <v>64</v>
      </c>
      <c r="D1261" s="16" t="s">
        <v>64</v>
      </c>
      <c r="E1261" s="16">
        <v>0</v>
      </c>
      <c r="F1261" s="16" t="s">
        <v>64</v>
      </c>
      <c r="G1261" s="16" t="s">
        <v>64</v>
      </c>
    </row>
    <row r="1262" spans="1:7" x14ac:dyDescent="0.2">
      <c r="A1262" t="s">
        <v>64</v>
      </c>
      <c r="B1262" t="s">
        <v>64</v>
      </c>
      <c r="C1262" s="3" t="s">
        <v>64</v>
      </c>
      <c r="D1262" s="16" t="s">
        <v>64</v>
      </c>
      <c r="E1262" s="16">
        <v>0</v>
      </c>
      <c r="F1262" s="16" t="s">
        <v>64</v>
      </c>
      <c r="G1262" s="16" t="s">
        <v>64</v>
      </c>
    </row>
    <row r="1263" spans="1:7" x14ac:dyDescent="0.2">
      <c r="A1263" t="s">
        <v>64</v>
      </c>
      <c r="B1263" t="s">
        <v>64</v>
      </c>
      <c r="C1263" s="3" t="s">
        <v>64</v>
      </c>
      <c r="D1263" s="16" t="s">
        <v>64</v>
      </c>
      <c r="E1263" s="16">
        <v>0</v>
      </c>
      <c r="F1263" s="16" t="s">
        <v>64</v>
      </c>
      <c r="G1263" s="16" t="s">
        <v>64</v>
      </c>
    </row>
    <row r="1264" spans="1:7" x14ac:dyDescent="0.2">
      <c r="A1264" t="s">
        <v>64</v>
      </c>
      <c r="B1264" t="s">
        <v>64</v>
      </c>
      <c r="C1264" s="3" t="s">
        <v>64</v>
      </c>
      <c r="D1264" s="16" t="s">
        <v>64</v>
      </c>
      <c r="E1264" s="16">
        <v>0</v>
      </c>
      <c r="F1264" s="16" t="s">
        <v>64</v>
      </c>
      <c r="G1264" s="16" t="s">
        <v>64</v>
      </c>
    </row>
    <row r="1265" spans="1:7" x14ac:dyDescent="0.2">
      <c r="A1265" t="s">
        <v>64</v>
      </c>
      <c r="B1265" t="s">
        <v>64</v>
      </c>
      <c r="C1265" s="3" t="s">
        <v>64</v>
      </c>
      <c r="D1265" s="16" t="s">
        <v>64</v>
      </c>
      <c r="E1265" s="16">
        <v>0</v>
      </c>
      <c r="F1265" s="16" t="s">
        <v>64</v>
      </c>
      <c r="G1265" s="16" t="s">
        <v>64</v>
      </c>
    </row>
    <row r="1266" spans="1:7" x14ac:dyDescent="0.2">
      <c r="A1266" t="s">
        <v>64</v>
      </c>
      <c r="B1266" t="s">
        <v>64</v>
      </c>
      <c r="C1266" s="3" t="s">
        <v>64</v>
      </c>
      <c r="D1266" s="16" t="s">
        <v>64</v>
      </c>
      <c r="E1266" s="16">
        <v>0</v>
      </c>
      <c r="F1266" s="16" t="s">
        <v>64</v>
      </c>
      <c r="G1266" s="16" t="s">
        <v>64</v>
      </c>
    </row>
    <row r="1267" spans="1:7" x14ac:dyDescent="0.2">
      <c r="A1267" t="s">
        <v>64</v>
      </c>
      <c r="B1267" t="s">
        <v>64</v>
      </c>
      <c r="C1267" s="3" t="s">
        <v>64</v>
      </c>
      <c r="D1267" s="16" t="s">
        <v>64</v>
      </c>
      <c r="E1267" s="16">
        <v>0</v>
      </c>
      <c r="F1267" s="16" t="s">
        <v>64</v>
      </c>
      <c r="G1267" s="16" t="s">
        <v>64</v>
      </c>
    </row>
    <row r="1268" spans="1:7" x14ac:dyDescent="0.2">
      <c r="A1268" t="s">
        <v>64</v>
      </c>
      <c r="B1268" t="s">
        <v>64</v>
      </c>
      <c r="C1268" s="3" t="s">
        <v>64</v>
      </c>
      <c r="D1268" s="16" t="s">
        <v>64</v>
      </c>
      <c r="E1268" s="16">
        <v>0</v>
      </c>
      <c r="F1268" s="16" t="s">
        <v>64</v>
      </c>
      <c r="G1268" s="16" t="s">
        <v>64</v>
      </c>
    </row>
    <row r="1269" spans="1:7" x14ac:dyDescent="0.2">
      <c r="A1269" t="s">
        <v>64</v>
      </c>
      <c r="B1269" t="s">
        <v>64</v>
      </c>
      <c r="C1269" s="3" t="s">
        <v>64</v>
      </c>
      <c r="D1269" s="16" t="s">
        <v>64</v>
      </c>
      <c r="E1269" s="16">
        <v>0</v>
      </c>
      <c r="F1269" s="16" t="s">
        <v>64</v>
      </c>
      <c r="G1269" s="16" t="s">
        <v>64</v>
      </c>
    </row>
    <row r="1270" spans="1:7" x14ac:dyDescent="0.2">
      <c r="A1270" t="s">
        <v>64</v>
      </c>
      <c r="B1270" t="s">
        <v>64</v>
      </c>
      <c r="C1270" s="3" t="s">
        <v>64</v>
      </c>
      <c r="D1270" s="16" t="s">
        <v>64</v>
      </c>
      <c r="E1270" s="16">
        <v>0</v>
      </c>
      <c r="F1270" s="16" t="s">
        <v>64</v>
      </c>
      <c r="G1270" s="16" t="s">
        <v>64</v>
      </c>
    </row>
    <row r="1271" spans="1:7" x14ac:dyDescent="0.2">
      <c r="A1271" t="s">
        <v>64</v>
      </c>
      <c r="B1271" t="s">
        <v>64</v>
      </c>
      <c r="C1271" s="3" t="s">
        <v>64</v>
      </c>
      <c r="D1271" s="16" t="s">
        <v>64</v>
      </c>
      <c r="E1271" s="16">
        <v>0</v>
      </c>
      <c r="F1271" s="16" t="s">
        <v>64</v>
      </c>
      <c r="G1271" s="16" t="s">
        <v>64</v>
      </c>
    </row>
    <row r="1272" spans="1:7" x14ac:dyDescent="0.2">
      <c r="A1272" t="s">
        <v>64</v>
      </c>
      <c r="B1272" t="s">
        <v>64</v>
      </c>
      <c r="C1272" s="3" t="s">
        <v>64</v>
      </c>
      <c r="D1272" s="16" t="s">
        <v>64</v>
      </c>
      <c r="E1272" s="16">
        <v>0</v>
      </c>
      <c r="F1272" s="16" t="s">
        <v>64</v>
      </c>
      <c r="G1272" s="16" t="s">
        <v>64</v>
      </c>
    </row>
    <row r="1273" spans="1:7" x14ac:dyDescent="0.2">
      <c r="A1273" t="s">
        <v>64</v>
      </c>
      <c r="B1273" t="s">
        <v>64</v>
      </c>
      <c r="C1273" s="3" t="s">
        <v>64</v>
      </c>
      <c r="D1273" s="16" t="s">
        <v>64</v>
      </c>
      <c r="E1273" s="16">
        <v>0</v>
      </c>
      <c r="F1273" s="16" t="s">
        <v>64</v>
      </c>
      <c r="G1273" s="16" t="s">
        <v>64</v>
      </c>
    </row>
    <row r="1274" spans="1:7" x14ac:dyDescent="0.2">
      <c r="A1274" t="s">
        <v>64</v>
      </c>
      <c r="B1274" t="s">
        <v>64</v>
      </c>
      <c r="C1274" s="3" t="s">
        <v>64</v>
      </c>
      <c r="D1274" s="16" t="s">
        <v>64</v>
      </c>
      <c r="E1274" s="16">
        <v>0</v>
      </c>
      <c r="F1274" s="16" t="s">
        <v>64</v>
      </c>
      <c r="G1274" s="16" t="s">
        <v>64</v>
      </c>
    </row>
    <row r="1275" spans="1:7" x14ac:dyDescent="0.2">
      <c r="A1275" t="s">
        <v>64</v>
      </c>
      <c r="B1275" t="s">
        <v>64</v>
      </c>
      <c r="C1275" s="3" t="s">
        <v>64</v>
      </c>
      <c r="D1275" s="16" t="s">
        <v>64</v>
      </c>
      <c r="E1275" s="16">
        <v>0</v>
      </c>
      <c r="F1275" s="16" t="s">
        <v>64</v>
      </c>
      <c r="G1275" s="16" t="s">
        <v>64</v>
      </c>
    </row>
    <row r="1276" spans="1:7" x14ac:dyDescent="0.2">
      <c r="A1276" t="s">
        <v>64</v>
      </c>
      <c r="B1276" t="s">
        <v>64</v>
      </c>
      <c r="C1276" s="3" t="s">
        <v>64</v>
      </c>
      <c r="D1276" s="16" t="s">
        <v>64</v>
      </c>
      <c r="E1276" s="16">
        <v>0</v>
      </c>
      <c r="F1276" s="16" t="s">
        <v>64</v>
      </c>
      <c r="G1276" s="16" t="s">
        <v>64</v>
      </c>
    </row>
    <row r="1277" spans="1:7" x14ac:dyDescent="0.2">
      <c r="A1277" t="s">
        <v>64</v>
      </c>
      <c r="B1277" t="s">
        <v>64</v>
      </c>
      <c r="C1277" s="3" t="s">
        <v>64</v>
      </c>
      <c r="D1277" s="16" t="s">
        <v>64</v>
      </c>
      <c r="E1277" s="16">
        <v>0</v>
      </c>
      <c r="F1277" s="16" t="s">
        <v>64</v>
      </c>
      <c r="G1277" s="16" t="s">
        <v>64</v>
      </c>
    </row>
    <row r="1278" spans="1:7" x14ac:dyDescent="0.2">
      <c r="A1278" t="s">
        <v>64</v>
      </c>
      <c r="B1278" t="s">
        <v>64</v>
      </c>
      <c r="C1278" s="3" t="s">
        <v>64</v>
      </c>
      <c r="D1278" s="16" t="s">
        <v>64</v>
      </c>
      <c r="E1278" s="16">
        <v>0</v>
      </c>
      <c r="F1278" s="16" t="s">
        <v>64</v>
      </c>
      <c r="G1278" s="16" t="s">
        <v>64</v>
      </c>
    </row>
    <row r="1279" spans="1:7" x14ac:dyDescent="0.2">
      <c r="A1279" t="s">
        <v>64</v>
      </c>
      <c r="B1279" t="s">
        <v>64</v>
      </c>
      <c r="C1279" s="3" t="s">
        <v>64</v>
      </c>
      <c r="D1279" s="16" t="s">
        <v>64</v>
      </c>
      <c r="E1279" s="16">
        <v>0</v>
      </c>
      <c r="F1279" s="16" t="s">
        <v>64</v>
      </c>
      <c r="G1279" s="16" t="s">
        <v>64</v>
      </c>
    </row>
    <row r="1280" spans="1:7" x14ac:dyDescent="0.2">
      <c r="A1280" t="s">
        <v>64</v>
      </c>
      <c r="B1280" t="s">
        <v>64</v>
      </c>
      <c r="C1280" s="3" t="s">
        <v>64</v>
      </c>
      <c r="D1280" s="16" t="s">
        <v>64</v>
      </c>
      <c r="E1280" s="16">
        <v>0</v>
      </c>
      <c r="F1280" s="16" t="s">
        <v>64</v>
      </c>
      <c r="G1280" s="16" t="s">
        <v>64</v>
      </c>
    </row>
    <row r="1281" spans="1:7" x14ac:dyDescent="0.2">
      <c r="A1281" t="s">
        <v>64</v>
      </c>
      <c r="B1281" t="s">
        <v>64</v>
      </c>
      <c r="C1281" s="3" t="s">
        <v>64</v>
      </c>
      <c r="D1281" s="16" t="s">
        <v>64</v>
      </c>
      <c r="E1281" s="16">
        <v>0</v>
      </c>
      <c r="F1281" s="16" t="s">
        <v>64</v>
      </c>
      <c r="G1281" s="16" t="s">
        <v>64</v>
      </c>
    </row>
    <row r="1282" spans="1:7" x14ac:dyDescent="0.2">
      <c r="A1282" t="s">
        <v>64</v>
      </c>
      <c r="B1282" t="s">
        <v>64</v>
      </c>
      <c r="C1282" s="3" t="s">
        <v>64</v>
      </c>
      <c r="D1282" s="16" t="s">
        <v>64</v>
      </c>
      <c r="E1282" s="16">
        <v>0</v>
      </c>
      <c r="F1282" s="16" t="s">
        <v>64</v>
      </c>
      <c r="G1282" s="16" t="s">
        <v>64</v>
      </c>
    </row>
    <row r="1283" spans="1:7" x14ac:dyDescent="0.2">
      <c r="A1283" t="s">
        <v>64</v>
      </c>
      <c r="B1283" t="s">
        <v>64</v>
      </c>
      <c r="C1283" s="3" t="s">
        <v>64</v>
      </c>
      <c r="D1283" s="16" t="s">
        <v>64</v>
      </c>
      <c r="E1283" s="16">
        <v>0</v>
      </c>
      <c r="F1283" s="16" t="s">
        <v>64</v>
      </c>
      <c r="G1283" s="16" t="s">
        <v>64</v>
      </c>
    </row>
    <row r="1284" spans="1:7" x14ac:dyDescent="0.2">
      <c r="A1284" t="s">
        <v>64</v>
      </c>
      <c r="B1284" t="s">
        <v>64</v>
      </c>
      <c r="C1284" s="3" t="s">
        <v>64</v>
      </c>
      <c r="D1284" s="16" t="s">
        <v>64</v>
      </c>
      <c r="E1284" s="16">
        <v>0</v>
      </c>
      <c r="F1284" s="16" t="s">
        <v>64</v>
      </c>
      <c r="G1284" s="16" t="s">
        <v>64</v>
      </c>
    </row>
    <row r="1285" spans="1:7" x14ac:dyDescent="0.2">
      <c r="A1285" t="s">
        <v>64</v>
      </c>
      <c r="B1285" t="s">
        <v>64</v>
      </c>
      <c r="C1285" s="3" t="s">
        <v>64</v>
      </c>
      <c r="D1285" s="16" t="s">
        <v>64</v>
      </c>
      <c r="E1285" s="16">
        <v>0</v>
      </c>
      <c r="F1285" s="16" t="s">
        <v>64</v>
      </c>
      <c r="G1285" s="16" t="s">
        <v>64</v>
      </c>
    </row>
    <row r="1286" spans="1:7" x14ac:dyDescent="0.2">
      <c r="A1286" t="s">
        <v>64</v>
      </c>
      <c r="B1286" t="s">
        <v>64</v>
      </c>
      <c r="C1286" s="3" t="s">
        <v>64</v>
      </c>
      <c r="D1286" s="16" t="s">
        <v>64</v>
      </c>
      <c r="E1286" s="16">
        <v>0</v>
      </c>
      <c r="F1286" s="16" t="s">
        <v>64</v>
      </c>
      <c r="G1286" s="16" t="s">
        <v>64</v>
      </c>
    </row>
    <row r="1287" spans="1:7" x14ac:dyDescent="0.2">
      <c r="A1287" t="s">
        <v>64</v>
      </c>
      <c r="B1287" t="s">
        <v>64</v>
      </c>
      <c r="C1287" s="3" t="s">
        <v>64</v>
      </c>
      <c r="D1287" s="16" t="s">
        <v>64</v>
      </c>
      <c r="E1287" s="16">
        <v>0</v>
      </c>
      <c r="F1287" s="16" t="s">
        <v>64</v>
      </c>
      <c r="G1287" s="16" t="s">
        <v>64</v>
      </c>
    </row>
    <row r="1288" spans="1:7" x14ac:dyDescent="0.2">
      <c r="A1288" t="s">
        <v>64</v>
      </c>
      <c r="B1288" t="s">
        <v>64</v>
      </c>
      <c r="C1288" s="3" t="s">
        <v>64</v>
      </c>
      <c r="D1288" s="16" t="s">
        <v>64</v>
      </c>
      <c r="E1288" s="16">
        <v>0</v>
      </c>
      <c r="F1288" s="16" t="s">
        <v>64</v>
      </c>
      <c r="G1288" s="16" t="s">
        <v>64</v>
      </c>
    </row>
    <row r="1289" spans="1:7" x14ac:dyDescent="0.2">
      <c r="A1289" t="s">
        <v>64</v>
      </c>
      <c r="B1289" t="s">
        <v>64</v>
      </c>
      <c r="C1289" s="3" t="s">
        <v>64</v>
      </c>
      <c r="D1289" s="16" t="s">
        <v>64</v>
      </c>
      <c r="E1289" s="16">
        <v>0</v>
      </c>
      <c r="F1289" s="16" t="s">
        <v>64</v>
      </c>
      <c r="G1289" s="16" t="s">
        <v>64</v>
      </c>
    </row>
    <row r="1290" spans="1:7" x14ac:dyDescent="0.2">
      <c r="A1290" t="s">
        <v>64</v>
      </c>
      <c r="B1290" t="s">
        <v>64</v>
      </c>
      <c r="C1290" s="3" t="s">
        <v>64</v>
      </c>
      <c r="D1290" s="16" t="s">
        <v>64</v>
      </c>
      <c r="E1290" s="16">
        <v>0</v>
      </c>
      <c r="F1290" s="16" t="s">
        <v>64</v>
      </c>
      <c r="G1290" s="16" t="s">
        <v>64</v>
      </c>
    </row>
    <row r="1291" spans="1:7" x14ac:dyDescent="0.2">
      <c r="A1291" t="s">
        <v>64</v>
      </c>
      <c r="B1291" t="s">
        <v>64</v>
      </c>
      <c r="C1291" s="3" t="s">
        <v>64</v>
      </c>
      <c r="D1291" s="16" t="s">
        <v>64</v>
      </c>
      <c r="E1291" s="16">
        <v>0</v>
      </c>
      <c r="F1291" s="16" t="s">
        <v>64</v>
      </c>
      <c r="G1291" s="16" t="s">
        <v>64</v>
      </c>
    </row>
    <row r="1292" spans="1:7" x14ac:dyDescent="0.2">
      <c r="A1292" t="s">
        <v>64</v>
      </c>
      <c r="B1292" t="s">
        <v>64</v>
      </c>
      <c r="C1292" s="3" t="s">
        <v>64</v>
      </c>
      <c r="D1292" s="16" t="s">
        <v>64</v>
      </c>
      <c r="E1292" s="16">
        <v>0</v>
      </c>
      <c r="F1292" s="16" t="s">
        <v>64</v>
      </c>
      <c r="G1292" s="16" t="s">
        <v>64</v>
      </c>
    </row>
    <row r="1293" spans="1:7" x14ac:dyDescent="0.2">
      <c r="A1293" t="s">
        <v>64</v>
      </c>
      <c r="B1293" t="s">
        <v>64</v>
      </c>
      <c r="C1293" s="3" t="s">
        <v>64</v>
      </c>
      <c r="D1293" s="16" t="s">
        <v>64</v>
      </c>
      <c r="E1293" s="16">
        <v>0</v>
      </c>
      <c r="F1293" s="16" t="s">
        <v>64</v>
      </c>
      <c r="G1293" s="16" t="s">
        <v>64</v>
      </c>
    </row>
    <row r="1294" spans="1:7" x14ac:dyDescent="0.2">
      <c r="A1294" t="s">
        <v>64</v>
      </c>
      <c r="B1294" t="s">
        <v>64</v>
      </c>
      <c r="C1294" s="3" t="s">
        <v>64</v>
      </c>
      <c r="D1294" s="16" t="s">
        <v>64</v>
      </c>
      <c r="E1294" s="16">
        <v>0</v>
      </c>
      <c r="F1294" s="16" t="s">
        <v>64</v>
      </c>
      <c r="G1294" s="16" t="s">
        <v>64</v>
      </c>
    </row>
    <row r="1295" spans="1:7" x14ac:dyDescent="0.2">
      <c r="A1295" t="s">
        <v>64</v>
      </c>
      <c r="B1295" t="s">
        <v>64</v>
      </c>
      <c r="C1295" s="3" t="s">
        <v>64</v>
      </c>
      <c r="D1295" s="16" t="s">
        <v>64</v>
      </c>
      <c r="E1295" s="16">
        <v>0</v>
      </c>
      <c r="F1295" s="16" t="s">
        <v>64</v>
      </c>
      <c r="G1295" s="16" t="s">
        <v>64</v>
      </c>
    </row>
    <row r="1296" spans="1:7" x14ac:dyDescent="0.2">
      <c r="A1296" t="s">
        <v>64</v>
      </c>
      <c r="B1296" t="s">
        <v>64</v>
      </c>
      <c r="C1296" s="3" t="s">
        <v>64</v>
      </c>
      <c r="D1296" s="16" t="s">
        <v>64</v>
      </c>
      <c r="E1296" s="16">
        <v>0</v>
      </c>
      <c r="F1296" s="16" t="s">
        <v>64</v>
      </c>
      <c r="G1296" s="16" t="s">
        <v>64</v>
      </c>
    </row>
    <row r="1297" spans="1:7" x14ac:dyDescent="0.2">
      <c r="A1297" t="s">
        <v>64</v>
      </c>
      <c r="B1297" t="s">
        <v>64</v>
      </c>
      <c r="C1297" s="3" t="s">
        <v>64</v>
      </c>
      <c r="D1297" s="16" t="s">
        <v>64</v>
      </c>
      <c r="E1297" s="16">
        <v>0</v>
      </c>
      <c r="F1297" s="16" t="s">
        <v>64</v>
      </c>
      <c r="G1297" s="16" t="s">
        <v>64</v>
      </c>
    </row>
    <row r="1298" spans="1:7" x14ac:dyDescent="0.2">
      <c r="A1298" t="s">
        <v>64</v>
      </c>
      <c r="B1298" t="s">
        <v>64</v>
      </c>
      <c r="C1298" s="3" t="s">
        <v>64</v>
      </c>
      <c r="D1298" s="16" t="s">
        <v>64</v>
      </c>
      <c r="E1298" s="16">
        <v>0</v>
      </c>
      <c r="F1298" s="16" t="s">
        <v>64</v>
      </c>
      <c r="G1298" s="16" t="s">
        <v>64</v>
      </c>
    </row>
    <row r="1299" spans="1:7" x14ac:dyDescent="0.2">
      <c r="A1299" t="s">
        <v>64</v>
      </c>
      <c r="B1299" t="s">
        <v>64</v>
      </c>
      <c r="C1299" s="3" t="s">
        <v>64</v>
      </c>
      <c r="D1299" s="16" t="s">
        <v>64</v>
      </c>
      <c r="E1299" s="16">
        <v>0</v>
      </c>
      <c r="F1299" s="16" t="s">
        <v>64</v>
      </c>
      <c r="G1299" s="16" t="s">
        <v>64</v>
      </c>
    </row>
    <row r="1300" spans="1:7" x14ac:dyDescent="0.2">
      <c r="A1300" t="s">
        <v>64</v>
      </c>
      <c r="B1300" t="s">
        <v>64</v>
      </c>
      <c r="C1300" s="3" t="s">
        <v>64</v>
      </c>
      <c r="D1300" s="16" t="s">
        <v>64</v>
      </c>
      <c r="E1300" s="16">
        <v>0</v>
      </c>
      <c r="F1300" s="16" t="s">
        <v>64</v>
      </c>
      <c r="G1300" s="16" t="s">
        <v>64</v>
      </c>
    </row>
    <row r="1301" spans="1:7" x14ac:dyDescent="0.2">
      <c r="A1301" t="s">
        <v>64</v>
      </c>
      <c r="B1301" t="s">
        <v>64</v>
      </c>
      <c r="C1301" s="3" t="s">
        <v>64</v>
      </c>
      <c r="D1301" s="16" t="s">
        <v>64</v>
      </c>
      <c r="E1301" s="16">
        <v>0</v>
      </c>
      <c r="F1301" s="16" t="s">
        <v>64</v>
      </c>
      <c r="G1301" s="16" t="s">
        <v>64</v>
      </c>
    </row>
    <row r="1302" spans="1:7" x14ac:dyDescent="0.2">
      <c r="A1302" t="s">
        <v>64</v>
      </c>
      <c r="B1302" t="s">
        <v>64</v>
      </c>
      <c r="C1302" s="3" t="s">
        <v>64</v>
      </c>
      <c r="D1302" s="16" t="s">
        <v>64</v>
      </c>
      <c r="E1302" s="16">
        <v>0</v>
      </c>
      <c r="F1302" s="16" t="s">
        <v>64</v>
      </c>
      <c r="G1302" s="16" t="s">
        <v>64</v>
      </c>
    </row>
    <row r="1303" spans="1:7" x14ac:dyDescent="0.2">
      <c r="A1303" t="s">
        <v>64</v>
      </c>
      <c r="B1303" t="s">
        <v>64</v>
      </c>
      <c r="C1303" s="3" t="s">
        <v>64</v>
      </c>
      <c r="D1303" s="16" t="s">
        <v>64</v>
      </c>
      <c r="E1303" s="16">
        <v>0</v>
      </c>
      <c r="F1303" s="16" t="s">
        <v>64</v>
      </c>
      <c r="G1303" s="16" t="s">
        <v>64</v>
      </c>
    </row>
    <row r="1304" spans="1:7" x14ac:dyDescent="0.2">
      <c r="A1304" t="s">
        <v>64</v>
      </c>
      <c r="B1304" t="s">
        <v>64</v>
      </c>
      <c r="C1304" s="3" t="s">
        <v>64</v>
      </c>
      <c r="D1304" s="16" t="s">
        <v>64</v>
      </c>
      <c r="E1304" s="16">
        <v>0</v>
      </c>
      <c r="F1304" s="16" t="s">
        <v>64</v>
      </c>
      <c r="G1304" s="16" t="s">
        <v>64</v>
      </c>
    </row>
    <row r="1305" spans="1:7" x14ac:dyDescent="0.2">
      <c r="A1305" t="s">
        <v>64</v>
      </c>
      <c r="B1305" t="s">
        <v>64</v>
      </c>
      <c r="C1305" s="3" t="s">
        <v>64</v>
      </c>
      <c r="D1305" s="16" t="s">
        <v>64</v>
      </c>
      <c r="E1305" s="16">
        <v>0</v>
      </c>
      <c r="F1305" s="16" t="s">
        <v>64</v>
      </c>
      <c r="G1305" s="16" t="s">
        <v>64</v>
      </c>
    </row>
    <row r="1306" spans="1:7" x14ac:dyDescent="0.2">
      <c r="A1306" t="s">
        <v>64</v>
      </c>
      <c r="B1306" t="s">
        <v>64</v>
      </c>
      <c r="C1306" s="3" t="s">
        <v>64</v>
      </c>
      <c r="D1306" s="16" t="s">
        <v>64</v>
      </c>
      <c r="E1306" s="16">
        <v>0</v>
      </c>
      <c r="F1306" s="16" t="s">
        <v>64</v>
      </c>
      <c r="G1306" s="16" t="s">
        <v>64</v>
      </c>
    </row>
    <row r="1307" spans="1:7" x14ac:dyDescent="0.2">
      <c r="A1307" t="s">
        <v>64</v>
      </c>
      <c r="B1307" t="s">
        <v>64</v>
      </c>
      <c r="C1307" s="3" t="s">
        <v>64</v>
      </c>
      <c r="D1307" s="16" t="s">
        <v>64</v>
      </c>
      <c r="E1307" s="16">
        <v>0</v>
      </c>
      <c r="F1307" s="16" t="s">
        <v>64</v>
      </c>
      <c r="G1307" s="16" t="s">
        <v>64</v>
      </c>
    </row>
    <row r="1308" spans="1:7" x14ac:dyDescent="0.2">
      <c r="A1308" t="s">
        <v>64</v>
      </c>
      <c r="B1308" t="s">
        <v>64</v>
      </c>
      <c r="C1308" s="3" t="s">
        <v>64</v>
      </c>
      <c r="D1308" s="16" t="s">
        <v>64</v>
      </c>
      <c r="E1308" s="16">
        <v>0</v>
      </c>
      <c r="F1308" s="16" t="s">
        <v>64</v>
      </c>
      <c r="G1308" s="16" t="s">
        <v>64</v>
      </c>
    </row>
    <row r="1309" spans="1:7" x14ac:dyDescent="0.2">
      <c r="A1309" t="s">
        <v>64</v>
      </c>
      <c r="B1309" t="s">
        <v>64</v>
      </c>
      <c r="C1309" s="3" t="s">
        <v>64</v>
      </c>
      <c r="D1309" s="16" t="s">
        <v>64</v>
      </c>
      <c r="E1309" s="16">
        <v>0</v>
      </c>
      <c r="F1309" s="16" t="s">
        <v>64</v>
      </c>
      <c r="G1309" s="16" t="s">
        <v>64</v>
      </c>
    </row>
    <row r="1310" spans="1:7" x14ac:dyDescent="0.2">
      <c r="A1310" t="s">
        <v>64</v>
      </c>
      <c r="B1310" t="s">
        <v>64</v>
      </c>
      <c r="C1310" s="3" t="s">
        <v>64</v>
      </c>
      <c r="D1310" s="16" t="s">
        <v>64</v>
      </c>
      <c r="E1310" s="16">
        <v>0</v>
      </c>
      <c r="F1310" s="16" t="s">
        <v>64</v>
      </c>
      <c r="G1310" s="16" t="s">
        <v>64</v>
      </c>
    </row>
    <row r="1311" spans="1:7" x14ac:dyDescent="0.2">
      <c r="A1311" t="s">
        <v>64</v>
      </c>
      <c r="B1311" t="s">
        <v>64</v>
      </c>
      <c r="C1311" s="3" t="s">
        <v>64</v>
      </c>
      <c r="D1311" s="16" t="s">
        <v>64</v>
      </c>
      <c r="E1311" s="16">
        <v>0</v>
      </c>
      <c r="F1311" s="16" t="s">
        <v>64</v>
      </c>
      <c r="G1311" s="16" t="s">
        <v>64</v>
      </c>
    </row>
    <row r="1312" spans="1:7" x14ac:dyDescent="0.2">
      <c r="A1312" t="s">
        <v>64</v>
      </c>
      <c r="B1312" t="s">
        <v>64</v>
      </c>
      <c r="C1312" s="3" t="s">
        <v>64</v>
      </c>
      <c r="D1312" s="16" t="s">
        <v>64</v>
      </c>
      <c r="E1312" s="16">
        <v>0</v>
      </c>
      <c r="F1312" s="16" t="s">
        <v>64</v>
      </c>
      <c r="G1312" s="16" t="s">
        <v>64</v>
      </c>
    </row>
    <row r="1313" spans="1:7" x14ac:dyDescent="0.2">
      <c r="A1313" t="s">
        <v>64</v>
      </c>
      <c r="B1313" t="s">
        <v>64</v>
      </c>
      <c r="C1313" s="3" t="s">
        <v>64</v>
      </c>
      <c r="D1313" s="16" t="s">
        <v>64</v>
      </c>
      <c r="E1313" s="16">
        <v>0</v>
      </c>
      <c r="F1313" s="16" t="s">
        <v>64</v>
      </c>
      <c r="G1313" s="16" t="s">
        <v>64</v>
      </c>
    </row>
    <row r="1314" spans="1:7" x14ac:dyDescent="0.2">
      <c r="A1314" t="s">
        <v>64</v>
      </c>
      <c r="B1314" t="s">
        <v>64</v>
      </c>
      <c r="C1314" s="3" t="s">
        <v>64</v>
      </c>
      <c r="D1314" s="16" t="s">
        <v>64</v>
      </c>
      <c r="E1314" s="16">
        <v>0</v>
      </c>
      <c r="F1314" s="16" t="s">
        <v>64</v>
      </c>
      <c r="G1314" s="16" t="s">
        <v>64</v>
      </c>
    </row>
    <row r="1315" spans="1:7" x14ac:dyDescent="0.2">
      <c r="A1315" t="s">
        <v>64</v>
      </c>
      <c r="B1315" t="s">
        <v>64</v>
      </c>
      <c r="C1315" s="3" t="s">
        <v>64</v>
      </c>
      <c r="D1315" s="16" t="s">
        <v>64</v>
      </c>
      <c r="E1315" s="16">
        <v>0</v>
      </c>
      <c r="F1315" s="16" t="s">
        <v>64</v>
      </c>
      <c r="G1315" s="16" t="s">
        <v>64</v>
      </c>
    </row>
    <row r="1316" spans="1:7" x14ac:dyDescent="0.2">
      <c r="A1316" t="s">
        <v>64</v>
      </c>
      <c r="B1316" t="s">
        <v>64</v>
      </c>
      <c r="C1316" s="3" t="s">
        <v>64</v>
      </c>
      <c r="D1316" s="16" t="s">
        <v>64</v>
      </c>
      <c r="E1316" s="16">
        <v>0</v>
      </c>
      <c r="F1316" s="16" t="s">
        <v>64</v>
      </c>
      <c r="G1316" s="16" t="s">
        <v>64</v>
      </c>
    </row>
    <row r="1317" spans="1:7" x14ac:dyDescent="0.2">
      <c r="A1317" t="s">
        <v>64</v>
      </c>
      <c r="B1317" t="s">
        <v>64</v>
      </c>
      <c r="C1317" s="3" t="s">
        <v>64</v>
      </c>
      <c r="D1317" s="16" t="s">
        <v>64</v>
      </c>
      <c r="E1317" s="16">
        <v>0</v>
      </c>
      <c r="F1317" s="16" t="s">
        <v>64</v>
      </c>
      <c r="G1317" s="16" t="s">
        <v>64</v>
      </c>
    </row>
    <row r="1318" spans="1:7" x14ac:dyDescent="0.2">
      <c r="A1318" t="s">
        <v>64</v>
      </c>
      <c r="B1318" t="s">
        <v>64</v>
      </c>
      <c r="C1318" s="3" t="s">
        <v>64</v>
      </c>
      <c r="D1318" s="16" t="s">
        <v>64</v>
      </c>
      <c r="E1318" s="16">
        <v>0</v>
      </c>
      <c r="F1318" s="16" t="s">
        <v>64</v>
      </c>
      <c r="G1318" s="16" t="s">
        <v>64</v>
      </c>
    </row>
    <row r="1319" spans="1:7" x14ac:dyDescent="0.2">
      <c r="A1319" t="s">
        <v>64</v>
      </c>
      <c r="B1319" t="s">
        <v>64</v>
      </c>
      <c r="C1319" s="3" t="s">
        <v>64</v>
      </c>
      <c r="D1319" s="16" t="s">
        <v>64</v>
      </c>
      <c r="E1319" s="16">
        <v>0</v>
      </c>
      <c r="F1319" s="16" t="s">
        <v>64</v>
      </c>
      <c r="G1319" s="16" t="s">
        <v>64</v>
      </c>
    </row>
    <row r="1320" spans="1:7" x14ac:dyDescent="0.2">
      <c r="A1320" t="s">
        <v>64</v>
      </c>
      <c r="B1320" t="s">
        <v>64</v>
      </c>
      <c r="C1320" s="3" t="s">
        <v>64</v>
      </c>
      <c r="D1320" s="16" t="s">
        <v>64</v>
      </c>
      <c r="E1320" s="16">
        <v>0</v>
      </c>
      <c r="F1320" s="16" t="s">
        <v>64</v>
      </c>
      <c r="G1320" s="16" t="s">
        <v>64</v>
      </c>
    </row>
    <row r="1321" spans="1:7" x14ac:dyDescent="0.2">
      <c r="A1321" t="s">
        <v>64</v>
      </c>
      <c r="B1321" t="s">
        <v>64</v>
      </c>
      <c r="C1321" s="3" t="s">
        <v>64</v>
      </c>
      <c r="D1321" s="16" t="s">
        <v>64</v>
      </c>
      <c r="E1321" s="16">
        <v>0</v>
      </c>
      <c r="F1321" s="16" t="s">
        <v>64</v>
      </c>
      <c r="G1321" s="16" t="s">
        <v>64</v>
      </c>
    </row>
    <row r="1322" spans="1:7" x14ac:dyDescent="0.2">
      <c r="A1322" t="s">
        <v>64</v>
      </c>
      <c r="B1322" t="s">
        <v>64</v>
      </c>
      <c r="C1322" s="3" t="s">
        <v>64</v>
      </c>
      <c r="D1322" s="16" t="s">
        <v>64</v>
      </c>
      <c r="E1322" s="16">
        <v>0</v>
      </c>
      <c r="F1322" s="16" t="s">
        <v>64</v>
      </c>
      <c r="G1322" s="16" t="s">
        <v>64</v>
      </c>
    </row>
    <row r="1323" spans="1:7" x14ac:dyDescent="0.2">
      <c r="A1323" t="s">
        <v>64</v>
      </c>
      <c r="B1323" t="s">
        <v>64</v>
      </c>
      <c r="C1323" s="3" t="s">
        <v>64</v>
      </c>
      <c r="D1323" s="16" t="s">
        <v>64</v>
      </c>
      <c r="E1323" s="16">
        <v>0</v>
      </c>
      <c r="F1323" s="16" t="s">
        <v>64</v>
      </c>
      <c r="G1323" s="16" t="s">
        <v>64</v>
      </c>
    </row>
    <row r="1324" spans="1:7" x14ac:dyDescent="0.2">
      <c r="A1324" t="s">
        <v>64</v>
      </c>
      <c r="B1324" t="s">
        <v>64</v>
      </c>
      <c r="C1324" s="3" t="s">
        <v>64</v>
      </c>
      <c r="D1324" s="16" t="s">
        <v>64</v>
      </c>
      <c r="E1324" s="16">
        <v>0</v>
      </c>
      <c r="F1324" s="16" t="s">
        <v>64</v>
      </c>
      <c r="G1324" s="16" t="s">
        <v>64</v>
      </c>
    </row>
    <row r="1325" spans="1:7" x14ac:dyDescent="0.2">
      <c r="A1325" t="s">
        <v>64</v>
      </c>
      <c r="B1325" t="s">
        <v>64</v>
      </c>
      <c r="C1325" s="3" t="s">
        <v>64</v>
      </c>
      <c r="D1325" s="16" t="s">
        <v>64</v>
      </c>
      <c r="E1325" s="16">
        <v>0</v>
      </c>
      <c r="F1325" s="16" t="s">
        <v>64</v>
      </c>
      <c r="G1325" s="16" t="s">
        <v>64</v>
      </c>
    </row>
    <row r="1326" spans="1:7" x14ac:dyDescent="0.2">
      <c r="A1326" t="s">
        <v>64</v>
      </c>
      <c r="B1326" t="s">
        <v>64</v>
      </c>
      <c r="C1326" s="3" t="s">
        <v>64</v>
      </c>
      <c r="D1326" s="16" t="s">
        <v>64</v>
      </c>
      <c r="E1326" s="16">
        <v>0</v>
      </c>
      <c r="F1326" s="16" t="s">
        <v>64</v>
      </c>
      <c r="G1326" s="16" t="s">
        <v>64</v>
      </c>
    </row>
    <row r="1327" spans="1:7" x14ac:dyDescent="0.2">
      <c r="A1327" t="s">
        <v>64</v>
      </c>
      <c r="B1327" t="s">
        <v>64</v>
      </c>
      <c r="C1327" s="3" t="s">
        <v>64</v>
      </c>
      <c r="D1327" s="16" t="s">
        <v>64</v>
      </c>
      <c r="E1327" s="16">
        <v>0</v>
      </c>
      <c r="F1327" s="16" t="s">
        <v>64</v>
      </c>
      <c r="G1327" s="16" t="s">
        <v>64</v>
      </c>
    </row>
    <row r="1328" spans="1:7" x14ac:dyDescent="0.2">
      <c r="A1328" t="s">
        <v>64</v>
      </c>
      <c r="B1328" t="s">
        <v>64</v>
      </c>
      <c r="C1328" s="3" t="s">
        <v>64</v>
      </c>
      <c r="D1328" s="16" t="s">
        <v>64</v>
      </c>
      <c r="E1328" s="16">
        <v>0</v>
      </c>
      <c r="F1328" s="16" t="s">
        <v>64</v>
      </c>
      <c r="G1328" s="16" t="s">
        <v>64</v>
      </c>
    </row>
    <row r="1329" spans="1:7" x14ac:dyDescent="0.2">
      <c r="A1329" t="s">
        <v>64</v>
      </c>
      <c r="B1329" t="s">
        <v>64</v>
      </c>
      <c r="C1329" s="3" t="s">
        <v>64</v>
      </c>
      <c r="D1329" s="16" t="s">
        <v>64</v>
      </c>
      <c r="E1329" s="16">
        <v>0</v>
      </c>
      <c r="F1329" s="16" t="s">
        <v>64</v>
      </c>
      <c r="G1329" s="16" t="s">
        <v>64</v>
      </c>
    </row>
    <row r="1330" spans="1:7" x14ac:dyDescent="0.2">
      <c r="A1330" t="s">
        <v>64</v>
      </c>
      <c r="B1330" t="s">
        <v>64</v>
      </c>
      <c r="C1330" s="3" t="s">
        <v>64</v>
      </c>
      <c r="D1330" s="16" t="s">
        <v>64</v>
      </c>
      <c r="E1330" s="16">
        <v>0</v>
      </c>
      <c r="F1330" s="16" t="s">
        <v>64</v>
      </c>
      <c r="G1330" s="16" t="s">
        <v>64</v>
      </c>
    </row>
    <row r="1331" spans="1:7" x14ac:dyDescent="0.2">
      <c r="A1331" t="s">
        <v>64</v>
      </c>
      <c r="B1331" t="s">
        <v>64</v>
      </c>
      <c r="C1331" s="3" t="s">
        <v>64</v>
      </c>
      <c r="D1331" s="16" t="s">
        <v>64</v>
      </c>
      <c r="E1331" s="16">
        <v>0</v>
      </c>
      <c r="F1331" s="16" t="s">
        <v>64</v>
      </c>
      <c r="G1331" s="16" t="s">
        <v>64</v>
      </c>
    </row>
    <row r="1332" spans="1:7" x14ac:dyDescent="0.2">
      <c r="A1332" t="s">
        <v>64</v>
      </c>
      <c r="B1332" t="s">
        <v>64</v>
      </c>
      <c r="C1332" s="3" t="s">
        <v>64</v>
      </c>
      <c r="D1332" s="16" t="s">
        <v>64</v>
      </c>
      <c r="E1332" s="16">
        <v>0</v>
      </c>
      <c r="F1332" s="16" t="s">
        <v>64</v>
      </c>
      <c r="G1332" s="16" t="s">
        <v>64</v>
      </c>
    </row>
    <row r="1333" spans="1:7" x14ac:dyDescent="0.2">
      <c r="A1333" t="s">
        <v>64</v>
      </c>
      <c r="B1333" t="s">
        <v>64</v>
      </c>
      <c r="C1333" s="3" t="s">
        <v>64</v>
      </c>
      <c r="D1333" s="16" t="s">
        <v>64</v>
      </c>
      <c r="E1333" s="16">
        <v>0</v>
      </c>
      <c r="F1333" s="16" t="s">
        <v>64</v>
      </c>
      <c r="G1333" s="16" t="s">
        <v>64</v>
      </c>
    </row>
    <row r="1334" spans="1:7" x14ac:dyDescent="0.2">
      <c r="A1334" t="s">
        <v>64</v>
      </c>
      <c r="B1334" t="s">
        <v>64</v>
      </c>
      <c r="C1334" s="3" t="s">
        <v>64</v>
      </c>
      <c r="D1334" s="16" t="s">
        <v>64</v>
      </c>
      <c r="E1334" s="16">
        <v>0</v>
      </c>
      <c r="F1334" s="16" t="s">
        <v>64</v>
      </c>
      <c r="G1334" s="16" t="s">
        <v>64</v>
      </c>
    </row>
    <row r="1335" spans="1:7" x14ac:dyDescent="0.2">
      <c r="A1335" t="s">
        <v>64</v>
      </c>
      <c r="B1335" t="s">
        <v>64</v>
      </c>
      <c r="C1335" s="3" t="s">
        <v>64</v>
      </c>
      <c r="D1335" s="16" t="s">
        <v>64</v>
      </c>
      <c r="E1335" s="16">
        <v>0</v>
      </c>
      <c r="F1335" s="16" t="s">
        <v>64</v>
      </c>
      <c r="G1335" s="16" t="s">
        <v>64</v>
      </c>
    </row>
    <row r="1336" spans="1:7" x14ac:dyDescent="0.2">
      <c r="A1336" t="s">
        <v>64</v>
      </c>
      <c r="B1336" t="s">
        <v>64</v>
      </c>
      <c r="C1336" s="3" t="s">
        <v>64</v>
      </c>
      <c r="D1336" s="16" t="s">
        <v>64</v>
      </c>
      <c r="E1336" s="16">
        <v>0</v>
      </c>
      <c r="F1336" s="16" t="s">
        <v>64</v>
      </c>
      <c r="G1336" s="16" t="s">
        <v>64</v>
      </c>
    </row>
    <row r="1337" spans="1:7" x14ac:dyDescent="0.2">
      <c r="A1337" t="s">
        <v>64</v>
      </c>
      <c r="B1337" t="s">
        <v>64</v>
      </c>
      <c r="C1337" s="3" t="s">
        <v>64</v>
      </c>
      <c r="D1337" s="16" t="s">
        <v>64</v>
      </c>
      <c r="E1337" s="16">
        <v>0</v>
      </c>
      <c r="F1337" s="16" t="s">
        <v>64</v>
      </c>
      <c r="G1337" s="16" t="s">
        <v>64</v>
      </c>
    </row>
    <row r="1338" spans="1:7" x14ac:dyDescent="0.2">
      <c r="A1338" t="s">
        <v>64</v>
      </c>
      <c r="B1338" t="s">
        <v>64</v>
      </c>
      <c r="C1338" s="3" t="s">
        <v>64</v>
      </c>
      <c r="D1338" s="16" t="s">
        <v>64</v>
      </c>
      <c r="E1338" s="16">
        <v>0</v>
      </c>
      <c r="F1338" s="16" t="s">
        <v>64</v>
      </c>
      <c r="G1338" s="16" t="s">
        <v>64</v>
      </c>
    </row>
    <row r="1339" spans="1:7" x14ac:dyDescent="0.2">
      <c r="A1339" t="s">
        <v>64</v>
      </c>
      <c r="B1339" t="s">
        <v>64</v>
      </c>
      <c r="C1339" s="3" t="s">
        <v>64</v>
      </c>
      <c r="D1339" s="16" t="s">
        <v>64</v>
      </c>
      <c r="E1339" s="16">
        <v>0</v>
      </c>
      <c r="F1339" s="16" t="s">
        <v>64</v>
      </c>
      <c r="G1339" s="16" t="s">
        <v>64</v>
      </c>
    </row>
    <row r="1340" spans="1:7" x14ac:dyDescent="0.2">
      <c r="A1340" t="s">
        <v>64</v>
      </c>
      <c r="B1340" t="s">
        <v>64</v>
      </c>
      <c r="C1340" s="3" t="s">
        <v>64</v>
      </c>
      <c r="D1340" s="16" t="s">
        <v>64</v>
      </c>
      <c r="E1340" s="16">
        <v>0</v>
      </c>
      <c r="F1340" s="16" t="s">
        <v>64</v>
      </c>
      <c r="G1340" s="16" t="s">
        <v>64</v>
      </c>
    </row>
    <row r="1341" spans="1:7" x14ac:dyDescent="0.2">
      <c r="A1341" t="s">
        <v>64</v>
      </c>
      <c r="B1341" t="s">
        <v>64</v>
      </c>
      <c r="C1341" s="3" t="s">
        <v>64</v>
      </c>
      <c r="D1341" s="16" t="s">
        <v>64</v>
      </c>
      <c r="E1341" s="16">
        <v>0</v>
      </c>
      <c r="F1341" s="16" t="s">
        <v>64</v>
      </c>
      <c r="G1341" s="16" t="s">
        <v>64</v>
      </c>
    </row>
    <row r="1342" spans="1:7" x14ac:dyDescent="0.2">
      <c r="A1342" t="s">
        <v>64</v>
      </c>
      <c r="B1342" t="s">
        <v>64</v>
      </c>
      <c r="C1342" s="3" t="s">
        <v>64</v>
      </c>
      <c r="D1342" s="16" t="s">
        <v>64</v>
      </c>
      <c r="E1342" s="16">
        <v>0</v>
      </c>
      <c r="F1342" s="16" t="s">
        <v>64</v>
      </c>
      <c r="G1342" s="16" t="s">
        <v>64</v>
      </c>
    </row>
    <row r="1343" spans="1:7" x14ac:dyDescent="0.2">
      <c r="A1343" t="s">
        <v>64</v>
      </c>
      <c r="B1343" t="s">
        <v>64</v>
      </c>
      <c r="C1343" s="3" t="s">
        <v>64</v>
      </c>
      <c r="D1343" s="16" t="s">
        <v>64</v>
      </c>
      <c r="E1343" s="16">
        <v>0</v>
      </c>
      <c r="F1343" s="16" t="s">
        <v>64</v>
      </c>
      <c r="G1343" s="16" t="s">
        <v>64</v>
      </c>
    </row>
    <row r="1344" spans="1:7" x14ac:dyDescent="0.2">
      <c r="A1344" t="s">
        <v>64</v>
      </c>
      <c r="B1344" t="s">
        <v>64</v>
      </c>
      <c r="C1344" s="3" t="s">
        <v>64</v>
      </c>
      <c r="D1344" s="16" t="s">
        <v>64</v>
      </c>
      <c r="E1344" s="16">
        <v>0</v>
      </c>
      <c r="F1344" s="16" t="s">
        <v>64</v>
      </c>
      <c r="G1344" s="16" t="s">
        <v>64</v>
      </c>
    </row>
    <row r="1345" spans="1:7" x14ac:dyDescent="0.2">
      <c r="A1345" t="s">
        <v>64</v>
      </c>
      <c r="B1345" t="s">
        <v>64</v>
      </c>
      <c r="C1345" s="3" t="s">
        <v>64</v>
      </c>
      <c r="D1345" s="16" t="s">
        <v>64</v>
      </c>
      <c r="E1345" s="16">
        <v>0</v>
      </c>
      <c r="F1345" s="16" t="s">
        <v>64</v>
      </c>
      <c r="G1345" s="16" t="s">
        <v>64</v>
      </c>
    </row>
    <row r="1346" spans="1:7" x14ac:dyDescent="0.2">
      <c r="A1346" t="s">
        <v>64</v>
      </c>
      <c r="B1346" t="s">
        <v>64</v>
      </c>
      <c r="C1346" s="3" t="s">
        <v>64</v>
      </c>
      <c r="D1346" s="16" t="s">
        <v>64</v>
      </c>
      <c r="E1346" s="16">
        <v>0</v>
      </c>
      <c r="F1346" s="16" t="s">
        <v>64</v>
      </c>
      <c r="G1346" s="16" t="s">
        <v>64</v>
      </c>
    </row>
    <row r="1347" spans="1:7" x14ac:dyDescent="0.2">
      <c r="A1347" t="s">
        <v>64</v>
      </c>
      <c r="B1347" t="s">
        <v>64</v>
      </c>
      <c r="C1347" s="3" t="s">
        <v>64</v>
      </c>
      <c r="D1347" s="16" t="s">
        <v>64</v>
      </c>
      <c r="E1347" s="16">
        <v>0</v>
      </c>
      <c r="F1347" s="16" t="s">
        <v>64</v>
      </c>
      <c r="G1347" s="16" t="s">
        <v>64</v>
      </c>
    </row>
    <row r="1348" spans="1:7" x14ac:dyDescent="0.2">
      <c r="A1348" t="s">
        <v>64</v>
      </c>
      <c r="B1348" t="s">
        <v>64</v>
      </c>
      <c r="C1348" s="3" t="s">
        <v>64</v>
      </c>
      <c r="D1348" s="16" t="s">
        <v>64</v>
      </c>
      <c r="E1348" s="16">
        <v>0</v>
      </c>
      <c r="F1348" s="16" t="s">
        <v>64</v>
      </c>
      <c r="G1348" s="16" t="s">
        <v>64</v>
      </c>
    </row>
    <row r="1349" spans="1:7" x14ac:dyDescent="0.2">
      <c r="A1349" t="s">
        <v>64</v>
      </c>
      <c r="B1349" t="s">
        <v>64</v>
      </c>
      <c r="C1349" s="3" t="s">
        <v>64</v>
      </c>
      <c r="D1349" s="16" t="s">
        <v>64</v>
      </c>
      <c r="E1349" s="16">
        <v>0</v>
      </c>
      <c r="F1349" s="16" t="s">
        <v>64</v>
      </c>
      <c r="G1349" s="16" t="s">
        <v>64</v>
      </c>
    </row>
    <row r="1350" spans="1:7" x14ac:dyDescent="0.2">
      <c r="A1350" t="s">
        <v>64</v>
      </c>
      <c r="B1350" t="s">
        <v>64</v>
      </c>
      <c r="C1350" s="3" t="s">
        <v>64</v>
      </c>
      <c r="D1350" s="16" t="s">
        <v>64</v>
      </c>
      <c r="E1350" s="16">
        <v>0</v>
      </c>
      <c r="F1350" s="16" t="s">
        <v>64</v>
      </c>
      <c r="G1350" s="16" t="s">
        <v>64</v>
      </c>
    </row>
    <row r="1351" spans="1:7" x14ac:dyDescent="0.2">
      <c r="A1351" t="s">
        <v>64</v>
      </c>
      <c r="B1351" t="s">
        <v>64</v>
      </c>
      <c r="C1351" s="3" t="s">
        <v>64</v>
      </c>
      <c r="D1351" s="16" t="s">
        <v>64</v>
      </c>
      <c r="E1351" s="16">
        <v>0</v>
      </c>
      <c r="F1351" s="16" t="s">
        <v>64</v>
      </c>
      <c r="G1351" s="16" t="s">
        <v>64</v>
      </c>
    </row>
    <row r="1352" spans="1:7" x14ac:dyDescent="0.2">
      <c r="A1352" t="s">
        <v>64</v>
      </c>
      <c r="B1352" t="s">
        <v>64</v>
      </c>
      <c r="C1352" s="3" t="s">
        <v>64</v>
      </c>
      <c r="D1352" s="16" t="s">
        <v>64</v>
      </c>
      <c r="E1352" s="16">
        <v>0</v>
      </c>
      <c r="F1352" s="16" t="s">
        <v>64</v>
      </c>
      <c r="G1352" s="16" t="s">
        <v>64</v>
      </c>
    </row>
    <row r="1353" spans="1:7" x14ac:dyDescent="0.2">
      <c r="A1353" t="s">
        <v>64</v>
      </c>
      <c r="B1353" t="s">
        <v>64</v>
      </c>
      <c r="C1353" s="3" t="s">
        <v>64</v>
      </c>
      <c r="D1353" s="16" t="s">
        <v>64</v>
      </c>
      <c r="E1353" s="16">
        <v>0</v>
      </c>
      <c r="F1353" s="16" t="s">
        <v>64</v>
      </c>
      <c r="G1353" s="16" t="s">
        <v>64</v>
      </c>
    </row>
    <row r="1354" spans="1:7" x14ac:dyDescent="0.2">
      <c r="A1354" t="s">
        <v>64</v>
      </c>
      <c r="B1354" t="s">
        <v>64</v>
      </c>
      <c r="C1354" s="3" t="s">
        <v>64</v>
      </c>
      <c r="D1354" s="16" t="s">
        <v>64</v>
      </c>
      <c r="E1354" s="16">
        <v>0</v>
      </c>
      <c r="F1354" s="16" t="s">
        <v>64</v>
      </c>
      <c r="G1354" s="16" t="s">
        <v>64</v>
      </c>
    </row>
    <row r="1355" spans="1:7" x14ac:dyDescent="0.2">
      <c r="A1355" t="s">
        <v>64</v>
      </c>
      <c r="B1355" t="s">
        <v>64</v>
      </c>
      <c r="C1355" s="3" t="s">
        <v>64</v>
      </c>
      <c r="D1355" s="16" t="s">
        <v>64</v>
      </c>
      <c r="E1355" s="16">
        <v>0</v>
      </c>
      <c r="F1355" s="16" t="s">
        <v>64</v>
      </c>
      <c r="G1355" s="16" t="s">
        <v>64</v>
      </c>
    </row>
    <row r="1356" spans="1:7" x14ac:dyDescent="0.2">
      <c r="A1356" t="s">
        <v>64</v>
      </c>
      <c r="B1356" t="s">
        <v>64</v>
      </c>
      <c r="C1356" s="3" t="s">
        <v>64</v>
      </c>
      <c r="D1356" s="16" t="s">
        <v>64</v>
      </c>
      <c r="E1356" s="16">
        <v>0</v>
      </c>
      <c r="F1356" s="16" t="s">
        <v>64</v>
      </c>
      <c r="G1356" s="16" t="s">
        <v>64</v>
      </c>
    </row>
    <row r="1357" spans="1:7" x14ac:dyDescent="0.2">
      <c r="A1357" t="s">
        <v>64</v>
      </c>
      <c r="B1357" t="s">
        <v>64</v>
      </c>
      <c r="C1357" s="3" t="s">
        <v>64</v>
      </c>
      <c r="D1357" s="16" t="s">
        <v>64</v>
      </c>
      <c r="E1357" s="16">
        <v>0</v>
      </c>
      <c r="F1357" s="16" t="s">
        <v>64</v>
      </c>
      <c r="G1357" s="16" t="s">
        <v>64</v>
      </c>
    </row>
    <row r="1358" spans="1:7" x14ac:dyDescent="0.2">
      <c r="A1358" t="s">
        <v>64</v>
      </c>
      <c r="B1358" t="s">
        <v>64</v>
      </c>
      <c r="C1358" s="3" t="s">
        <v>64</v>
      </c>
      <c r="D1358" s="16" t="s">
        <v>64</v>
      </c>
      <c r="E1358" s="16">
        <v>0</v>
      </c>
      <c r="F1358" s="16" t="s">
        <v>64</v>
      </c>
      <c r="G1358" s="16" t="s">
        <v>64</v>
      </c>
    </row>
    <row r="1359" spans="1:7" x14ac:dyDescent="0.2">
      <c r="A1359" t="s">
        <v>64</v>
      </c>
      <c r="B1359" t="s">
        <v>64</v>
      </c>
      <c r="C1359" s="3" t="s">
        <v>64</v>
      </c>
      <c r="D1359" s="16" t="s">
        <v>64</v>
      </c>
      <c r="E1359" s="16">
        <v>0</v>
      </c>
      <c r="F1359" s="16" t="s">
        <v>64</v>
      </c>
      <c r="G1359" s="16" t="s">
        <v>64</v>
      </c>
    </row>
    <row r="1360" spans="1:7" x14ac:dyDescent="0.2">
      <c r="A1360" t="s">
        <v>64</v>
      </c>
      <c r="B1360" t="s">
        <v>64</v>
      </c>
      <c r="C1360" s="3" t="s">
        <v>64</v>
      </c>
      <c r="D1360" s="16" t="s">
        <v>64</v>
      </c>
      <c r="E1360" s="16">
        <v>0</v>
      </c>
      <c r="F1360" s="16" t="s">
        <v>64</v>
      </c>
      <c r="G1360" s="16" t="s">
        <v>64</v>
      </c>
    </row>
    <row r="1361" spans="1:7" x14ac:dyDescent="0.2">
      <c r="A1361" t="s">
        <v>64</v>
      </c>
      <c r="B1361" t="s">
        <v>64</v>
      </c>
      <c r="C1361" s="3" t="s">
        <v>64</v>
      </c>
      <c r="D1361" s="16" t="s">
        <v>64</v>
      </c>
      <c r="E1361" s="16">
        <v>0</v>
      </c>
      <c r="F1361" s="16" t="s">
        <v>64</v>
      </c>
      <c r="G1361" s="16" t="s">
        <v>64</v>
      </c>
    </row>
    <row r="1362" spans="1:7" x14ac:dyDescent="0.2">
      <c r="A1362" t="s">
        <v>64</v>
      </c>
      <c r="B1362" t="s">
        <v>64</v>
      </c>
      <c r="C1362" s="3" t="s">
        <v>64</v>
      </c>
      <c r="D1362" s="16" t="s">
        <v>64</v>
      </c>
      <c r="E1362" s="16">
        <v>0</v>
      </c>
      <c r="F1362" s="16" t="s">
        <v>64</v>
      </c>
      <c r="G1362" s="16" t="s">
        <v>64</v>
      </c>
    </row>
    <row r="1363" spans="1:7" x14ac:dyDescent="0.2">
      <c r="A1363" t="s">
        <v>64</v>
      </c>
      <c r="B1363" t="s">
        <v>64</v>
      </c>
      <c r="C1363" s="3" t="s">
        <v>64</v>
      </c>
      <c r="D1363" s="16" t="s">
        <v>64</v>
      </c>
      <c r="E1363" s="16">
        <v>0</v>
      </c>
      <c r="F1363" s="16" t="s">
        <v>64</v>
      </c>
      <c r="G1363" s="16" t="s">
        <v>64</v>
      </c>
    </row>
    <row r="1364" spans="1:7" x14ac:dyDescent="0.2">
      <c r="A1364" t="s">
        <v>64</v>
      </c>
      <c r="B1364" t="s">
        <v>64</v>
      </c>
      <c r="C1364" s="3" t="s">
        <v>64</v>
      </c>
      <c r="D1364" s="16" t="s">
        <v>64</v>
      </c>
      <c r="E1364" s="16">
        <v>0</v>
      </c>
      <c r="F1364" s="16" t="s">
        <v>64</v>
      </c>
      <c r="G1364" s="16" t="s">
        <v>64</v>
      </c>
    </row>
    <row r="1365" spans="1:7" x14ac:dyDescent="0.2">
      <c r="A1365" t="s">
        <v>64</v>
      </c>
      <c r="B1365" t="s">
        <v>64</v>
      </c>
      <c r="C1365" s="3" t="s">
        <v>64</v>
      </c>
      <c r="D1365" s="16" t="s">
        <v>64</v>
      </c>
      <c r="E1365" s="16">
        <v>0</v>
      </c>
      <c r="F1365" s="16" t="s">
        <v>64</v>
      </c>
      <c r="G1365" s="16" t="s">
        <v>64</v>
      </c>
    </row>
    <row r="1366" spans="1:7" x14ac:dyDescent="0.2">
      <c r="A1366" t="s">
        <v>64</v>
      </c>
      <c r="B1366" t="s">
        <v>64</v>
      </c>
      <c r="C1366" s="3" t="s">
        <v>64</v>
      </c>
      <c r="D1366" s="16" t="s">
        <v>64</v>
      </c>
      <c r="E1366" s="16">
        <v>0</v>
      </c>
      <c r="F1366" s="16" t="s">
        <v>64</v>
      </c>
      <c r="G1366" s="16" t="s">
        <v>64</v>
      </c>
    </row>
    <row r="1367" spans="1:7" x14ac:dyDescent="0.2">
      <c r="A1367" t="s">
        <v>64</v>
      </c>
      <c r="B1367" t="s">
        <v>64</v>
      </c>
      <c r="C1367" s="3" t="s">
        <v>64</v>
      </c>
      <c r="D1367" s="16" t="s">
        <v>64</v>
      </c>
      <c r="E1367" s="16">
        <v>0</v>
      </c>
      <c r="F1367" s="16" t="s">
        <v>64</v>
      </c>
      <c r="G1367" s="16" t="s">
        <v>64</v>
      </c>
    </row>
    <row r="1368" spans="1:7" x14ac:dyDescent="0.2">
      <c r="A1368" t="s">
        <v>64</v>
      </c>
      <c r="B1368" t="s">
        <v>64</v>
      </c>
      <c r="C1368" s="3" t="s">
        <v>64</v>
      </c>
      <c r="D1368" s="16" t="s">
        <v>64</v>
      </c>
      <c r="E1368" s="16">
        <v>0</v>
      </c>
      <c r="F1368" s="16" t="s">
        <v>64</v>
      </c>
      <c r="G1368" s="16" t="s">
        <v>64</v>
      </c>
    </row>
    <row r="1369" spans="1:7" x14ac:dyDescent="0.2">
      <c r="A1369" t="s">
        <v>64</v>
      </c>
      <c r="B1369" t="s">
        <v>64</v>
      </c>
      <c r="C1369" s="3" t="s">
        <v>64</v>
      </c>
      <c r="D1369" s="16" t="s">
        <v>64</v>
      </c>
      <c r="E1369" s="16">
        <v>0</v>
      </c>
      <c r="F1369" s="16" t="s">
        <v>64</v>
      </c>
      <c r="G1369" s="16" t="s">
        <v>64</v>
      </c>
    </row>
    <row r="1370" spans="1:7" x14ac:dyDescent="0.2">
      <c r="A1370" t="s">
        <v>64</v>
      </c>
      <c r="B1370" t="s">
        <v>64</v>
      </c>
      <c r="C1370" s="3" t="s">
        <v>64</v>
      </c>
      <c r="D1370" s="16" t="s">
        <v>64</v>
      </c>
      <c r="E1370" s="16">
        <v>0</v>
      </c>
      <c r="F1370" s="16" t="s">
        <v>64</v>
      </c>
      <c r="G1370" s="16" t="s">
        <v>64</v>
      </c>
    </row>
    <row r="1371" spans="1:7" x14ac:dyDescent="0.2">
      <c r="A1371" t="s">
        <v>64</v>
      </c>
      <c r="B1371" t="s">
        <v>64</v>
      </c>
      <c r="C1371" s="3" t="s">
        <v>64</v>
      </c>
      <c r="D1371" s="16" t="s">
        <v>64</v>
      </c>
      <c r="E1371" s="16">
        <v>0</v>
      </c>
      <c r="F1371" s="16" t="s">
        <v>64</v>
      </c>
      <c r="G1371" s="16" t="s">
        <v>64</v>
      </c>
    </row>
    <row r="1372" spans="1:7" x14ac:dyDescent="0.2">
      <c r="A1372" t="s">
        <v>64</v>
      </c>
      <c r="B1372" t="s">
        <v>64</v>
      </c>
      <c r="C1372" s="3" t="s">
        <v>64</v>
      </c>
      <c r="D1372" s="16" t="s">
        <v>64</v>
      </c>
      <c r="E1372" s="16">
        <v>0</v>
      </c>
      <c r="F1372" s="16" t="s">
        <v>64</v>
      </c>
      <c r="G1372" s="16" t="s">
        <v>64</v>
      </c>
    </row>
    <row r="1373" spans="1:7" x14ac:dyDescent="0.2">
      <c r="A1373" t="s">
        <v>64</v>
      </c>
      <c r="B1373" t="s">
        <v>64</v>
      </c>
      <c r="C1373" s="3" t="s">
        <v>64</v>
      </c>
      <c r="D1373" s="16" t="s">
        <v>64</v>
      </c>
      <c r="E1373" s="16">
        <v>0</v>
      </c>
      <c r="F1373" s="16" t="s">
        <v>64</v>
      </c>
      <c r="G1373" s="16" t="s">
        <v>64</v>
      </c>
    </row>
    <row r="1374" spans="1:7" x14ac:dyDescent="0.2">
      <c r="A1374" t="s">
        <v>64</v>
      </c>
      <c r="B1374" t="s">
        <v>64</v>
      </c>
      <c r="C1374" s="3" t="s">
        <v>64</v>
      </c>
      <c r="D1374" s="16" t="s">
        <v>64</v>
      </c>
      <c r="E1374" s="16">
        <v>0</v>
      </c>
      <c r="F1374" s="16" t="s">
        <v>64</v>
      </c>
      <c r="G1374" s="16" t="s">
        <v>64</v>
      </c>
    </row>
    <row r="1375" spans="1:7" x14ac:dyDescent="0.2">
      <c r="A1375" t="s">
        <v>64</v>
      </c>
      <c r="B1375" t="s">
        <v>64</v>
      </c>
      <c r="C1375" s="3" t="s">
        <v>64</v>
      </c>
      <c r="D1375" s="16" t="s">
        <v>64</v>
      </c>
      <c r="E1375" s="16">
        <v>0</v>
      </c>
      <c r="F1375" s="16" t="s">
        <v>64</v>
      </c>
      <c r="G1375" s="16" t="s">
        <v>64</v>
      </c>
    </row>
    <row r="1376" spans="1:7" x14ac:dyDescent="0.2">
      <c r="A1376" t="s">
        <v>64</v>
      </c>
      <c r="B1376" t="s">
        <v>64</v>
      </c>
      <c r="C1376" s="3" t="s">
        <v>64</v>
      </c>
      <c r="D1376" s="16" t="s">
        <v>64</v>
      </c>
      <c r="E1376" s="16">
        <v>0</v>
      </c>
      <c r="F1376" s="16" t="s">
        <v>64</v>
      </c>
      <c r="G1376" s="16" t="s">
        <v>64</v>
      </c>
    </row>
    <row r="1377" spans="1:7" x14ac:dyDescent="0.2">
      <c r="A1377" t="s">
        <v>64</v>
      </c>
      <c r="B1377" t="s">
        <v>64</v>
      </c>
      <c r="C1377" s="3" t="s">
        <v>64</v>
      </c>
      <c r="D1377" s="16" t="s">
        <v>64</v>
      </c>
      <c r="E1377" s="16">
        <v>0</v>
      </c>
      <c r="F1377" s="16" t="s">
        <v>64</v>
      </c>
      <c r="G1377" s="16" t="s">
        <v>64</v>
      </c>
    </row>
    <row r="1378" spans="1:7" x14ac:dyDescent="0.2">
      <c r="A1378" t="s">
        <v>64</v>
      </c>
      <c r="B1378" t="s">
        <v>64</v>
      </c>
      <c r="C1378" s="3" t="s">
        <v>64</v>
      </c>
      <c r="D1378" s="16" t="s">
        <v>64</v>
      </c>
      <c r="E1378" s="16">
        <v>0</v>
      </c>
      <c r="F1378" s="16" t="s">
        <v>64</v>
      </c>
      <c r="G1378" s="16" t="s">
        <v>64</v>
      </c>
    </row>
    <row r="1379" spans="1:7" x14ac:dyDescent="0.2">
      <c r="A1379" t="s">
        <v>64</v>
      </c>
      <c r="B1379" t="s">
        <v>64</v>
      </c>
      <c r="C1379" s="3" t="s">
        <v>64</v>
      </c>
      <c r="D1379" s="16" t="s">
        <v>64</v>
      </c>
      <c r="E1379" s="16">
        <v>0</v>
      </c>
      <c r="F1379" s="16" t="s">
        <v>64</v>
      </c>
      <c r="G1379" s="16" t="s">
        <v>64</v>
      </c>
    </row>
    <row r="1380" spans="1:7" x14ac:dyDescent="0.2">
      <c r="A1380" t="s">
        <v>64</v>
      </c>
      <c r="B1380" t="s">
        <v>64</v>
      </c>
      <c r="C1380" s="3" t="s">
        <v>64</v>
      </c>
      <c r="D1380" s="16" t="s">
        <v>64</v>
      </c>
      <c r="E1380" s="16">
        <v>0</v>
      </c>
      <c r="F1380" s="16" t="s">
        <v>64</v>
      </c>
      <c r="G1380" s="16" t="s">
        <v>64</v>
      </c>
    </row>
    <row r="1381" spans="1:7" x14ac:dyDescent="0.2">
      <c r="A1381" t="s">
        <v>64</v>
      </c>
      <c r="B1381" t="s">
        <v>64</v>
      </c>
      <c r="C1381" s="3" t="s">
        <v>64</v>
      </c>
      <c r="D1381" s="16" t="s">
        <v>64</v>
      </c>
      <c r="E1381" s="16">
        <v>0</v>
      </c>
      <c r="F1381" s="16" t="s">
        <v>64</v>
      </c>
      <c r="G1381" s="16" t="s">
        <v>64</v>
      </c>
    </row>
    <row r="1382" spans="1:7" x14ac:dyDescent="0.2">
      <c r="A1382" t="s">
        <v>64</v>
      </c>
      <c r="B1382" t="s">
        <v>64</v>
      </c>
      <c r="C1382" s="3" t="s">
        <v>64</v>
      </c>
      <c r="D1382" s="16" t="s">
        <v>64</v>
      </c>
      <c r="E1382" s="16">
        <v>0</v>
      </c>
      <c r="F1382" s="16" t="s">
        <v>64</v>
      </c>
      <c r="G1382" s="16" t="s">
        <v>64</v>
      </c>
    </row>
    <row r="1383" spans="1:7" x14ac:dyDescent="0.2">
      <c r="A1383" t="s">
        <v>64</v>
      </c>
      <c r="B1383" t="s">
        <v>64</v>
      </c>
      <c r="C1383" s="3" t="s">
        <v>64</v>
      </c>
      <c r="D1383" s="16" t="s">
        <v>64</v>
      </c>
      <c r="E1383" s="16">
        <v>0</v>
      </c>
      <c r="F1383" s="16" t="s">
        <v>64</v>
      </c>
      <c r="G1383" s="16" t="s">
        <v>64</v>
      </c>
    </row>
    <row r="1384" spans="1:7" x14ac:dyDescent="0.2">
      <c r="A1384" t="s">
        <v>64</v>
      </c>
      <c r="B1384" t="s">
        <v>64</v>
      </c>
      <c r="C1384" s="3" t="s">
        <v>64</v>
      </c>
      <c r="D1384" s="16" t="s">
        <v>64</v>
      </c>
      <c r="E1384" s="16">
        <v>0</v>
      </c>
      <c r="F1384" s="16" t="s">
        <v>64</v>
      </c>
      <c r="G1384" s="16" t="s">
        <v>64</v>
      </c>
    </row>
    <row r="1385" spans="1:7" x14ac:dyDescent="0.2">
      <c r="A1385" t="s">
        <v>64</v>
      </c>
      <c r="B1385" t="s">
        <v>64</v>
      </c>
      <c r="C1385" s="3" t="s">
        <v>64</v>
      </c>
      <c r="D1385" s="16" t="s">
        <v>64</v>
      </c>
      <c r="E1385" s="16">
        <v>0</v>
      </c>
      <c r="F1385" s="16" t="s">
        <v>64</v>
      </c>
      <c r="G1385" s="16" t="s">
        <v>64</v>
      </c>
    </row>
    <row r="1386" spans="1:7" x14ac:dyDescent="0.2">
      <c r="A1386" t="s">
        <v>64</v>
      </c>
      <c r="B1386" t="s">
        <v>64</v>
      </c>
      <c r="C1386" s="3" t="s">
        <v>64</v>
      </c>
      <c r="D1386" s="16" t="s">
        <v>64</v>
      </c>
      <c r="E1386" s="16">
        <v>0</v>
      </c>
      <c r="F1386" s="16" t="s">
        <v>64</v>
      </c>
      <c r="G1386" s="16" t="s">
        <v>64</v>
      </c>
    </row>
    <row r="1387" spans="1:7" x14ac:dyDescent="0.2">
      <c r="A1387" t="s">
        <v>64</v>
      </c>
      <c r="B1387" t="s">
        <v>64</v>
      </c>
      <c r="C1387" s="3" t="s">
        <v>64</v>
      </c>
      <c r="D1387" s="16" t="s">
        <v>64</v>
      </c>
      <c r="E1387" s="16">
        <v>0</v>
      </c>
      <c r="F1387" s="16" t="s">
        <v>64</v>
      </c>
      <c r="G1387" s="16" t="s">
        <v>64</v>
      </c>
    </row>
    <row r="1388" spans="1:7" x14ac:dyDescent="0.2">
      <c r="A1388" t="s">
        <v>64</v>
      </c>
      <c r="B1388" t="s">
        <v>64</v>
      </c>
      <c r="C1388" s="3" t="s">
        <v>64</v>
      </c>
      <c r="D1388" s="16" t="s">
        <v>64</v>
      </c>
      <c r="E1388" s="16">
        <v>0</v>
      </c>
      <c r="F1388" s="16" t="s">
        <v>64</v>
      </c>
      <c r="G1388" s="16" t="s">
        <v>64</v>
      </c>
    </row>
    <row r="1389" spans="1:7" x14ac:dyDescent="0.2">
      <c r="A1389" t="s">
        <v>64</v>
      </c>
      <c r="B1389" t="s">
        <v>64</v>
      </c>
      <c r="C1389" s="3" t="s">
        <v>64</v>
      </c>
      <c r="D1389" s="16" t="s">
        <v>64</v>
      </c>
      <c r="E1389" s="16">
        <v>0</v>
      </c>
      <c r="F1389" s="16" t="s">
        <v>64</v>
      </c>
      <c r="G1389" s="16" t="s">
        <v>64</v>
      </c>
    </row>
    <row r="1390" spans="1:7" x14ac:dyDescent="0.2">
      <c r="A1390" t="s">
        <v>64</v>
      </c>
      <c r="B1390" t="s">
        <v>64</v>
      </c>
      <c r="C1390" s="3" t="s">
        <v>64</v>
      </c>
      <c r="D1390" s="16" t="s">
        <v>64</v>
      </c>
      <c r="E1390" s="16">
        <v>0</v>
      </c>
      <c r="F1390" s="16" t="s">
        <v>64</v>
      </c>
      <c r="G1390" s="16" t="s">
        <v>64</v>
      </c>
    </row>
    <row r="1391" spans="1:7" x14ac:dyDescent="0.2">
      <c r="A1391" t="s">
        <v>64</v>
      </c>
      <c r="B1391" t="s">
        <v>64</v>
      </c>
      <c r="C1391" s="3" t="s">
        <v>64</v>
      </c>
      <c r="D1391" s="16" t="s">
        <v>64</v>
      </c>
      <c r="E1391" s="16">
        <v>0</v>
      </c>
      <c r="F1391" s="16" t="s">
        <v>64</v>
      </c>
      <c r="G1391" s="16" t="s">
        <v>64</v>
      </c>
    </row>
    <row r="1392" spans="1:7" x14ac:dyDescent="0.2">
      <c r="A1392" t="s">
        <v>64</v>
      </c>
      <c r="B1392" t="s">
        <v>64</v>
      </c>
      <c r="C1392" s="3" t="s">
        <v>64</v>
      </c>
      <c r="D1392" s="16" t="s">
        <v>64</v>
      </c>
      <c r="E1392" s="16">
        <v>0</v>
      </c>
      <c r="F1392" s="16" t="s">
        <v>64</v>
      </c>
      <c r="G1392" s="16" t="s">
        <v>64</v>
      </c>
    </row>
    <row r="1393" spans="1:7" x14ac:dyDescent="0.2">
      <c r="A1393" t="s">
        <v>64</v>
      </c>
      <c r="B1393" t="s">
        <v>64</v>
      </c>
      <c r="C1393" s="3" t="s">
        <v>64</v>
      </c>
      <c r="D1393" s="16" t="s">
        <v>64</v>
      </c>
      <c r="E1393" s="16">
        <v>0</v>
      </c>
      <c r="F1393" s="16" t="s">
        <v>64</v>
      </c>
      <c r="G1393" s="16" t="s">
        <v>64</v>
      </c>
    </row>
    <row r="1394" spans="1:7" x14ac:dyDescent="0.2">
      <c r="A1394" t="s">
        <v>64</v>
      </c>
      <c r="B1394" t="s">
        <v>64</v>
      </c>
      <c r="C1394" s="3" t="s">
        <v>64</v>
      </c>
      <c r="D1394" s="16" t="s">
        <v>64</v>
      </c>
      <c r="E1394" s="16">
        <v>0</v>
      </c>
      <c r="F1394" s="16" t="s">
        <v>64</v>
      </c>
      <c r="G1394" s="16" t="s">
        <v>64</v>
      </c>
    </row>
    <row r="1395" spans="1:7" x14ac:dyDescent="0.2">
      <c r="A1395" t="s">
        <v>64</v>
      </c>
      <c r="B1395" t="s">
        <v>64</v>
      </c>
      <c r="C1395" s="3" t="s">
        <v>64</v>
      </c>
      <c r="D1395" s="16" t="s">
        <v>64</v>
      </c>
      <c r="E1395" s="16">
        <v>0</v>
      </c>
      <c r="F1395" s="16" t="s">
        <v>64</v>
      </c>
      <c r="G1395" s="16" t="s">
        <v>64</v>
      </c>
    </row>
    <row r="1396" spans="1:7" x14ac:dyDescent="0.2">
      <c r="A1396" t="s">
        <v>64</v>
      </c>
      <c r="B1396" t="s">
        <v>64</v>
      </c>
      <c r="C1396" s="3" t="s">
        <v>64</v>
      </c>
      <c r="D1396" s="16" t="s">
        <v>64</v>
      </c>
      <c r="E1396" s="16">
        <v>0</v>
      </c>
      <c r="F1396" s="16" t="s">
        <v>64</v>
      </c>
      <c r="G1396" s="16" t="s">
        <v>64</v>
      </c>
    </row>
    <row r="1397" spans="1:7" x14ac:dyDescent="0.2">
      <c r="A1397" t="s">
        <v>64</v>
      </c>
      <c r="B1397" t="s">
        <v>64</v>
      </c>
      <c r="C1397" s="3" t="s">
        <v>64</v>
      </c>
      <c r="D1397" s="16" t="s">
        <v>64</v>
      </c>
      <c r="E1397" s="16">
        <v>0</v>
      </c>
      <c r="F1397" s="16" t="s">
        <v>64</v>
      </c>
      <c r="G1397" s="16" t="s">
        <v>64</v>
      </c>
    </row>
    <row r="1398" spans="1:7" x14ac:dyDescent="0.2">
      <c r="A1398" t="s">
        <v>64</v>
      </c>
      <c r="B1398" t="s">
        <v>64</v>
      </c>
      <c r="C1398" s="3" t="s">
        <v>64</v>
      </c>
      <c r="D1398" s="16" t="s">
        <v>64</v>
      </c>
      <c r="E1398" s="16">
        <v>0</v>
      </c>
      <c r="F1398" s="16" t="s">
        <v>64</v>
      </c>
      <c r="G1398" s="16" t="s">
        <v>64</v>
      </c>
    </row>
    <row r="1399" spans="1:7" x14ac:dyDescent="0.2">
      <c r="A1399" t="s">
        <v>64</v>
      </c>
      <c r="B1399" t="s">
        <v>64</v>
      </c>
      <c r="C1399" s="3" t="s">
        <v>64</v>
      </c>
      <c r="D1399" s="16" t="s">
        <v>64</v>
      </c>
      <c r="E1399" s="16">
        <v>0</v>
      </c>
      <c r="F1399" s="16" t="s">
        <v>64</v>
      </c>
      <c r="G1399" s="16" t="s">
        <v>64</v>
      </c>
    </row>
    <row r="1400" spans="1:7" x14ac:dyDescent="0.2">
      <c r="A1400" t="s">
        <v>64</v>
      </c>
      <c r="B1400" t="s">
        <v>64</v>
      </c>
      <c r="C1400" s="3" t="s">
        <v>64</v>
      </c>
      <c r="D1400" s="16" t="s">
        <v>64</v>
      </c>
      <c r="E1400" s="16">
        <v>0</v>
      </c>
      <c r="F1400" s="16" t="s">
        <v>64</v>
      </c>
      <c r="G1400" s="16" t="s">
        <v>64</v>
      </c>
    </row>
    <row r="1401" spans="1:7" x14ac:dyDescent="0.2">
      <c r="A1401" t="s">
        <v>64</v>
      </c>
      <c r="B1401" t="s">
        <v>64</v>
      </c>
      <c r="C1401" s="3" t="s">
        <v>64</v>
      </c>
      <c r="D1401" s="16" t="s">
        <v>64</v>
      </c>
      <c r="E1401" s="16">
        <v>0</v>
      </c>
      <c r="F1401" s="16" t="s">
        <v>64</v>
      </c>
      <c r="G1401" s="16" t="s">
        <v>64</v>
      </c>
    </row>
    <row r="1402" spans="1:7" x14ac:dyDescent="0.2">
      <c r="A1402" t="s">
        <v>64</v>
      </c>
      <c r="B1402" t="s">
        <v>64</v>
      </c>
      <c r="C1402" s="3" t="s">
        <v>64</v>
      </c>
      <c r="D1402" s="16" t="s">
        <v>64</v>
      </c>
      <c r="E1402" s="16">
        <v>0</v>
      </c>
      <c r="F1402" s="16" t="s">
        <v>64</v>
      </c>
      <c r="G1402" s="16" t="s">
        <v>64</v>
      </c>
    </row>
    <row r="1403" spans="1:7" x14ac:dyDescent="0.2">
      <c r="A1403" t="s">
        <v>64</v>
      </c>
      <c r="B1403" t="s">
        <v>64</v>
      </c>
      <c r="C1403" s="3" t="s">
        <v>64</v>
      </c>
      <c r="D1403" s="16" t="s">
        <v>64</v>
      </c>
      <c r="E1403" s="16">
        <v>0</v>
      </c>
      <c r="F1403" s="16" t="s">
        <v>64</v>
      </c>
      <c r="G1403" s="16" t="s">
        <v>64</v>
      </c>
    </row>
    <row r="1404" spans="1:7" x14ac:dyDescent="0.2">
      <c r="A1404" t="s">
        <v>64</v>
      </c>
      <c r="B1404" t="s">
        <v>64</v>
      </c>
      <c r="C1404" s="3" t="s">
        <v>64</v>
      </c>
      <c r="D1404" s="16" t="s">
        <v>64</v>
      </c>
      <c r="E1404" s="16">
        <v>0</v>
      </c>
      <c r="F1404" s="16" t="s">
        <v>64</v>
      </c>
      <c r="G1404" s="16" t="s">
        <v>64</v>
      </c>
    </row>
    <row r="1405" spans="1:7" x14ac:dyDescent="0.2">
      <c r="A1405" t="s">
        <v>64</v>
      </c>
      <c r="B1405" t="s">
        <v>64</v>
      </c>
      <c r="C1405" s="3" t="s">
        <v>64</v>
      </c>
      <c r="D1405" s="16" t="s">
        <v>64</v>
      </c>
      <c r="E1405" s="16">
        <v>0</v>
      </c>
      <c r="F1405" s="16" t="s">
        <v>64</v>
      </c>
      <c r="G1405" s="16" t="s">
        <v>64</v>
      </c>
    </row>
    <row r="1406" spans="1:7" x14ac:dyDescent="0.2">
      <c r="A1406" t="s">
        <v>64</v>
      </c>
      <c r="B1406" t="s">
        <v>64</v>
      </c>
      <c r="C1406" s="3" t="s">
        <v>64</v>
      </c>
      <c r="D1406" s="16" t="s">
        <v>64</v>
      </c>
      <c r="E1406" s="16">
        <v>0</v>
      </c>
      <c r="F1406" s="16" t="s">
        <v>64</v>
      </c>
      <c r="G1406" s="16" t="s">
        <v>64</v>
      </c>
    </row>
    <row r="1407" spans="1:7" x14ac:dyDescent="0.2">
      <c r="A1407" t="s">
        <v>64</v>
      </c>
      <c r="B1407" t="s">
        <v>64</v>
      </c>
      <c r="C1407" s="3" t="s">
        <v>64</v>
      </c>
      <c r="D1407" s="16" t="s">
        <v>64</v>
      </c>
      <c r="E1407" s="16">
        <v>0</v>
      </c>
      <c r="F1407" s="16" t="s">
        <v>64</v>
      </c>
      <c r="G1407" s="16" t="s">
        <v>64</v>
      </c>
    </row>
    <row r="1408" spans="1:7" x14ac:dyDescent="0.2">
      <c r="A1408" t="s">
        <v>64</v>
      </c>
      <c r="B1408" t="s">
        <v>64</v>
      </c>
      <c r="C1408" s="3" t="s">
        <v>64</v>
      </c>
      <c r="D1408" s="16" t="s">
        <v>64</v>
      </c>
      <c r="E1408" s="16">
        <v>0</v>
      </c>
      <c r="F1408" s="16" t="s">
        <v>64</v>
      </c>
      <c r="G1408" s="16" t="s">
        <v>64</v>
      </c>
    </row>
    <row r="1409" spans="1:7" x14ac:dyDescent="0.2">
      <c r="A1409" t="s">
        <v>64</v>
      </c>
      <c r="B1409" t="s">
        <v>64</v>
      </c>
      <c r="C1409" s="3" t="s">
        <v>64</v>
      </c>
      <c r="D1409" s="16" t="s">
        <v>64</v>
      </c>
      <c r="E1409" s="16">
        <v>0</v>
      </c>
      <c r="F1409" s="16" t="s">
        <v>64</v>
      </c>
      <c r="G1409" s="16" t="s">
        <v>64</v>
      </c>
    </row>
    <row r="1410" spans="1:7" x14ac:dyDescent="0.2">
      <c r="A1410" t="s">
        <v>64</v>
      </c>
      <c r="B1410" t="s">
        <v>64</v>
      </c>
      <c r="C1410" s="3" t="s">
        <v>64</v>
      </c>
      <c r="D1410" s="16" t="s">
        <v>64</v>
      </c>
      <c r="E1410" s="16">
        <v>0</v>
      </c>
      <c r="F1410" s="16" t="s">
        <v>64</v>
      </c>
      <c r="G1410" s="16" t="s">
        <v>64</v>
      </c>
    </row>
    <row r="1411" spans="1:7" x14ac:dyDescent="0.2">
      <c r="A1411" t="s">
        <v>64</v>
      </c>
      <c r="B1411" t="s">
        <v>64</v>
      </c>
      <c r="C1411" s="3" t="s">
        <v>64</v>
      </c>
      <c r="D1411" s="16" t="s">
        <v>64</v>
      </c>
      <c r="E1411" s="16">
        <v>0</v>
      </c>
      <c r="F1411" s="16" t="s">
        <v>64</v>
      </c>
      <c r="G1411" s="16" t="s">
        <v>64</v>
      </c>
    </row>
    <row r="1412" spans="1:7" x14ac:dyDescent="0.2">
      <c r="A1412" t="s">
        <v>64</v>
      </c>
      <c r="B1412" t="s">
        <v>64</v>
      </c>
      <c r="C1412" s="3" t="s">
        <v>64</v>
      </c>
      <c r="D1412" s="16" t="s">
        <v>64</v>
      </c>
      <c r="E1412" s="16">
        <v>0</v>
      </c>
      <c r="F1412" s="16" t="s">
        <v>64</v>
      </c>
      <c r="G1412" s="16" t="s">
        <v>64</v>
      </c>
    </row>
    <row r="1413" spans="1:7" x14ac:dyDescent="0.2">
      <c r="A1413" t="s">
        <v>64</v>
      </c>
      <c r="B1413" t="s">
        <v>64</v>
      </c>
      <c r="C1413" s="3" t="s">
        <v>64</v>
      </c>
      <c r="D1413" s="16" t="s">
        <v>64</v>
      </c>
      <c r="E1413" s="16">
        <v>0</v>
      </c>
      <c r="F1413" s="16" t="s">
        <v>64</v>
      </c>
      <c r="G1413" s="16" t="s">
        <v>64</v>
      </c>
    </row>
    <row r="1414" spans="1:7" x14ac:dyDescent="0.2">
      <c r="A1414" t="s">
        <v>64</v>
      </c>
      <c r="B1414" t="s">
        <v>64</v>
      </c>
      <c r="C1414" s="3" t="s">
        <v>64</v>
      </c>
      <c r="D1414" s="16" t="s">
        <v>64</v>
      </c>
      <c r="E1414" s="16">
        <v>0</v>
      </c>
      <c r="F1414" s="16" t="s">
        <v>64</v>
      </c>
      <c r="G1414" s="16" t="s">
        <v>64</v>
      </c>
    </row>
    <row r="1415" spans="1:7" x14ac:dyDescent="0.2">
      <c r="A1415" t="s">
        <v>64</v>
      </c>
      <c r="B1415" t="s">
        <v>64</v>
      </c>
      <c r="C1415" s="3" t="s">
        <v>64</v>
      </c>
      <c r="D1415" s="16" t="s">
        <v>64</v>
      </c>
      <c r="E1415" s="16">
        <v>0</v>
      </c>
      <c r="F1415" s="16" t="s">
        <v>64</v>
      </c>
      <c r="G1415" s="16" t="s">
        <v>64</v>
      </c>
    </row>
    <row r="1416" spans="1:7" x14ac:dyDescent="0.2">
      <c r="A1416" t="s">
        <v>64</v>
      </c>
      <c r="B1416" t="s">
        <v>64</v>
      </c>
      <c r="C1416" s="3" t="s">
        <v>64</v>
      </c>
      <c r="D1416" s="16" t="s">
        <v>64</v>
      </c>
      <c r="E1416" s="16">
        <v>0</v>
      </c>
      <c r="F1416" s="16" t="s">
        <v>64</v>
      </c>
      <c r="G1416" s="16" t="s">
        <v>64</v>
      </c>
    </row>
    <row r="1417" spans="1:7" x14ac:dyDescent="0.2">
      <c r="A1417" t="s">
        <v>64</v>
      </c>
      <c r="B1417" t="s">
        <v>64</v>
      </c>
      <c r="C1417" s="3" t="s">
        <v>64</v>
      </c>
      <c r="D1417" s="16" t="s">
        <v>64</v>
      </c>
      <c r="E1417" s="16">
        <v>0</v>
      </c>
      <c r="F1417" s="16" t="s">
        <v>64</v>
      </c>
      <c r="G1417" s="16" t="s">
        <v>64</v>
      </c>
    </row>
    <row r="1418" spans="1:7" x14ac:dyDescent="0.2">
      <c r="A1418" t="s">
        <v>64</v>
      </c>
      <c r="B1418" t="s">
        <v>64</v>
      </c>
      <c r="C1418" s="3" t="s">
        <v>64</v>
      </c>
      <c r="D1418" s="16" t="s">
        <v>64</v>
      </c>
      <c r="E1418" s="16">
        <v>0</v>
      </c>
      <c r="F1418" s="16" t="s">
        <v>64</v>
      </c>
      <c r="G1418" s="16" t="s">
        <v>64</v>
      </c>
    </row>
    <row r="1419" spans="1:7" x14ac:dyDescent="0.2">
      <c r="A1419" t="s">
        <v>64</v>
      </c>
      <c r="B1419" t="s">
        <v>64</v>
      </c>
      <c r="C1419" s="3" t="s">
        <v>64</v>
      </c>
      <c r="D1419" s="16" t="s">
        <v>64</v>
      </c>
      <c r="E1419" s="16">
        <v>0</v>
      </c>
      <c r="F1419" s="16" t="s">
        <v>64</v>
      </c>
      <c r="G1419" s="16" t="s">
        <v>64</v>
      </c>
    </row>
    <row r="1420" spans="1:7" x14ac:dyDescent="0.2">
      <c r="A1420" t="s">
        <v>64</v>
      </c>
      <c r="B1420" t="s">
        <v>64</v>
      </c>
      <c r="C1420" s="3" t="s">
        <v>64</v>
      </c>
      <c r="D1420" s="16" t="s">
        <v>64</v>
      </c>
      <c r="E1420" s="16">
        <v>0</v>
      </c>
      <c r="F1420" s="16" t="s">
        <v>64</v>
      </c>
      <c r="G1420" s="16" t="s">
        <v>64</v>
      </c>
    </row>
    <row r="1421" spans="1:7" x14ac:dyDescent="0.2">
      <c r="A1421" t="s">
        <v>64</v>
      </c>
      <c r="B1421" t="s">
        <v>64</v>
      </c>
      <c r="C1421" s="3" t="s">
        <v>64</v>
      </c>
      <c r="D1421" s="16" t="s">
        <v>64</v>
      </c>
      <c r="E1421" s="16">
        <v>0</v>
      </c>
      <c r="F1421" s="16" t="s">
        <v>64</v>
      </c>
      <c r="G1421" s="16" t="s">
        <v>64</v>
      </c>
    </row>
    <row r="1422" spans="1:7" x14ac:dyDescent="0.2">
      <c r="A1422" t="s">
        <v>64</v>
      </c>
      <c r="B1422" t="s">
        <v>64</v>
      </c>
      <c r="C1422" s="3" t="s">
        <v>64</v>
      </c>
      <c r="D1422" s="16" t="s">
        <v>64</v>
      </c>
      <c r="E1422" s="16">
        <v>0</v>
      </c>
      <c r="F1422" s="16" t="s">
        <v>64</v>
      </c>
      <c r="G1422" s="16" t="s">
        <v>64</v>
      </c>
    </row>
    <row r="1423" spans="1:7" x14ac:dyDescent="0.2">
      <c r="A1423" t="s">
        <v>64</v>
      </c>
      <c r="B1423" t="s">
        <v>64</v>
      </c>
      <c r="C1423" s="3" t="s">
        <v>64</v>
      </c>
      <c r="D1423" s="16" t="s">
        <v>64</v>
      </c>
      <c r="E1423" s="16">
        <v>0</v>
      </c>
      <c r="F1423" s="16" t="s">
        <v>64</v>
      </c>
      <c r="G1423" s="16" t="s">
        <v>64</v>
      </c>
    </row>
    <row r="1424" spans="1:7" x14ac:dyDescent="0.2">
      <c r="A1424" t="s">
        <v>64</v>
      </c>
      <c r="B1424" t="s">
        <v>64</v>
      </c>
      <c r="C1424" s="3" t="s">
        <v>64</v>
      </c>
      <c r="D1424" s="16" t="s">
        <v>64</v>
      </c>
      <c r="E1424" s="16">
        <v>0</v>
      </c>
      <c r="F1424" s="16" t="s">
        <v>64</v>
      </c>
      <c r="G1424" s="16" t="s">
        <v>64</v>
      </c>
    </row>
    <row r="1425" spans="1:7" x14ac:dyDescent="0.2">
      <c r="A1425" t="s">
        <v>64</v>
      </c>
      <c r="B1425" t="s">
        <v>64</v>
      </c>
      <c r="C1425" s="3" t="s">
        <v>64</v>
      </c>
      <c r="D1425" s="16" t="s">
        <v>64</v>
      </c>
      <c r="E1425" s="16">
        <v>0</v>
      </c>
      <c r="F1425" s="16" t="s">
        <v>64</v>
      </c>
      <c r="G1425" s="16" t="s">
        <v>64</v>
      </c>
    </row>
    <row r="1426" spans="1:7" x14ac:dyDescent="0.2">
      <c r="A1426" t="s">
        <v>64</v>
      </c>
      <c r="B1426" t="s">
        <v>64</v>
      </c>
      <c r="C1426" s="3" t="s">
        <v>64</v>
      </c>
      <c r="D1426" s="16" t="s">
        <v>64</v>
      </c>
      <c r="E1426" s="16">
        <v>0</v>
      </c>
      <c r="F1426" s="16" t="s">
        <v>64</v>
      </c>
      <c r="G1426" s="16" t="s">
        <v>64</v>
      </c>
    </row>
    <row r="1427" spans="1:7" x14ac:dyDescent="0.2">
      <c r="A1427" t="s">
        <v>64</v>
      </c>
      <c r="B1427" t="s">
        <v>64</v>
      </c>
      <c r="C1427" s="3" t="s">
        <v>64</v>
      </c>
      <c r="D1427" s="16" t="s">
        <v>64</v>
      </c>
      <c r="E1427" s="16">
        <v>0</v>
      </c>
      <c r="F1427" s="16" t="s">
        <v>64</v>
      </c>
      <c r="G1427" s="16" t="s">
        <v>64</v>
      </c>
    </row>
    <row r="1428" spans="1:7" x14ac:dyDescent="0.2">
      <c r="A1428" t="s">
        <v>64</v>
      </c>
      <c r="B1428" t="s">
        <v>64</v>
      </c>
      <c r="C1428" s="3" t="s">
        <v>64</v>
      </c>
      <c r="D1428" s="16" t="s">
        <v>64</v>
      </c>
      <c r="E1428" s="16">
        <v>0</v>
      </c>
      <c r="F1428" s="16" t="s">
        <v>64</v>
      </c>
      <c r="G1428" s="16" t="s">
        <v>64</v>
      </c>
    </row>
    <row r="1429" spans="1:7" x14ac:dyDescent="0.2">
      <c r="A1429" t="s">
        <v>64</v>
      </c>
      <c r="B1429" t="s">
        <v>64</v>
      </c>
      <c r="C1429" s="3" t="s">
        <v>64</v>
      </c>
      <c r="D1429" s="16" t="s">
        <v>64</v>
      </c>
      <c r="E1429" s="16">
        <v>0</v>
      </c>
      <c r="F1429" s="16" t="s">
        <v>64</v>
      </c>
      <c r="G1429" s="16" t="s">
        <v>64</v>
      </c>
    </row>
    <row r="1430" spans="1:7" x14ac:dyDescent="0.2">
      <c r="A1430" t="s">
        <v>64</v>
      </c>
      <c r="B1430" t="s">
        <v>64</v>
      </c>
      <c r="C1430" s="3" t="s">
        <v>64</v>
      </c>
      <c r="D1430" s="16" t="s">
        <v>64</v>
      </c>
      <c r="E1430" s="16">
        <v>0</v>
      </c>
      <c r="F1430" s="16" t="s">
        <v>64</v>
      </c>
      <c r="G1430" s="16" t="s">
        <v>64</v>
      </c>
    </row>
    <row r="1431" spans="1:7" x14ac:dyDescent="0.2">
      <c r="A1431" t="s">
        <v>64</v>
      </c>
      <c r="B1431" t="s">
        <v>64</v>
      </c>
      <c r="C1431" s="3" t="s">
        <v>64</v>
      </c>
      <c r="D1431" s="16" t="s">
        <v>64</v>
      </c>
      <c r="E1431" s="16">
        <v>0</v>
      </c>
      <c r="F1431" s="16" t="s">
        <v>64</v>
      </c>
      <c r="G1431" s="16" t="s">
        <v>64</v>
      </c>
    </row>
    <row r="1432" spans="1:7" x14ac:dyDescent="0.2">
      <c r="A1432" t="s">
        <v>64</v>
      </c>
      <c r="B1432" t="s">
        <v>64</v>
      </c>
      <c r="C1432" s="3" t="s">
        <v>64</v>
      </c>
      <c r="D1432" s="16" t="s">
        <v>64</v>
      </c>
      <c r="E1432" s="16">
        <v>0</v>
      </c>
      <c r="F1432" s="16" t="s">
        <v>64</v>
      </c>
      <c r="G1432" s="16" t="s">
        <v>64</v>
      </c>
    </row>
    <row r="1433" spans="1:7" x14ac:dyDescent="0.2">
      <c r="A1433" t="s">
        <v>64</v>
      </c>
      <c r="B1433" t="s">
        <v>64</v>
      </c>
      <c r="C1433" s="3" t="s">
        <v>64</v>
      </c>
      <c r="D1433" s="16" t="s">
        <v>64</v>
      </c>
      <c r="E1433" s="16">
        <v>0</v>
      </c>
      <c r="F1433" s="16" t="s">
        <v>64</v>
      </c>
      <c r="G1433" s="16" t="s">
        <v>64</v>
      </c>
    </row>
    <row r="1434" spans="1:7" x14ac:dyDescent="0.2">
      <c r="A1434" t="s">
        <v>64</v>
      </c>
      <c r="B1434" t="s">
        <v>64</v>
      </c>
      <c r="C1434" s="3" t="s">
        <v>64</v>
      </c>
      <c r="D1434" s="16" t="s">
        <v>64</v>
      </c>
      <c r="E1434" s="16">
        <v>0</v>
      </c>
      <c r="F1434" s="16" t="s">
        <v>64</v>
      </c>
      <c r="G1434" s="16" t="s">
        <v>64</v>
      </c>
    </row>
    <row r="1435" spans="1:7" x14ac:dyDescent="0.2">
      <c r="A1435" t="s">
        <v>64</v>
      </c>
      <c r="B1435" t="s">
        <v>64</v>
      </c>
      <c r="C1435" s="3" t="s">
        <v>64</v>
      </c>
      <c r="D1435" s="16" t="s">
        <v>64</v>
      </c>
      <c r="E1435" s="16">
        <v>0</v>
      </c>
      <c r="F1435" s="16" t="s">
        <v>64</v>
      </c>
      <c r="G1435" s="16" t="s">
        <v>64</v>
      </c>
    </row>
    <row r="1436" spans="1:7" x14ac:dyDescent="0.2">
      <c r="A1436" t="s">
        <v>64</v>
      </c>
      <c r="B1436" t="s">
        <v>64</v>
      </c>
      <c r="C1436" s="3" t="s">
        <v>64</v>
      </c>
      <c r="D1436" s="16" t="s">
        <v>64</v>
      </c>
      <c r="E1436" s="16">
        <v>0</v>
      </c>
      <c r="F1436" s="16" t="s">
        <v>64</v>
      </c>
      <c r="G1436" s="16" t="s">
        <v>64</v>
      </c>
    </row>
    <row r="1437" spans="1:7" x14ac:dyDescent="0.2">
      <c r="A1437" t="s">
        <v>64</v>
      </c>
      <c r="B1437" t="s">
        <v>64</v>
      </c>
      <c r="C1437" s="3" t="s">
        <v>64</v>
      </c>
      <c r="D1437" s="16" t="s">
        <v>64</v>
      </c>
      <c r="E1437" s="16">
        <v>0</v>
      </c>
      <c r="F1437" s="16" t="s">
        <v>64</v>
      </c>
      <c r="G1437" s="16" t="s">
        <v>64</v>
      </c>
    </row>
    <row r="1438" spans="1:7" x14ac:dyDescent="0.2">
      <c r="A1438" t="s">
        <v>64</v>
      </c>
      <c r="B1438" t="s">
        <v>64</v>
      </c>
      <c r="C1438" s="3" t="s">
        <v>64</v>
      </c>
      <c r="D1438" s="16" t="s">
        <v>64</v>
      </c>
      <c r="E1438" s="16">
        <v>0</v>
      </c>
      <c r="F1438" s="16" t="s">
        <v>64</v>
      </c>
      <c r="G1438" s="16" t="s">
        <v>64</v>
      </c>
    </row>
    <row r="1439" spans="1:7" x14ac:dyDescent="0.2">
      <c r="A1439" t="s">
        <v>64</v>
      </c>
      <c r="B1439" t="s">
        <v>64</v>
      </c>
      <c r="C1439" s="3" t="s">
        <v>64</v>
      </c>
      <c r="D1439" s="16" t="s">
        <v>64</v>
      </c>
      <c r="E1439" s="16">
        <v>0</v>
      </c>
      <c r="F1439" s="16" t="s">
        <v>64</v>
      </c>
      <c r="G1439" s="16" t="s">
        <v>64</v>
      </c>
    </row>
    <row r="1440" spans="1:7" x14ac:dyDescent="0.2">
      <c r="A1440" t="s">
        <v>64</v>
      </c>
      <c r="B1440" t="s">
        <v>64</v>
      </c>
      <c r="C1440" s="3" t="s">
        <v>64</v>
      </c>
      <c r="D1440" s="16" t="s">
        <v>64</v>
      </c>
      <c r="E1440" s="16">
        <v>0</v>
      </c>
      <c r="F1440" s="16" t="s">
        <v>64</v>
      </c>
      <c r="G1440" s="16" t="s">
        <v>64</v>
      </c>
    </row>
    <row r="1441" spans="1:7" x14ac:dyDescent="0.2">
      <c r="A1441" t="s">
        <v>64</v>
      </c>
      <c r="B1441" t="s">
        <v>64</v>
      </c>
      <c r="C1441" s="3" t="s">
        <v>64</v>
      </c>
      <c r="D1441" s="16" t="s">
        <v>64</v>
      </c>
      <c r="E1441" s="16">
        <v>0</v>
      </c>
      <c r="F1441" s="16" t="s">
        <v>64</v>
      </c>
      <c r="G1441" s="16" t="s">
        <v>64</v>
      </c>
    </row>
    <row r="1442" spans="1:7" x14ac:dyDescent="0.2">
      <c r="A1442" t="s">
        <v>64</v>
      </c>
      <c r="B1442" t="s">
        <v>64</v>
      </c>
      <c r="C1442" s="3" t="s">
        <v>64</v>
      </c>
      <c r="D1442" s="16" t="s">
        <v>64</v>
      </c>
      <c r="E1442" s="16">
        <v>0</v>
      </c>
      <c r="F1442" s="16" t="s">
        <v>64</v>
      </c>
      <c r="G1442" s="16" t="s">
        <v>64</v>
      </c>
    </row>
    <row r="1443" spans="1:7" x14ac:dyDescent="0.2">
      <c r="A1443" t="s">
        <v>64</v>
      </c>
      <c r="B1443" t="s">
        <v>64</v>
      </c>
      <c r="C1443" s="3" t="s">
        <v>64</v>
      </c>
      <c r="D1443" s="16" t="s">
        <v>64</v>
      </c>
      <c r="E1443" s="16">
        <v>0</v>
      </c>
      <c r="F1443" s="16" t="s">
        <v>64</v>
      </c>
      <c r="G1443" s="16" t="s">
        <v>64</v>
      </c>
    </row>
    <row r="1444" spans="1:7" x14ac:dyDescent="0.2">
      <c r="A1444" t="s">
        <v>64</v>
      </c>
      <c r="B1444" t="s">
        <v>64</v>
      </c>
      <c r="C1444" s="3" t="s">
        <v>64</v>
      </c>
      <c r="D1444" s="16" t="s">
        <v>64</v>
      </c>
      <c r="E1444" s="16">
        <v>0</v>
      </c>
      <c r="F1444" s="16" t="s">
        <v>64</v>
      </c>
      <c r="G1444" s="16" t="s">
        <v>64</v>
      </c>
    </row>
    <row r="1445" spans="1:7" x14ac:dyDescent="0.2">
      <c r="A1445" t="s">
        <v>64</v>
      </c>
      <c r="B1445" t="s">
        <v>64</v>
      </c>
      <c r="C1445" s="3" t="s">
        <v>64</v>
      </c>
      <c r="D1445" s="16" t="s">
        <v>64</v>
      </c>
      <c r="E1445" s="16">
        <v>0</v>
      </c>
      <c r="F1445" s="16" t="s">
        <v>64</v>
      </c>
      <c r="G1445" s="16" t="s">
        <v>64</v>
      </c>
    </row>
    <row r="1446" spans="1:7" x14ac:dyDescent="0.2">
      <c r="A1446" t="s">
        <v>64</v>
      </c>
      <c r="B1446" t="s">
        <v>64</v>
      </c>
      <c r="C1446" s="3" t="s">
        <v>64</v>
      </c>
      <c r="D1446" s="16" t="s">
        <v>64</v>
      </c>
      <c r="E1446" s="16">
        <v>0</v>
      </c>
      <c r="F1446" s="16" t="s">
        <v>64</v>
      </c>
      <c r="G1446" s="16" t="s">
        <v>64</v>
      </c>
    </row>
    <row r="1447" spans="1:7" x14ac:dyDescent="0.2">
      <c r="A1447" t="s">
        <v>64</v>
      </c>
      <c r="B1447" t="s">
        <v>64</v>
      </c>
      <c r="C1447" s="3" t="s">
        <v>64</v>
      </c>
      <c r="D1447" s="16" t="s">
        <v>64</v>
      </c>
      <c r="E1447" s="16">
        <v>0</v>
      </c>
      <c r="F1447" s="16" t="s">
        <v>64</v>
      </c>
      <c r="G1447" s="16" t="s">
        <v>64</v>
      </c>
    </row>
    <row r="1448" spans="1:7" x14ac:dyDescent="0.2">
      <c r="A1448" t="s">
        <v>64</v>
      </c>
      <c r="B1448" t="s">
        <v>64</v>
      </c>
      <c r="C1448" s="3" t="s">
        <v>64</v>
      </c>
      <c r="D1448" s="16" t="s">
        <v>64</v>
      </c>
      <c r="E1448" s="16">
        <v>0</v>
      </c>
      <c r="F1448" s="16" t="s">
        <v>64</v>
      </c>
      <c r="G1448" s="16" t="s">
        <v>64</v>
      </c>
    </row>
    <row r="1449" spans="1:7" x14ac:dyDescent="0.2">
      <c r="A1449" t="s">
        <v>64</v>
      </c>
      <c r="B1449" t="s">
        <v>64</v>
      </c>
      <c r="C1449" s="3" t="s">
        <v>64</v>
      </c>
      <c r="D1449" s="16" t="s">
        <v>64</v>
      </c>
      <c r="E1449" s="16">
        <v>0</v>
      </c>
      <c r="F1449" s="16" t="s">
        <v>64</v>
      </c>
      <c r="G1449" s="16" t="s">
        <v>64</v>
      </c>
    </row>
    <row r="1450" spans="1:7" x14ac:dyDescent="0.2">
      <c r="A1450" t="s">
        <v>64</v>
      </c>
      <c r="B1450" t="s">
        <v>64</v>
      </c>
      <c r="C1450" s="3" t="s">
        <v>64</v>
      </c>
      <c r="D1450" s="16" t="s">
        <v>64</v>
      </c>
      <c r="E1450" s="16">
        <v>0</v>
      </c>
      <c r="F1450" s="16" t="s">
        <v>64</v>
      </c>
      <c r="G1450" s="16" t="s">
        <v>64</v>
      </c>
    </row>
    <row r="1451" spans="1:7" x14ac:dyDescent="0.2">
      <c r="A1451" t="s">
        <v>64</v>
      </c>
      <c r="B1451" t="s">
        <v>64</v>
      </c>
      <c r="C1451" s="3" t="s">
        <v>64</v>
      </c>
      <c r="D1451" s="16" t="s">
        <v>64</v>
      </c>
      <c r="E1451" s="16">
        <v>0</v>
      </c>
      <c r="F1451" s="16" t="s">
        <v>64</v>
      </c>
      <c r="G1451" s="16" t="s">
        <v>64</v>
      </c>
    </row>
    <row r="1452" spans="1:7" x14ac:dyDescent="0.2">
      <c r="A1452" t="s">
        <v>64</v>
      </c>
      <c r="B1452" t="s">
        <v>64</v>
      </c>
      <c r="C1452" s="3" t="s">
        <v>64</v>
      </c>
      <c r="D1452" s="16" t="s">
        <v>64</v>
      </c>
      <c r="E1452" s="16">
        <v>0</v>
      </c>
      <c r="F1452" s="16" t="s">
        <v>64</v>
      </c>
      <c r="G1452" s="16" t="s">
        <v>64</v>
      </c>
    </row>
    <row r="1453" spans="1:7" x14ac:dyDescent="0.2">
      <c r="A1453" t="s">
        <v>64</v>
      </c>
      <c r="B1453" t="s">
        <v>64</v>
      </c>
      <c r="C1453" s="3" t="s">
        <v>64</v>
      </c>
      <c r="D1453" s="16" t="s">
        <v>64</v>
      </c>
      <c r="E1453" s="16">
        <v>0</v>
      </c>
      <c r="F1453" s="16" t="s">
        <v>64</v>
      </c>
      <c r="G1453" s="16" t="s">
        <v>64</v>
      </c>
    </row>
    <row r="1454" spans="1:7" x14ac:dyDescent="0.2">
      <c r="A1454" t="s">
        <v>64</v>
      </c>
      <c r="B1454" t="s">
        <v>64</v>
      </c>
      <c r="C1454" s="3" t="s">
        <v>64</v>
      </c>
      <c r="D1454" s="16" t="s">
        <v>64</v>
      </c>
      <c r="E1454" s="16">
        <v>0</v>
      </c>
      <c r="F1454" s="16" t="s">
        <v>64</v>
      </c>
      <c r="G1454" s="16" t="s">
        <v>64</v>
      </c>
    </row>
    <row r="1455" spans="1:7" x14ac:dyDescent="0.2">
      <c r="A1455" t="s">
        <v>64</v>
      </c>
      <c r="B1455" t="s">
        <v>64</v>
      </c>
      <c r="C1455" s="3" t="s">
        <v>64</v>
      </c>
      <c r="D1455" s="16" t="s">
        <v>64</v>
      </c>
      <c r="E1455" s="16">
        <v>0</v>
      </c>
      <c r="F1455" s="16" t="s">
        <v>64</v>
      </c>
      <c r="G1455" s="16" t="s">
        <v>64</v>
      </c>
    </row>
    <row r="1456" spans="1:7" x14ac:dyDescent="0.2">
      <c r="A1456" t="s">
        <v>64</v>
      </c>
      <c r="B1456" t="s">
        <v>64</v>
      </c>
      <c r="C1456" s="3" t="s">
        <v>64</v>
      </c>
      <c r="D1456" s="16" t="s">
        <v>64</v>
      </c>
      <c r="E1456" s="16">
        <v>0</v>
      </c>
      <c r="F1456" s="16" t="s">
        <v>64</v>
      </c>
      <c r="G1456" s="16" t="s">
        <v>64</v>
      </c>
    </row>
    <row r="1457" spans="1:7" x14ac:dyDescent="0.2">
      <c r="A1457" t="s">
        <v>64</v>
      </c>
      <c r="B1457" t="s">
        <v>64</v>
      </c>
      <c r="C1457" s="3" t="s">
        <v>64</v>
      </c>
      <c r="D1457" s="16" t="s">
        <v>64</v>
      </c>
      <c r="E1457" s="16">
        <v>0</v>
      </c>
      <c r="F1457" s="16" t="s">
        <v>64</v>
      </c>
      <c r="G1457" s="16" t="s">
        <v>64</v>
      </c>
    </row>
    <row r="1458" spans="1:7" x14ac:dyDescent="0.2">
      <c r="A1458" t="s">
        <v>64</v>
      </c>
      <c r="B1458" t="s">
        <v>64</v>
      </c>
      <c r="C1458" s="3" t="s">
        <v>64</v>
      </c>
      <c r="D1458" s="16" t="s">
        <v>64</v>
      </c>
      <c r="E1458" s="16">
        <v>0</v>
      </c>
      <c r="F1458" s="16" t="s">
        <v>64</v>
      </c>
      <c r="G1458" s="16" t="s">
        <v>64</v>
      </c>
    </row>
    <row r="1459" spans="1:7" x14ac:dyDescent="0.2">
      <c r="A1459" t="s">
        <v>64</v>
      </c>
      <c r="B1459" t="s">
        <v>64</v>
      </c>
      <c r="C1459" s="3" t="s">
        <v>64</v>
      </c>
      <c r="D1459" s="16" t="s">
        <v>64</v>
      </c>
      <c r="E1459" s="16">
        <v>0</v>
      </c>
      <c r="F1459" s="16" t="s">
        <v>64</v>
      </c>
      <c r="G1459" s="16" t="s">
        <v>64</v>
      </c>
    </row>
    <row r="1460" spans="1:7" x14ac:dyDescent="0.2">
      <c r="A1460" t="s">
        <v>64</v>
      </c>
      <c r="B1460" t="s">
        <v>64</v>
      </c>
      <c r="C1460" s="3" t="s">
        <v>64</v>
      </c>
      <c r="D1460" s="16" t="s">
        <v>64</v>
      </c>
      <c r="E1460" s="16">
        <v>0</v>
      </c>
      <c r="F1460" s="16" t="s">
        <v>64</v>
      </c>
      <c r="G1460" s="16" t="s">
        <v>64</v>
      </c>
    </row>
    <row r="1461" spans="1:7" x14ac:dyDescent="0.2">
      <c r="A1461" t="s">
        <v>64</v>
      </c>
      <c r="B1461" t="s">
        <v>64</v>
      </c>
      <c r="C1461" s="3" t="s">
        <v>64</v>
      </c>
      <c r="D1461" s="16" t="s">
        <v>64</v>
      </c>
      <c r="E1461" s="16">
        <v>0</v>
      </c>
      <c r="F1461" s="16" t="s">
        <v>64</v>
      </c>
      <c r="G1461" s="16" t="s">
        <v>64</v>
      </c>
    </row>
    <row r="1462" spans="1:7" x14ac:dyDescent="0.2">
      <c r="A1462" t="s">
        <v>64</v>
      </c>
      <c r="B1462" t="s">
        <v>64</v>
      </c>
      <c r="C1462" s="3" t="s">
        <v>64</v>
      </c>
      <c r="D1462" s="16" t="s">
        <v>64</v>
      </c>
      <c r="E1462" s="16">
        <v>0</v>
      </c>
      <c r="F1462" s="16" t="s">
        <v>64</v>
      </c>
      <c r="G1462" s="16" t="s">
        <v>64</v>
      </c>
    </row>
    <row r="1463" spans="1:7" x14ac:dyDescent="0.2">
      <c r="A1463" t="s">
        <v>64</v>
      </c>
      <c r="B1463" t="s">
        <v>64</v>
      </c>
      <c r="C1463" s="3" t="s">
        <v>64</v>
      </c>
      <c r="D1463" s="16" t="s">
        <v>64</v>
      </c>
      <c r="E1463" s="16">
        <v>0</v>
      </c>
      <c r="F1463" s="16" t="s">
        <v>64</v>
      </c>
      <c r="G1463" s="16" t="s">
        <v>64</v>
      </c>
    </row>
    <row r="1464" spans="1:7" x14ac:dyDescent="0.2">
      <c r="A1464" t="s">
        <v>64</v>
      </c>
      <c r="B1464" t="s">
        <v>64</v>
      </c>
      <c r="C1464" s="3" t="s">
        <v>64</v>
      </c>
      <c r="D1464" s="16" t="s">
        <v>64</v>
      </c>
      <c r="E1464" s="16">
        <v>0</v>
      </c>
      <c r="F1464" s="16" t="s">
        <v>64</v>
      </c>
      <c r="G1464" s="16" t="s">
        <v>64</v>
      </c>
    </row>
    <row r="1465" spans="1:7" x14ac:dyDescent="0.2">
      <c r="A1465" t="s">
        <v>64</v>
      </c>
      <c r="B1465" t="s">
        <v>64</v>
      </c>
      <c r="C1465" s="3" t="s">
        <v>64</v>
      </c>
      <c r="D1465" s="16" t="s">
        <v>64</v>
      </c>
      <c r="E1465" s="16">
        <v>0</v>
      </c>
      <c r="F1465" s="16" t="s">
        <v>64</v>
      </c>
      <c r="G1465" s="16" t="s">
        <v>64</v>
      </c>
    </row>
    <row r="1466" spans="1:7" x14ac:dyDescent="0.2">
      <c r="A1466" t="s">
        <v>64</v>
      </c>
      <c r="B1466" t="s">
        <v>64</v>
      </c>
      <c r="C1466" s="3" t="s">
        <v>64</v>
      </c>
      <c r="D1466" s="16" t="s">
        <v>64</v>
      </c>
      <c r="E1466" s="16">
        <v>0</v>
      </c>
      <c r="F1466" s="16" t="s">
        <v>64</v>
      </c>
      <c r="G1466" s="16" t="s">
        <v>64</v>
      </c>
    </row>
    <row r="1467" spans="1:7" x14ac:dyDescent="0.2">
      <c r="A1467" t="s">
        <v>64</v>
      </c>
      <c r="B1467" t="s">
        <v>64</v>
      </c>
      <c r="C1467" s="3" t="s">
        <v>64</v>
      </c>
      <c r="D1467" s="16" t="s">
        <v>64</v>
      </c>
      <c r="E1467" s="16">
        <v>0</v>
      </c>
      <c r="F1467" s="16" t="s">
        <v>64</v>
      </c>
      <c r="G1467" s="16" t="s">
        <v>64</v>
      </c>
    </row>
    <row r="1468" spans="1:7" x14ac:dyDescent="0.2">
      <c r="A1468" t="s">
        <v>64</v>
      </c>
      <c r="B1468" t="s">
        <v>64</v>
      </c>
      <c r="C1468" s="3" t="s">
        <v>64</v>
      </c>
      <c r="D1468" s="16" t="s">
        <v>64</v>
      </c>
      <c r="E1468" s="16">
        <v>0</v>
      </c>
      <c r="F1468" s="16" t="s">
        <v>64</v>
      </c>
      <c r="G1468" s="16" t="s">
        <v>64</v>
      </c>
    </row>
    <row r="1469" spans="1:7" x14ac:dyDescent="0.2">
      <c r="A1469" t="s">
        <v>64</v>
      </c>
      <c r="B1469" t="s">
        <v>64</v>
      </c>
      <c r="C1469" s="3" t="s">
        <v>64</v>
      </c>
      <c r="D1469" s="16" t="s">
        <v>64</v>
      </c>
      <c r="E1469" s="16">
        <v>0</v>
      </c>
      <c r="F1469" s="16" t="s">
        <v>64</v>
      </c>
      <c r="G1469" s="16" t="s">
        <v>64</v>
      </c>
    </row>
    <row r="1470" spans="1:7" x14ac:dyDescent="0.2">
      <c r="A1470" t="s">
        <v>64</v>
      </c>
      <c r="B1470" t="s">
        <v>64</v>
      </c>
      <c r="C1470" s="3" t="s">
        <v>64</v>
      </c>
      <c r="D1470" s="16" t="s">
        <v>64</v>
      </c>
      <c r="E1470" s="16">
        <v>0</v>
      </c>
      <c r="F1470" s="16" t="s">
        <v>64</v>
      </c>
      <c r="G1470" s="16" t="s">
        <v>64</v>
      </c>
    </row>
    <row r="1471" spans="1:7" x14ac:dyDescent="0.2">
      <c r="A1471" t="s">
        <v>64</v>
      </c>
      <c r="B1471" t="s">
        <v>64</v>
      </c>
      <c r="C1471" s="3" t="s">
        <v>64</v>
      </c>
      <c r="D1471" s="16" t="s">
        <v>64</v>
      </c>
      <c r="E1471" s="16">
        <v>0</v>
      </c>
      <c r="F1471" s="16" t="s">
        <v>64</v>
      </c>
      <c r="G1471" s="16" t="s">
        <v>64</v>
      </c>
    </row>
    <row r="1472" spans="1:7" x14ac:dyDescent="0.2">
      <c r="A1472" t="s">
        <v>64</v>
      </c>
      <c r="B1472" t="s">
        <v>64</v>
      </c>
      <c r="C1472" s="3" t="s">
        <v>64</v>
      </c>
      <c r="D1472" s="16" t="s">
        <v>64</v>
      </c>
      <c r="E1472" s="16">
        <v>0</v>
      </c>
      <c r="F1472" s="16" t="s">
        <v>64</v>
      </c>
      <c r="G1472" s="16" t="s">
        <v>64</v>
      </c>
    </row>
    <row r="1473" spans="1:7" x14ac:dyDescent="0.2">
      <c r="A1473" t="s">
        <v>64</v>
      </c>
      <c r="B1473" t="s">
        <v>64</v>
      </c>
      <c r="C1473" s="3" t="s">
        <v>64</v>
      </c>
      <c r="D1473" s="16" t="s">
        <v>64</v>
      </c>
      <c r="E1473" s="16">
        <v>0</v>
      </c>
      <c r="F1473" s="16" t="s">
        <v>64</v>
      </c>
      <c r="G1473" s="16" t="s">
        <v>64</v>
      </c>
    </row>
    <row r="1474" spans="1:7" x14ac:dyDescent="0.2">
      <c r="A1474" t="s">
        <v>64</v>
      </c>
      <c r="B1474" t="s">
        <v>64</v>
      </c>
      <c r="C1474" s="3" t="s">
        <v>64</v>
      </c>
      <c r="D1474" s="16" t="s">
        <v>64</v>
      </c>
      <c r="E1474" s="16">
        <v>0</v>
      </c>
      <c r="F1474" s="16" t="s">
        <v>64</v>
      </c>
      <c r="G1474" s="16" t="s">
        <v>64</v>
      </c>
    </row>
    <row r="1475" spans="1:7" x14ac:dyDescent="0.2">
      <c r="A1475" t="s">
        <v>64</v>
      </c>
      <c r="B1475" t="s">
        <v>64</v>
      </c>
      <c r="C1475" s="3" t="s">
        <v>64</v>
      </c>
      <c r="D1475" s="16" t="s">
        <v>64</v>
      </c>
      <c r="E1475" s="16">
        <v>0</v>
      </c>
      <c r="F1475" s="16" t="s">
        <v>64</v>
      </c>
      <c r="G1475" s="16" t="s">
        <v>64</v>
      </c>
    </row>
    <row r="1476" spans="1:7" x14ac:dyDescent="0.2">
      <c r="A1476" t="s">
        <v>64</v>
      </c>
      <c r="B1476" t="s">
        <v>64</v>
      </c>
      <c r="C1476" s="3" t="s">
        <v>64</v>
      </c>
      <c r="D1476" s="16" t="s">
        <v>64</v>
      </c>
      <c r="E1476" s="16">
        <v>0</v>
      </c>
      <c r="F1476" s="16" t="s">
        <v>64</v>
      </c>
      <c r="G1476" s="16" t="s">
        <v>64</v>
      </c>
    </row>
    <row r="1477" spans="1:7" x14ac:dyDescent="0.2">
      <c r="A1477" t="s">
        <v>64</v>
      </c>
      <c r="B1477" t="s">
        <v>64</v>
      </c>
      <c r="C1477" s="3" t="s">
        <v>64</v>
      </c>
      <c r="D1477" s="16" t="s">
        <v>64</v>
      </c>
      <c r="E1477" s="16">
        <v>0</v>
      </c>
      <c r="F1477" s="16" t="s">
        <v>64</v>
      </c>
      <c r="G1477" s="16" t="s">
        <v>64</v>
      </c>
    </row>
    <row r="1478" spans="1:7" x14ac:dyDescent="0.2">
      <c r="A1478" t="s">
        <v>64</v>
      </c>
      <c r="B1478" t="s">
        <v>64</v>
      </c>
      <c r="C1478" s="3" t="s">
        <v>64</v>
      </c>
      <c r="D1478" s="16" t="s">
        <v>64</v>
      </c>
      <c r="E1478" s="16">
        <v>0</v>
      </c>
      <c r="F1478" s="16" t="s">
        <v>64</v>
      </c>
      <c r="G1478" s="16" t="s">
        <v>64</v>
      </c>
    </row>
    <row r="1479" spans="1:7" x14ac:dyDescent="0.2">
      <c r="A1479" t="s">
        <v>64</v>
      </c>
      <c r="B1479" t="s">
        <v>64</v>
      </c>
      <c r="C1479" s="3" t="s">
        <v>64</v>
      </c>
      <c r="D1479" s="16" t="s">
        <v>64</v>
      </c>
      <c r="E1479" s="16">
        <v>0</v>
      </c>
      <c r="F1479" s="16" t="s">
        <v>64</v>
      </c>
      <c r="G1479" s="16" t="s">
        <v>64</v>
      </c>
    </row>
    <row r="1480" spans="1:7" x14ac:dyDescent="0.2">
      <c r="A1480" t="s">
        <v>64</v>
      </c>
      <c r="B1480" t="s">
        <v>64</v>
      </c>
      <c r="C1480" s="3" t="s">
        <v>64</v>
      </c>
      <c r="D1480" s="16" t="s">
        <v>64</v>
      </c>
      <c r="E1480" s="16">
        <v>0</v>
      </c>
      <c r="F1480" s="16" t="s">
        <v>64</v>
      </c>
      <c r="G1480" s="16" t="s">
        <v>64</v>
      </c>
    </row>
    <row r="1481" spans="1:7" x14ac:dyDescent="0.2">
      <c r="A1481" t="s">
        <v>64</v>
      </c>
      <c r="B1481" t="s">
        <v>64</v>
      </c>
      <c r="C1481" s="3" t="s">
        <v>64</v>
      </c>
      <c r="D1481" s="16" t="s">
        <v>64</v>
      </c>
      <c r="E1481" s="16">
        <v>0</v>
      </c>
      <c r="F1481" s="16" t="s">
        <v>64</v>
      </c>
      <c r="G1481" s="16" t="s">
        <v>64</v>
      </c>
    </row>
    <row r="1482" spans="1:7" x14ac:dyDescent="0.2">
      <c r="A1482" t="s">
        <v>64</v>
      </c>
      <c r="B1482" t="s">
        <v>64</v>
      </c>
      <c r="C1482" s="3" t="s">
        <v>64</v>
      </c>
      <c r="D1482" s="16" t="s">
        <v>64</v>
      </c>
      <c r="E1482" s="16">
        <v>0</v>
      </c>
      <c r="F1482" s="16" t="s">
        <v>64</v>
      </c>
      <c r="G1482" s="16" t="s">
        <v>64</v>
      </c>
    </row>
    <row r="1483" spans="1:7" x14ac:dyDescent="0.2">
      <c r="A1483" t="s">
        <v>64</v>
      </c>
      <c r="B1483" t="s">
        <v>64</v>
      </c>
      <c r="C1483" s="3" t="s">
        <v>64</v>
      </c>
      <c r="D1483" s="16" t="s">
        <v>64</v>
      </c>
      <c r="E1483" s="16">
        <v>0</v>
      </c>
      <c r="F1483" s="16" t="s">
        <v>64</v>
      </c>
      <c r="G1483" s="16" t="s">
        <v>64</v>
      </c>
    </row>
    <row r="1484" spans="1:7" x14ac:dyDescent="0.2">
      <c r="A1484" t="s">
        <v>64</v>
      </c>
      <c r="B1484" t="s">
        <v>64</v>
      </c>
      <c r="C1484" s="3" t="s">
        <v>64</v>
      </c>
      <c r="D1484" s="16" t="s">
        <v>64</v>
      </c>
      <c r="E1484" s="16">
        <v>0</v>
      </c>
      <c r="F1484" s="16" t="s">
        <v>64</v>
      </c>
      <c r="G1484" s="16" t="s">
        <v>64</v>
      </c>
    </row>
    <row r="1485" spans="1:7" x14ac:dyDescent="0.2">
      <c r="A1485" t="s">
        <v>64</v>
      </c>
      <c r="B1485" t="s">
        <v>64</v>
      </c>
      <c r="C1485" s="3" t="s">
        <v>64</v>
      </c>
      <c r="D1485" s="16" t="s">
        <v>64</v>
      </c>
      <c r="E1485" s="16">
        <v>0</v>
      </c>
      <c r="F1485" s="16" t="s">
        <v>64</v>
      </c>
      <c r="G1485" s="16" t="s">
        <v>64</v>
      </c>
    </row>
    <row r="1486" spans="1:7" x14ac:dyDescent="0.2">
      <c r="A1486" t="s">
        <v>64</v>
      </c>
      <c r="B1486" t="s">
        <v>64</v>
      </c>
      <c r="C1486" s="3" t="s">
        <v>64</v>
      </c>
      <c r="D1486" s="16" t="s">
        <v>64</v>
      </c>
      <c r="E1486" s="16">
        <v>0</v>
      </c>
      <c r="F1486" s="16" t="s">
        <v>64</v>
      </c>
      <c r="G1486" s="16" t="s">
        <v>64</v>
      </c>
    </row>
    <row r="1487" spans="1:7" x14ac:dyDescent="0.2">
      <c r="A1487" t="s">
        <v>64</v>
      </c>
      <c r="B1487" t="s">
        <v>64</v>
      </c>
      <c r="C1487" s="3" t="s">
        <v>64</v>
      </c>
      <c r="D1487" s="16" t="s">
        <v>64</v>
      </c>
      <c r="E1487" s="16">
        <v>0</v>
      </c>
      <c r="F1487" s="16" t="s">
        <v>64</v>
      </c>
      <c r="G1487" s="16" t="s">
        <v>64</v>
      </c>
    </row>
    <row r="1488" spans="1:7" x14ac:dyDescent="0.2">
      <c r="A1488" t="s">
        <v>64</v>
      </c>
      <c r="B1488" t="s">
        <v>64</v>
      </c>
      <c r="C1488" s="3" t="s">
        <v>64</v>
      </c>
      <c r="D1488" s="16" t="s">
        <v>64</v>
      </c>
      <c r="E1488" s="16">
        <v>0</v>
      </c>
      <c r="F1488" s="16" t="s">
        <v>64</v>
      </c>
      <c r="G1488" s="16" t="s">
        <v>64</v>
      </c>
    </row>
    <row r="1489" spans="1:7" x14ac:dyDescent="0.2">
      <c r="A1489" t="s">
        <v>64</v>
      </c>
      <c r="B1489" t="s">
        <v>64</v>
      </c>
      <c r="C1489" s="3" t="s">
        <v>64</v>
      </c>
      <c r="D1489" s="16" t="s">
        <v>64</v>
      </c>
      <c r="E1489" s="16">
        <v>0</v>
      </c>
      <c r="F1489" s="16" t="s">
        <v>64</v>
      </c>
      <c r="G1489" s="16" t="s">
        <v>64</v>
      </c>
    </row>
    <row r="1490" spans="1:7" x14ac:dyDescent="0.2">
      <c r="A1490" t="s">
        <v>64</v>
      </c>
      <c r="B1490" t="s">
        <v>64</v>
      </c>
      <c r="C1490" s="3" t="s">
        <v>64</v>
      </c>
      <c r="D1490" s="16" t="s">
        <v>64</v>
      </c>
      <c r="E1490" s="16">
        <v>0</v>
      </c>
      <c r="F1490" s="16" t="s">
        <v>64</v>
      </c>
      <c r="G1490" s="16" t="s">
        <v>64</v>
      </c>
    </row>
    <row r="1491" spans="1:7" x14ac:dyDescent="0.2">
      <c r="A1491" t="s">
        <v>64</v>
      </c>
      <c r="B1491" t="s">
        <v>64</v>
      </c>
      <c r="C1491" s="3" t="s">
        <v>64</v>
      </c>
      <c r="D1491" s="16" t="s">
        <v>64</v>
      </c>
      <c r="E1491" s="16">
        <v>0</v>
      </c>
      <c r="F1491" s="16" t="s">
        <v>64</v>
      </c>
      <c r="G1491" s="16" t="s">
        <v>64</v>
      </c>
    </row>
    <row r="1492" spans="1:7" x14ac:dyDescent="0.2">
      <c r="A1492" t="s">
        <v>64</v>
      </c>
      <c r="B1492" t="s">
        <v>64</v>
      </c>
      <c r="C1492" s="3" t="s">
        <v>64</v>
      </c>
      <c r="D1492" s="16" t="s">
        <v>64</v>
      </c>
      <c r="E1492" s="16">
        <v>0</v>
      </c>
      <c r="F1492" s="16" t="s">
        <v>64</v>
      </c>
      <c r="G1492" s="16" t="s">
        <v>64</v>
      </c>
    </row>
    <row r="1493" spans="1:7" x14ac:dyDescent="0.2">
      <c r="A1493" t="s">
        <v>64</v>
      </c>
      <c r="B1493" t="s">
        <v>64</v>
      </c>
      <c r="C1493" s="3" t="s">
        <v>64</v>
      </c>
      <c r="D1493" s="16" t="s">
        <v>64</v>
      </c>
      <c r="E1493" s="16">
        <v>0</v>
      </c>
      <c r="F1493" s="16" t="s">
        <v>64</v>
      </c>
      <c r="G1493" s="16" t="s">
        <v>64</v>
      </c>
    </row>
    <row r="1494" spans="1:7" x14ac:dyDescent="0.2">
      <c r="A1494" t="s">
        <v>64</v>
      </c>
      <c r="B1494" t="s">
        <v>64</v>
      </c>
      <c r="C1494" s="3" t="s">
        <v>64</v>
      </c>
      <c r="D1494" s="16" t="s">
        <v>64</v>
      </c>
      <c r="E1494" s="16">
        <v>0</v>
      </c>
      <c r="F1494" s="16" t="s">
        <v>64</v>
      </c>
      <c r="G1494" s="16" t="s">
        <v>64</v>
      </c>
    </row>
    <row r="1495" spans="1:7" x14ac:dyDescent="0.2">
      <c r="A1495" t="s">
        <v>64</v>
      </c>
      <c r="B1495" t="s">
        <v>64</v>
      </c>
      <c r="C1495" s="3" t="s">
        <v>64</v>
      </c>
      <c r="D1495" s="16" t="s">
        <v>64</v>
      </c>
      <c r="E1495" s="16">
        <v>0</v>
      </c>
      <c r="F1495" s="16" t="s">
        <v>64</v>
      </c>
      <c r="G1495" s="16" t="s">
        <v>64</v>
      </c>
    </row>
    <row r="1496" spans="1:7" x14ac:dyDescent="0.2">
      <c r="A1496" t="s">
        <v>64</v>
      </c>
      <c r="B1496" t="s">
        <v>64</v>
      </c>
      <c r="C1496" s="3" t="s">
        <v>64</v>
      </c>
      <c r="D1496" s="16" t="s">
        <v>64</v>
      </c>
      <c r="E1496" s="16">
        <v>0</v>
      </c>
      <c r="F1496" s="16" t="s">
        <v>64</v>
      </c>
      <c r="G1496" s="16" t="s">
        <v>64</v>
      </c>
    </row>
    <row r="1497" spans="1:7" x14ac:dyDescent="0.2">
      <c r="A1497" t="s">
        <v>64</v>
      </c>
      <c r="B1497" t="s">
        <v>64</v>
      </c>
      <c r="C1497" s="3" t="s">
        <v>64</v>
      </c>
      <c r="D1497" s="16" t="s">
        <v>64</v>
      </c>
      <c r="E1497" s="16">
        <v>0</v>
      </c>
      <c r="F1497" s="16" t="s">
        <v>64</v>
      </c>
      <c r="G1497" s="16" t="s">
        <v>64</v>
      </c>
    </row>
    <row r="1498" spans="1:7" x14ac:dyDescent="0.2">
      <c r="A1498" t="s">
        <v>64</v>
      </c>
      <c r="B1498" t="s">
        <v>64</v>
      </c>
      <c r="C1498" s="3" t="s">
        <v>64</v>
      </c>
      <c r="D1498" s="16" t="s">
        <v>64</v>
      </c>
      <c r="E1498" s="16">
        <v>0</v>
      </c>
      <c r="F1498" s="16" t="s">
        <v>64</v>
      </c>
      <c r="G1498" s="16" t="s">
        <v>64</v>
      </c>
    </row>
    <row r="1499" spans="1:7" x14ac:dyDescent="0.2">
      <c r="A1499" t="s">
        <v>64</v>
      </c>
      <c r="B1499" t="s">
        <v>64</v>
      </c>
      <c r="C1499" s="3" t="s">
        <v>64</v>
      </c>
      <c r="D1499" s="16" t="s">
        <v>64</v>
      </c>
      <c r="E1499" s="16">
        <v>0</v>
      </c>
      <c r="F1499" s="16" t="s">
        <v>64</v>
      </c>
      <c r="G1499" s="16" t="s">
        <v>64</v>
      </c>
    </row>
    <row r="1500" spans="1:7" x14ac:dyDescent="0.2">
      <c r="A1500" t="s">
        <v>64</v>
      </c>
      <c r="B1500" t="s">
        <v>64</v>
      </c>
      <c r="C1500" s="3" t="s">
        <v>64</v>
      </c>
      <c r="D1500" s="16" t="s">
        <v>64</v>
      </c>
      <c r="E1500" s="16">
        <v>0</v>
      </c>
      <c r="F1500" s="16" t="s">
        <v>64</v>
      </c>
      <c r="G1500" s="16" t="s">
        <v>64</v>
      </c>
    </row>
    <row r="1501" spans="1:7" x14ac:dyDescent="0.2">
      <c r="A1501" t="s">
        <v>64</v>
      </c>
      <c r="B1501" t="s">
        <v>64</v>
      </c>
      <c r="C1501" s="3" t="s">
        <v>64</v>
      </c>
      <c r="D1501" s="16" t="s">
        <v>64</v>
      </c>
      <c r="E1501" s="16">
        <v>0</v>
      </c>
      <c r="F1501" s="16" t="s">
        <v>64</v>
      </c>
      <c r="G1501" s="16" t="s">
        <v>64</v>
      </c>
    </row>
    <row r="1502" spans="1:7" x14ac:dyDescent="0.2">
      <c r="A1502" t="s">
        <v>64</v>
      </c>
      <c r="B1502" t="s">
        <v>64</v>
      </c>
      <c r="C1502" s="3" t="s">
        <v>64</v>
      </c>
      <c r="D1502" s="16" t="s">
        <v>64</v>
      </c>
      <c r="E1502" s="16">
        <v>0</v>
      </c>
      <c r="F1502" s="16" t="s">
        <v>64</v>
      </c>
      <c r="G1502" s="16" t="s">
        <v>64</v>
      </c>
    </row>
    <row r="1503" spans="1:7" x14ac:dyDescent="0.2">
      <c r="A1503" t="s">
        <v>64</v>
      </c>
      <c r="B1503" t="s">
        <v>64</v>
      </c>
      <c r="C1503" s="3" t="s">
        <v>64</v>
      </c>
      <c r="D1503" s="16" t="s">
        <v>64</v>
      </c>
      <c r="E1503" s="16">
        <v>0</v>
      </c>
      <c r="F1503" s="16" t="s">
        <v>64</v>
      </c>
      <c r="G1503" s="16" t="s">
        <v>64</v>
      </c>
    </row>
    <row r="1504" spans="1:7" x14ac:dyDescent="0.2">
      <c r="A1504" t="s">
        <v>64</v>
      </c>
      <c r="B1504" t="s">
        <v>64</v>
      </c>
      <c r="C1504" s="3" t="s">
        <v>64</v>
      </c>
      <c r="D1504" s="16" t="s">
        <v>64</v>
      </c>
      <c r="E1504" s="16">
        <v>0</v>
      </c>
      <c r="F1504" s="16" t="s">
        <v>64</v>
      </c>
      <c r="G1504" s="16" t="s">
        <v>64</v>
      </c>
    </row>
    <row r="1505" spans="1:7" x14ac:dyDescent="0.2">
      <c r="A1505" t="s">
        <v>64</v>
      </c>
      <c r="B1505" t="s">
        <v>64</v>
      </c>
      <c r="C1505" s="3" t="s">
        <v>64</v>
      </c>
      <c r="D1505" s="16" t="s">
        <v>64</v>
      </c>
      <c r="E1505" s="16">
        <v>0</v>
      </c>
      <c r="F1505" s="16" t="s">
        <v>64</v>
      </c>
      <c r="G1505" s="16" t="s">
        <v>64</v>
      </c>
    </row>
    <row r="1506" spans="1:7" x14ac:dyDescent="0.2">
      <c r="A1506" t="s">
        <v>64</v>
      </c>
      <c r="B1506" t="s">
        <v>64</v>
      </c>
      <c r="C1506" s="3" t="s">
        <v>64</v>
      </c>
      <c r="D1506" s="16" t="s">
        <v>64</v>
      </c>
      <c r="E1506" s="16">
        <v>0</v>
      </c>
      <c r="F1506" s="16" t="s">
        <v>64</v>
      </c>
      <c r="G1506" s="16" t="s">
        <v>64</v>
      </c>
    </row>
    <row r="1507" spans="1:7" x14ac:dyDescent="0.2">
      <c r="A1507" t="s">
        <v>64</v>
      </c>
      <c r="B1507" t="s">
        <v>64</v>
      </c>
      <c r="C1507" s="3" t="s">
        <v>64</v>
      </c>
      <c r="D1507" s="16" t="s">
        <v>64</v>
      </c>
      <c r="E1507" s="16">
        <v>0</v>
      </c>
      <c r="F1507" s="16" t="s">
        <v>64</v>
      </c>
      <c r="G1507" s="16" t="s">
        <v>64</v>
      </c>
    </row>
    <row r="1508" spans="1:7" x14ac:dyDescent="0.2">
      <c r="A1508" t="s">
        <v>64</v>
      </c>
      <c r="B1508" t="s">
        <v>64</v>
      </c>
      <c r="C1508" s="3" t="s">
        <v>64</v>
      </c>
      <c r="D1508" s="16" t="s">
        <v>64</v>
      </c>
      <c r="E1508" s="16">
        <v>0</v>
      </c>
      <c r="F1508" s="16" t="s">
        <v>64</v>
      </c>
      <c r="G1508" s="16" t="s">
        <v>64</v>
      </c>
    </row>
    <row r="1509" spans="1:7" x14ac:dyDescent="0.2">
      <c r="A1509" t="s">
        <v>64</v>
      </c>
      <c r="B1509" t="s">
        <v>64</v>
      </c>
      <c r="C1509" s="3" t="s">
        <v>64</v>
      </c>
      <c r="D1509" s="16" t="s">
        <v>64</v>
      </c>
      <c r="E1509" s="16">
        <v>0</v>
      </c>
      <c r="F1509" s="16" t="s">
        <v>64</v>
      </c>
      <c r="G1509" s="16" t="s">
        <v>64</v>
      </c>
    </row>
    <row r="1510" spans="1:7" x14ac:dyDescent="0.2">
      <c r="A1510" t="s">
        <v>64</v>
      </c>
      <c r="B1510" t="s">
        <v>64</v>
      </c>
      <c r="C1510" s="3" t="s">
        <v>64</v>
      </c>
      <c r="D1510" s="16" t="s">
        <v>64</v>
      </c>
      <c r="E1510" s="16">
        <v>0</v>
      </c>
      <c r="F1510" s="16" t="s">
        <v>64</v>
      </c>
      <c r="G1510" s="16" t="s">
        <v>64</v>
      </c>
    </row>
    <row r="1511" spans="1:7" x14ac:dyDescent="0.2">
      <c r="A1511" t="s">
        <v>64</v>
      </c>
      <c r="B1511" t="s">
        <v>64</v>
      </c>
      <c r="C1511" s="3" t="s">
        <v>64</v>
      </c>
      <c r="D1511" s="16" t="s">
        <v>64</v>
      </c>
      <c r="E1511" s="16">
        <v>0</v>
      </c>
      <c r="F1511" s="16" t="s">
        <v>64</v>
      </c>
      <c r="G1511" s="16" t="s">
        <v>64</v>
      </c>
    </row>
    <row r="1512" spans="1:7" x14ac:dyDescent="0.2">
      <c r="A1512" t="s">
        <v>64</v>
      </c>
      <c r="B1512" t="s">
        <v>64</v>
      </c>
      <c r="C1512" s="3" t="s">
        <v>64</v>
      </c>
      <c r="D1512" s="16" t="s">
        <v>64</v>
      </c>
      <c r="E1512" s="16">
        <v>0</v>
      </c>
      <c r="F1512" s="16" t="s">
        <v>64</v>
      </c>
      <c r="G1512" s="16" t="s">
        <v>64</v>
      </c>
    </row>
    <row r="1513" spans="1:7" x14ac:dyDescent="0.2">
      <c r="A1513" t="s">
        <v>64</v>
      </c>
      <c r="B1513" t="s">
        <v>64</v>
      </c>
      <c r="C1513" s="3" t="s">
        <v>64</v>
      </c>
      <c r="D1513" s="16" t="s">
        <v>64</v>
      </c>
      <c r="E1513" s="16">
        <v>0</v>
      </c>
      <c r="F1513" s="16" t="s">
        <v>64</v>
      </c>
      <c r="G1513" s="16" t="s">
        <v>64</v>
      </c>
    </row>
    <row r="1514" spans="1:7" x14ac:dyDescent="0.2">
      <c r="A1514" t="s">
        <v>64</v>
      </c>
      <c r="B1514" t="s">
        <v>64</v>
      </c>
      <c r="C1514" s="3" t="s">
        <v>64</v>
      </c>
      <c r="D1514" s="16" t="s">
        <v>64</v>
      </c>
      <c r="E1514" s="16">
        <v>0</v>
      </c>
      <c r="F1514" s="16" t="s">
        <v>64</v>
      </c>
      <c r="G1514" s="16" t="s">
        <v>64</v>
      </c>
    </row>
    <row r="1515" spans="1:7" x14ac:dyDescent="0.2">
      <c r="A1515" t="s">
        <v>64</v>
      </c>
      <c r="B1515" t="s">
        <v>64</v>
      </c>
      <c r="C1515" s="3" t="s">
        <v>64</v>
      </c>
      <c r="D1515" s="16" t="s">
        <v>64</v>
      </c>
      <c r="E1515" s="16">
        <v>0</v>
      </c>
      <c r="F1515" s="16" t="s">
        <v>64</v>
      </c>
      <c r="G1515" s="16" t="s">
        <v>64</v>
      </c>
    </row>
    <row r="1516" spans="1:7" x14ac:dyDescent="0.2">
      <c r="A1516" t="s">
        <v>64</v>
      </c>
      <c r="B1516" t="s">
        <v>64</v>
      </c>
      <c r="C1516" s="3" t="s">
        <v>64</v>
      </c>
      <c r="D1516" s="16" t="s">
        <v>64</v>
      </c>
      <c r="E1516" s="16">
        <v>0</v>
      </c>
      <c r="F1516" s="16" t="s">
        <v>64</v>
      </c>
      <c r="G1516" s="16" t="s">
        <v>64</v>
      </c>
    </row>
    <row r="1517" spans="1:7" x14ac:dyDescent="0.2">
      <c r="A1517" t="s">
        <v>64</v>
      </c>
      <c r="B1517" t="s">
        <v>64</v>
      </c>
      <c r="C1517" s="3" t="s">
        <v>64</v>
      </c>
      <c r="D1517" s="16" t="s">
        <v>64</v>
      </c>
      <c r="E1517" s="16">
        <v>0</v>
      </c>
      <c r="F1517" s="16" t="s">
        <v>64</v>
      </c>
      <c r="G1517" s="16" t="s">
        <v>64</v>
      </c>
    </row>
    <row r="1518" spans="1:7" x14ac:dyDescent="0.2">
      <c r="A1518" t="s">
        <v>64</v>
      </c>
      <c r="B1518" t="s">
        <v>64</v>
      </c>
      <c r="C1518" s="3" t="s">
        <v>64</v>
      </c>
      <c r="D1518" s="16" t="s">
        <v>64</v>
      </c>
      <c r="E1518" s="16">
        <v>0</v>
      </c>
      <c r="F1518" s="16" t="s">
        <v>64</v>
      </c>
      <c r="G1518" s="16" t="s">
        <v>64</v>
      </c>
    </row>
    <row r="1519" spans="1:7" x14ac:dyDescent="0.2">
      <c r="A1519" t="s">
        <v>64</v>
      </c>
      <c r="B1519" t="s">
        <v>64</v>
      </c>
      <c r="C1519" s="3" t="s">
        <v>64</v>
      </c>
      <c r="D1519" s="16" t="s">
        <v>64</v>
      </c>
      <c r="E1519" s="16">
        <v>0</v>
      </c>
      <c r="F1519" s="16" t="s">
        <v>64</v>
      </c>
      <c r="G1519" s="16" t="s">
        <v>64</v>
      </c>
    </row>
    <row r="1520" spans="1:7" x14ac:dyDescent="0.2">
      <c r="A1520" t="s">
        <v>64</v>
      </c>
      <c r="B1520" t="s">
        <v>64</v>
      </c>
      <c r="C1520" s="3" t="s">
        <v>64</v>
      </c>
      <c r="D1520" s="16" t="s">
        <v>64</v>
      </c>
      <c r="E1520" s="16">
        <v>0</v>
      </c>
      <c r="F1520" s="16" t="s">
        <v>64</v>
      </c>
      <c r="G1520" s="16" t="s">
        <v>64</v>
      </c>
    </row>
    <row r="1521" spans="1:7" x14ac:dyDescent="0.2">
      <c r="A1521" t="s">
        <v>64</v>
      </c>
      <c r="B1521" t="s">
        <v>64</v>
      </c>
      <c r="C1521" s="3" t="s">
        <v>64</v>
      </c>
      <c r="D1521" s="16" t="s">
        <v>64</v>
      </c>
      <c r="E1521" s="16">
        <v>0</v>
      </c>
      <c r="F1521" s="16" t="s">
        <v>64</v>
      </c>
      <c r="G1521" s="16" t="s">
        <v>64</v>
      </c>
    </row>
    <row r="1522" spans="1:7" x14ac:dyDescent="0.2">
      <c r="A1522" t="s">
        <v>64</v>
      </c>
      <c r="B1522" t="s">
        <v>64</v>
      </c>
      <c r="C1522" s="3" t="s">
        <v>64</v>
      </c>
      <c r="D1522" s="16" t="s">
        <v>64</v>
      </c>
      <c r="E1522" s="16">
        <v>0</v>
      </c>
      <c r="F1522" s="16" t="s">
        <v>64</v>
      </c>
      <c r="G1522" s="16" t="s">
        <v>64</v>
      </c>
    </row>
    <row r="1523" spans="1:7" x14ac:dyDescent="0.2">
      <c r="A1523" t="s">
        <v>64</v>
      </c>
      <c r="B1523" t="s">
        <v>64</v>
      </c>
      <c r="C1523" s="3" t="s">
        <v>64</v>
      </c>
      <c r="D1523" s="16" t="s">
        <v>64</v>
      </c>
      <c r="E1523" s="16">
        <v>0</v>
      </c>
      <c r="F1523" s="16" t="s">
        <v>64</v>
      </c>
      <c r="G1523" s="16" t="s">
        <v>64</v>
      </c>
    </row>
    <row r="1524" spans="1:7" x14ac:dyDescent="0.2">
      <c r="A1524" t="s">
        <v>64</v>
      </c>
      <c r="B1524" t="s">
        <v>64</v>
      </c>
      <c r="C1524" s="3" t="s">
        <v>64</v>
      </c>
      <c r="D1524" s="16" t="s">
        <v>64</v>
      </c>
      <c r="E1524" s="16">
        <v>0</v>
      </c>
      <c r="F1524" s="16" t="s">
        <v>64</v>
      </c>
      <c r="G1524" s="16" t="s">
        <v>64</v>
      </c>
    </row>
    <row r="1525" spans="1:7" x14ac:dyDescent="0.2">
      <c r="A1525" t="s">
        <v>64</v>
      </c>
      <c r="B1525" t="s">
        <v>64</v>
      </c>
      <c r="C1525" s="3" t="s">
        <v>64</v>
      </c>
      <c r="D1525" s="16" t="s">
        <v>64</v>
      </c>
      <c r="E1525" s="16">
        <v>0</v>
      </c>
      <c r="F1525" s="16" t="s">
        <v>64</v>
      </c>
      <c r="G1525" s="16" t="s">
        <v>64</v>
      </c>
    </row>
    <row r="1526" spans="1:7" x14ac:dyDescent="0.2">
      <c r="A1526" t="s">
        <v>64</v>
      </c>
      <c r="B1526" t="s">
        <v>64</v>
      </c>
      <c r="C1526" s="3" t="s">
        <v>64</v>
      </c>
      <c r="D1526" s="16" t="s">
        <v>64</v>
      </c>
      <c r="E1526" s="16">
        <v>0</v>
      </c>
      <c r="F1526" s="16" t="s">
        <v>64</v>
      </c>
      <c r="G1526" s="16" t="s">
        <v>64</v>
      </c>
    </row>
    <row r="1527" spans="1:7" x14ac:dyDescent="0.2">
      <c r="A1527" t="s">
        <v>64</v>
      </c>
      <c r="B1527" t="s">
        <v>64</v>
      </c>
      <c r="C1527" s="3" t="s">
        <v>64</v>
      </c>
      <c r="D1527" s="16" t="s">
        <v>64</v>
      </c>
      <c r="E1527" s="16">
        <v>0</v>
      </c>
      <c r="F1527" s="16" t="s">
        <v>64</v>
      </c>
      <c r="G1527" s="16" t="s">
        <v>64</v>
      </c>
    </row>
    <row r="1528" spans="1:7" x14ac:dyDescent="0.2">
      <c r="A1528" t="s">
        <v>64</v>
      </c>
      <c r="B1528" t="s">
        <v>64</v>
      </c>
      <c r="C1528" s="3" t="s">
        <v>64</v>
      </c>
      <c r="D1528" s="16" t="s">
        <v>64</v>
      </c>
      <c r="E1528" s="16">
        <v>0</v>
      </c>
      <c r="F1528" s="16" t="s">
        <v>64</v>
      </c>
      <c r="G1528" s="16" t="s">
        <v>64</v>
      </c>
    </row>
    <row r="1529" spans="1:7" x14ac:dyDescent="0.2">
      <c r="A1529" t="s">
        <v>64</v>
      </c>
      <c r="B1529" t="s">
        <v>64</v>
      </c>
      <c r="C1529" s="3" t="s">
        <v>64</v>
      </c>
      <c r="D1529" s="16" t="s">
        <v>64</v>
      </c>
      <c r="E1529" s="16">
        <v>0</v>
      </c>
      <c r="F1529" s="16" t="s">
        <v>64</v>
      </c>
      <c r="G1529" s="16" t="s">
        <v>64</v>
      </c>
    </row>
    <row r="1530" spans="1:7" x14ac:dyDescent="0.2">
      <c r="A1530" t="s">
        <v>64</v>
      </c>
      <c r="B1530" t="s">
        <v>64</v>
      </c>
      <c r="C1530" s="3" t="s">
        <v>64</v>
      </c>
      <c r="D1530" s="16" t="s">
        <v>64</v>
      </c>
      <c r="E1530" s="16">
        <v>0</v>
      </c>
      <c r="F1530" s="16" t="s">
        <v>64</v>
      </c>
      <c r="G1530" s="16" t="s">
        <v>64</v>
      </c>
    </row>
    <row r="1531" spans="1:7" x14ac:dyDescent="0.2">
      <c r="A1531" t="s">
        <v>64</v>
      </c>
      <c r="B1531" t="s">
        <v>64</v>
      </c>
      <c r="C1531" s="3" t="s">
        <v>64</v>
      </c>
      <c r="D1531" s="16" t="s">
        <v>64</v>
      </c>
      <c r="E1531" s="16">
        <v>0</v>
      </c>
      <c r="F1531" s="16" t="s">
        <v>64</v>
      </c>
      <c r="G1531" s="16" t="s">
        <v>64</v>
      </c>
    </row>
    <row r="1532" spans="1:7" x14ac:dyDescent="0.2">
      <c r="A1532" t="s">
        <v>64</v>
      </c>
      <c r="B1532" t="s">
        <v>64</v>
      </c>
      <c r="C1532" s="3" t="s">
        <v>64</v>
      </c>
      <c r="D1532" s="16" t="s">
        <v>64</v>
      </c>
      <c r="E1532" s="16">
        <v>0</v>
      </c>
      <c r="F1532" s="16" t="s">
        <v>64</v>
      </c>
      <c r="G1532" s="16" t="s">
        <v>64</v>
      </c>
    </row>
    <row r="1533" spans="1:7" x14ac:dyDescent="0.2">
      <c r="A1533" t="s">
        <v>64</v>
      </c>
      <c r="B1533" t="s">
        <v>64</v>
      </c>
      <c r="C1533" s="3" t="s">
        <v>64</v>
      </c>
      <c r="D1533" s="16" t="s">
        <v>64</v>
      </c>
      <c r="E1533" s="16">
        <v>0</v>
      </c>
      <c r="F1533" s="16" t="s">
        <v>64</v>
      </c>
      <c r="G1533" s="16" t="s">
        <v>64</v>
      </c>
    </row>
    <row r="1534" spans="1:7" x14ac:dyDescent="0.2">
      <c r="A1534" t="s">
        <v>64</v>
      </c>
      <c r="B1534" t="s">
        <v>64</v>
      </c>
      <c r="C1534" s="3" t="s">
        <v>64</v>
      </c>
      <c r="D1534" s="16" t="s">
        <v>64</v>
      </c>
      <c r="E1534" s="16">
        <v>0</v>
      </c>
      <c r="F1534" s="16" t="s">
        <v>64</v>
      </c>
      <c r="G1534" s="16" t="s">
        <v>64</v>
      </c>
    </row>
    <row r="1535" spans="1:7" x14ac:dyDescent="0.2">
      <c r="A1535" t="s">
        <v>64</v>
      </c>
      <c r="B1535" t="s">
        <v>64</v>
      </c>
      <c r="C1535" s="3" t="s">
        <v>64</v>
      </c>
      <c r="D1535" s="16" t="s">
        <v>64</v>
      </c>
      <c r="E1535" s="16">
        <v>0</v>
      </c>
      <c r="F1535" s="16" t="s">
        <v>64</v>
      </c>
      <c r="G1535" s="16" t="s">
        <v>64</v>
      </c>
    </row>
    <row r="1536" spans="1:7" x14ac:dyDescent="0.2">
      <c r="A1536" t="s">
        <v>64</v>
      </c>
      <c r="B1536" t="s">
        <v>64</v>
      </c>
      <c r="C1536" s="3" t="s">
        <v>64</v>
      </c>
      <c r="D1536" s="16" t="s">
        <v>64</v>
      </c>
      <c r="E1536" s="16">
        <v>0</v>
      </c>
      <c r="F1536" s="16" t="s">
        <v>64</v>
      </c>
      <c r="G1536" s="16" t="s">
        <v>64</v>
      </c>
    </row>
    <row r="1537" spans="1:7" x14ac:dyDescent="0.2">
      <c r="A1537" t="s">
        <v>64</v>
      </c>
      <c r="B1537" t="s">
        <v>64</v>
      </c>
      <c r="C1537" s="3" t="s">
        <v>64</v>
      </c>
      <c r="D1537" s="16" t="s">
        <v>64</v>
      </c>
      <c r="E1537" s="16">
        <v>0</v>
      </c>
      <c r="F1537" s="16" t="s">
        <v>64</v>
      </c>
      <c r="G1537" s="16" t="s">
        <v>64</v>
      </c>
    </row>
    <row r="1538" spans="1:7" x14ac:dyDescent="0.2">
      <c r="A1538" t="s">
        <v>64</v>
      </c>
      <c r="B1538" t="s">
        <v>64</v>
      </c>
      <c r="C1538" s="3" t="s">
        <v>64</v>
      </c>
      <c r="D1538" s="16" t="s">
        <v>64</v>
      </c>
      <c r="E1538" s="16">
        <v>0</v>
      </c>
      <c r="F1538" s="16" t="s">
        <v>64</v>
      </c>
      <c r="G1538" s="16" t="s">
        <v>64</v>
      </c>
    </row>
    <row r="1539" spans="1:7" x14ac:dyDescent="0.2">
      <c r="A1539" t="s">
        <v>64</v>
      </c>
      <c r="B1539" t="s">
        <v>64</v>
      </c>
      <c r="C1539" s="3" t="s">
        <v>64</v>
      </c>
      <c r="D1539" s="16" t="s">
        <v>64</v>
      </c>
      <c r="E1539" s="16">
        <v>0</v>
      </c>
      <c r="F1539" s="16" t="s">
        <v>64</v>
      </c>
      <c r="G1539" s="16" t="s">
        <v>64</v>
      </c>
    </row>
    <row r="1540" spans="1:7" x14ac:dyDescent="0.2">
      <c r="A1540" t="s">
        <v>64</v>
      </c>
      <c r="B1540" t="s">
        <v>64</v>
      </c>
      <c r="C1540" s="3" t="s">
        <v>64</v>
      </c>
      <c r="D1540" s="16" t="s">
        <v>64</v>
      </c>
      <c r="E1540" s="16">
        <v>0</v>
      </c>
      <c r="F1540" s="16" t="s">
        <v>64</v>
      </c>
      <c r="G1540" s="16" t="s">
        <v>64</v>
      </c>
    </row>
    <row r="1541" spans="1:7" x14ac:dyDescent="0.2">
      <c r="A1541" t="s">
        <v>64</v>
      </c>
      <c r="B1541" t="s">
        <v>64</v>
      </c>
      <c r="C1541" s="3" t="s">
        <v>64</v>
      </c>
      <c r="D1541" s="16" t="s">
        <v>64</v>
      </c>
      <c r="E1541" s="16">
        <v>0</v>
      </c>
      <c r="F1541" s="16" t="s">
        <v>64</v>
      </c>
      <c r="G1541" s="16" t="s">
        <v>64</v>
      </c>
    </row>
    <row r="1542" spans="1:7" x14ac:dyDescent="0.2">
      <c r="A1542" t="s">
        <v>64</v>
      </c>
      <c r="B1542" t="s">
        <v>64</v>
      </c>
      <c r="C1542" s="3" t="s">
        <v>64</v>
      </c>
      <c r="D1542" s="16" t="s">
        <v>64</v>
      </c>
      <c r="E1542" s="16">
        <v>0</v>
      </c>
      <c r="F1542" s="16" t="s">
        <v>64</v>
      </c>
      <c r="G1542" s="16" t="s">
        <v>64</v>
      </c>
    </row>
    <row r="1543" spans="1:7" x14ac:dyDescent="0.2">
      <c r="A1543" t="s">
        <v>64</v>
      </c>
      <c r="B1543" t="s">
        <v>64</v>
      </c>
      <c r="C1543" s="3" t="s">
        <v>64</v>
      </c>
      <c r="D1543" s="16" t="s">
        <v>64</v>
      </c>
      <c r="E1543" s="16">
        <v>0</v>
      </c>
      <c r="F1543" s="16" t="s">
        <v>64</v>
      </c>
      <c r="G1543" s="16" t="s">
        <v>64</v>
      </c>
    </row>
    <row r="1544" spans="1:7" x14ac:dyDescent="0.2">
      <c r="A1544" t="s">
        <v>64</v>
      </c>
      <c r="B1544" t="s">
        <v>64</v>
      </c>
      <c r="C1544" s="3" t="s">
        <v>64</v>
      </c>
      <c r="D1544" s="16" t="s">
        <v>64</v>
      </c>
      <c r="E1544" s="16">
        <v>0</v>
      </c>
      <c r="F1544" s="16" t="s">
        <v>64</v>
      </c>
      <c r="G1544" s="16" t="s">
        <v>64</v>
      </c>
    </row>
    <row r="1545" spans="1:7" x14ac:dyDescent="0.2">
      <c r="A1545" t="s">
        <v>64</v>
      </c>
      <c r="B1545" t="s">
        <v>64</v>
      </c>
      <c r="C1545" s="3" t="s">
        <v>64</v>
      </c>
      <c r="D1545" s="16" t="s">
        <v>64</v>
      </c>
      <c r="E1545" s="16">
        <v>0</v>
      </c>
      <c r="F1545" s="16" t="s">
        <v>64</v>
      </c>
      <c r="G1545" s="16" t="s">
        <v>64</v>
      </c>
    </row>
    <row r="1546" spans="1:7" x14ac:dyDescent="0.2">
      <c r="A1546" t="s">
        <v>64</v>
      </c>
      <c r="B1546" t="s">
        <v>64</v>
      </c>
      <c r="C1546" s="3" t="s">
        <v>64</v>
      </c>
      <c r="D1546" s="16" t="s">
        <v>64</v>
      </c>
      <c r="E1546" s="16">
        <v>0</v>
      </c>
      <c r="F1546" s="16" t="s">
        <v>64</v>
      </c>
      <c r="G1546" s="16" t="s">
        <v>64</v>
      </c>
    </row>
    <row r="1547" spans="1:7" x14ac:dyDescent="0.2">
      <c r="A1547" t="s">
        <v>64</v>
      </c>
      <c r="B1547" t="s">
        <v>64</v>
      </c>
      <c r="C1547" s="3" t="s">
        <v>64</v>
      </c>
      <c r="D1547" s="16" t="s">
        <v>64</v>
      </c>
      <c r="E1547" s="16">
        <v>0</v>
      </c>
      <c r="F1547" s="16" t="s">
        <v>64</v>
      </c>
      <c r="G1547" s="16" t="s">
        <v>64</v>
      </c>
    </row>
    <row r="1548" spans="1:7" x14ac:dyDescent="0.2">
      <c r="A1548" t="s">
        <v>64</v>
      </c>
      <c r="B1548" t="s">
        <v>64</v>
      </c>
      <c r="C1548" s="3" t="s">
        <v>64</v>
      </c>
      <c r="D1548" s="16" t="s">
        <v>64</v>
      </c>
      <c r="E1548" s="16">
        <v>0</v>
      </c>
      <c r="F1548" s="16" t="s">
        <v>64</v>
      </c>
      <c r="G1548" s="16" t="s">
        <v>64</v>
      </c>
    </row>
    <row r="1549" spans="1:7" x14ac:dyDescent="0.2">
      <c r="A1549" t="s">
        <v>64</v>
      </c>
      <c r="B1549" t="s">
        <v>64</v>
      </c>
      <c r="C1549" s="3" t="s">
        <v>64</v>
      </c>
      <c r="D1549" s="16" t="s">
        <v>64</v>
      </c>
      <c r="E1549" s="16">
        <v>0</v>
      </c>
      <c r="F1549" s="16" t="s">
        <v>64</v>
      </c>
      <c r="G1549" s="16" t="s">
        <v>64</v>
      </c>
    </row>
    <row r="1550" spans="1:7" x14ac:dyDescent="0.2">
      <c r="A1550" t="s">
        <v>64</v>
      </c>
      <c r="B1550" t="s">
        <v>64</v>
      </c>
      <c r="C1550" s="3" t="s">
        <v>64</v>
      </c>
      <c r="D1550" s="16" t="s">
        <v>64</v>
      </c>
      <c r="E1550" s="16">
        <v>0</v>
      </c>
      <c r="F1550" s="16" t="s">
        <v>64</v>
      </c>
      <c r="G1550" s="16" t="s">
        <v>64</v>
      </c>
    </row>
    <row r="1551" spans="1:7" x14ac:dyDescent="0.2">
      <c r="A1551" t="s">
        <v>64</v>
      </c>
      <c r="B1551" t="s">
        <v>64</v>
      </c>
      <c r="C1551" s="3" t="s">
        <v>64</v>
      </c>
      <c r="D1551" s="16" t="s">
        <v>64</v>
      </c>
      <c r="E1551" s="16">
        <v>0</v>
      </c>
      <c r="F1551" s="16" t="s">
        <v>64</v>
      </c>
      <c r="G1551" s="16" t="s">
        <v>64</v>
      </c>
    </row>
    <row r="1552" spans="1:7" x14ac:dyDescent="0.2">
      <c r="A1552" t="s">
        <v>64</v>
      </c>
      <c r="B1552" t="s">
        <v>64</v>
      </c>
      <c r="C1552" s="3" t="s">
        <v>64</v>
      </c>
      <c r="D1552" s="16" t="s">
        <v>64</v>
      </c>
      <c r="E1552" s="16">
        <v>0</v>
      </c>
      <c r="F1552" s="16" t="s">
        <v>64</v>
      </c>
      <c r="G1552" s="16" t="s">
        <v>64</v>
      </c>
    </row>
    <row r="1553" spans="1:7" x14ac:dyDescent="0.2">
      <c r="A1553" t="s">
        <v>64</v>
      </c>
      <c r="B1553" t="s">
        <v>64</v>
      </c>
      <c r="C1553" s="3" t="s">
        <v>64</v>
      </c>
      <c r="D1553" s="16" t="s">
        <v>64</v>
      </c>
      <c r="E1553" s="16">
        <v>0</v>
      </c>
      <c r="F1553" s="16" t="s">
        <v>64</v>
      </c>
      <c r="G1553" s="16" t="s">
        <v>64</v>
      </c>
    </row>
    <row r="1554" spans="1:7" x14ac:dyDescent="0.2">
      <c r="A1554" t="s">
        <v>64</v>
      </c>
      <c r="B1554" t="s">
        <v>64</v>
      </c>
      <c r="C1554" s="3" t="s">
        <v>64</v>
      </c>
      <c r="D1554" s="16" t="s">
        <v>64</v>
      </c>
      <c r="E1554" s="16">
        <v>0</v>
      </c>
      <c r="F1554" s="16" t="s">
        <v>64</v>
      </c>
      <c r="G1554" s="16" t="s">
        <v>64</v>
      </c>
    </row>
    <row r="1555" spans="1:7" x14ac:dyDescent="0.2">
      <c r="A1555" t="s">
        <v>64</v>
      </c>
      <c r="B1555" t="s">
        <v>64</v>
      </c>
      <c r="C1555" s="3" t="s">
        <v>64</v>
      </c>
      <c r="D1555" s="16" t="s">
        <v>64</v>
      </c>
      <c r="E1555" s="16">
        <v>0</v>
      </c>
      <c r="F1555" s="16" t="s">
        <v>64</v>
      </c>
      <c r="G1555" s="16" t="s">
        <v>64</v>
      </c>
    </row>
    <row r="1556" spans="1:7" x14ac:dyDescent="0.2">
      <c r="A1556" t="s">
        <v>64</v>
      </c>
      <c r="B1556" t="s">
        <v>64</v>
      </c>
      <c r="C1556" s="3" t="s">
        <v>64</v>
      </c>
      <c r="D1556" s="16" t="s">
        <v>64</v>
      </c>
      <c r="E1556" s="16">
        <v>0</v>
      </c>
      <c r="F1556" s="16" t="s">
        <v>64</v>
      </c>
      <c r="G1556" s="16" t="s">
        <v>64</v>
      </c>
    </row>
    <row r="1557" spans="1:7" x14ac:dyDescent="0.2">
      <c r="A1557" t="s">
        <v>64</v>
      </c>
      <c r="B1557" t="s">
        <v>64</v>
      </c>
      <c r="C1557" s="3" t="s">
        <v>64</v>
      </c>
      <c r="D1557" s="16" t="s">
        <v>64</v>
      </c>
      <c r="E1557" s="16">
        <v>0</v>
      </c>
      <c r="F1557" s="16" t="s">
        <v>64</v>
      </c>
      <c r="G1557" s="16" t="s">
        <v>64</v>
      </c>
    </row>
    <row r="1558" spans="1:7" x14ac:dyDescent="0.2">
      <c r="A1558" t="s">
        <v>64</v>
      </c>
      <c r="B1558" t="s">
        <v>64</v>
      </c>
      <c r="C1558" s="3" t="s">
        <v>64</v>
      </c>
      <c r="D1558" s="16" t="s">
        <v>64</v>
      </c>
      <c r="E1558" s="16">
        <v>0</v>
      </c>
      <c r="F1558" s="16" t="s">
        <v>64</v>
      </c>
      <c r="G1558" s="16" t="s">
        <v>64</v>
      </c>
    </row>
    <row r="1559" spans="1:7" x14ac:dyDescent="0.2">
      <c r="A1559" t="s">
        <v>64</v>
      </c>
      <c r="B1559" t="s">
        <v>64</v>
      </c>
      <c r="C1559" s="3" t="s">
        <v>64</v>
      </c>
      <c r="D1559" s="16" t="s">
        <v>64</v>
      </c>
      <c r="E1559" s="16">
        <v>0</v>
      </c>
      <c r="F1559" s="16" t="s">
        <v>64</v>
      </c>
      <c r="G1559" s="16" t="s">
        <v>64</v>
      </c>
    </row>
    <row r="1560" spans="1:7" x14ac:dyDescent="0.2">
      <c r="A1560" t="s">
        <v>64</v>
      </c>
      <c r="B1560" t="s">
        <v>64</v>
      </c>
      <c r="C1560" s="3" t="s">
        <v>64</v>
      </c>
      <c r="D1560" s="16" t="s">
        <v>64</v>
      </c>
      <c r="E1560" s="16">
        <v>0</v>
      </c>
      <c r="F1560" s="16" t="s">
        <v>64</v>
      </c>
      <c r="G1560" s="16" t="s">
        <v>64</v>
      </c>
    </row>
    <row r="1561" spans="1:7" x14ac:dyDescent="0.2">
      <c r="A1561" t="s">
        <v>64</v>
      </c>
      <c r="B1561" t="s">
        <v>64</v>
      </c>
      <c r="C1561" s="3" t="s">
        <v>64</v>
      </c>
      <c r="D1561" s="16" t="s">
        <v>64</v>
      </c>
      <c r="E1561" s="16">
        <v>0</v>
      </c>
      <c r="F1561" s="16" t="s">
        <v>64</v>
      </c>
      <c r="G1561" s="16" t="s">
        <v>64</v>
      </c>
    </row>
    <row r="1562" spans="1:7" x14ac:dyDescent="0.2">
      <c r="A1562" t="s">
        <v>64</v>
      </c>
      <c r="B1562" t="s">
        <v>64</v>
      </c>
      <c r="C1562" s="3" t="s">
        <v>64</v>
      </c>
      <c r="D1562" s="16" t="s">
        <v>64</v>
      </c>
      <c r="E1562" s="16">
        <v>0</v>
      </c>
      <c r="F1562" s="16" t="s">
        <v>64</v>
      </c>
      <c r="G1562" s="16" t="s">
        <v>64</v>
      </c>
    </row>
    <row r="1563" spans="1:7" x14ac:dyDescent="0.2">
      <c r="A1563" t="s">
        <v>64</v>
      </c>
      <c r="B1563" t="s">
        <v>64</v>
      </c>
      <c r="C1563" s="3" t="s">
        <v>64</v>
      </c>
      <c r="D1563" s="16" t="s">
        <v>64</v>
      </c>
      <c r="E1563" s="16">
        <v>0</v>
      </c>
      <c r="F1563" s="16" t="s">
        <v>64</v>
      </c>
      <c r="G1563" s="16" t="s">
        <v>64</v>
      </c>
    </row>
    <row r="1564" spans="1:7" x14ac:dyDescent="0.2">
      <c r="A1564" t="s">
        <v>64</v>
      </c>
      <c r="B1564" t="s">
        <v>64</v>
      </c>
      <c r="C1564" s="3" t="s">
        <v>64</v>
      </c>
      <c r="D1564" s="16" t="s">
        <v>64</v>
      </c>
      <c r="E1564" s="16">
        <v>0</v>
      </c>
      <c r="F1564" s="16" t="s">
        <v>64</v>
      </c>
      <c r="G1564" s="16" t="s">
        <v>64</v>
      </c>
    </row>
    <row r="1565" spans="1:7" x14ac:dyDescent="0.2">
      <c r="A1565" t="s">
        <v>64</v>
      </c>
      <c r="B1565" t="s">
        <v>64</v>
      </c>
      <c r="C1565" s="3" t="s">
        <v>64</v>
      </c>
      <c r="D1565" s="16" t="s">
        <v>64</v>
      </c>
      <c r="E1565" s="16">
        <v>0</v>
      </c>
      <c r="F1565" s="16" t="s">
        <v>64</v>
      </c>
      <c r="G1565" s="16" t="s">
        <v>64</v>
      </c>
    </row>
    <row r="1566" spans="1:7" x14ac:dyDescent="0.2">
      <c r="A1566" t="s">
        <v>64</v>
      </c>
      <c r="B1566" t="s">
        <v>64</v>
      </c>
      <c r="C1566" s="3" t="s">
        <v>64</v>
      </c>
      <c r="D1566" s="16" t="s">
        <v>64</v>
      </c>
      <c r="E1566" s="16">
        <v>0</v>
      </c>
      <c r="F1566" s="16" t="s">
        <v>64</v>
      </c>
      <c r="G1566" s="16" t="s">
        <v>64</v>
      </c>
    </row>
    <row r="1567" spans="1:7" x14ac:dyDescent="0.2">
      <c r="A1567" t="s">
        <v>64</v>
      </c>
      <c r="B1567" t="s">
        <v>64</v>
      </c>
      <c r="C1567" s="3" t="s">
        <v>64</v>
      </c>
      <c r="D1567" s="16" t="s">
        <v>64</v>
      </c>
      <c r="E1567" s="16">
        <v>0</v>
      </c>
      <c r="F1567" s="16" t="s">
        <v>64</v>
      </c>
      <c r="G1567" s="16" t="s">
        <v>64</v>
      </c>
    </row>
    <row r="1568" spans="1:7" x14ac:dyDescent="0.2">
      <c r="A1568" t="s">
        <v>64</v>
      </c>
      <c r="B1568" t="s">
        <v>64</v>
      </c>
      <c r="C1568" s="3" t="s">
        <v>64</v>
      </c>
      <c r="D1568" s="16" t="s">
        <v>64</v>
      </c>
      <c r="E1568" s="16">
        <v>0</v>
      </c>
      <c r="F1568" s="16" t="s">
        <v>64</v>
      </c>
      <c r="G1568" s="16" t="s">
        <v>64</v>
      </c>
    </row>
    <row r="1569" spans="1:7" x14ac:dyDescent="0.2">
      <c r="A1569" t="s">
        <v>64</v>
      </c>
      <c r="B1569" t="s">
        <v>64</v>
      </c>
      <c r="C1569" s="3" t="s">
        <v>64</v>
      </c>
      <c r="D1569" s="16" t="s">
        <v>64</v>
      </c>
      <c r="E1569" s="16">
        <v>0</v>
      </c>
      <c r="F1569" s="16" t="s">
        <v>64</v>
      </c>
      <c r="G1569" s="16" t="s">
        <v>64</v>
      </c>
    </row>
    <row r="1570" spans="1:7" x14ac:dyDescent="0.2">
      <c r="A1570" t="s">
        <v>64</v>
      </c>
      <c r="B1570" t="s">
        <v>64</v>
      </c>
      <c r="C1570" s="3" t="s">
        <v>64</v>
      </c>
      <c r="D1570" s="16" t="s">
        <v>64</v>
      </c>
      <c r="E1570" s="16">
        <v>0</v>
      </c>
      <c r="F1570" s="16" t="s">
        <v>64</v>
      </c>
      <c r="G1570" s="16" t="s">
        <v>64</v>
      </c>
    </row>
    <row r="1571" spans="1:7" x14ac:dyDescent="0.2">
      <c r="A1571" t="s">
        <v>64</v>
      </c>
      <c r="B1571" t="s">
        <v>64</v>
      </c>
      <c r="C1571" s="3" t="s">
        <v>64</v>
      </c>
      <c r="D1571" s="16" t="s">
        <v>64</v>
      </c>
      <c r="E1571" s="16">
        <v>0</v>
      </c>
      <c r="F1571" s="16" t="s">
        <v>64</v>
      </c>
      <c r="G1571" s="16" t="s">
        <v>64</v>
      </c>
    </row>
    <row r="1572" spans="1:7" x14ac:dyDescent="0.2">
      <c r="A1572" t="s">
        <v>64</v>
      </c>
      <c r="B1572" t="s">
        <v>64</v>
      </c>
      <c r="C1572" s="3" t="s">
        <v>64</v>
      </c>
      <c r="D1572" s="16" t="s">
        <v>64</v>
      </c>
      <c r="E1572" s="16">
        <v>0</v>
      </c>
      <c r="F1572" s="16" t="s">
        <v>64</v>
      </c>
      <c r="G1572" s="16" t="s">
        <v>64</v>
      </c>
    </row>
    <row r="1573" spans="1:7" x14ac:dyDescent="0.2">
      <c r="A1573" t="s">
        <v>64</v>
      </c>
      <c r="B1573" t="s">
        <v>64</v>
      </c>
      <c r="C1573" s="3" t="s">
        <v>64</v>
      </c>
      <c r="D1573" s="16" t="s">
        <v>64</v>
      </c>
      <c r="E1573" s="16">
        <v>0</v>
      </c>
      <c r="F1573" s="16" t="s">
        <v>64</v>
      </c>
      <c r="G1573" s="16" t="s">
        <v>64</v>
      </c>
    </row>
    <row r="1574" spans="1:7" x14ac:dyDescent="0.2">
      <c r="A1574" t="s">
        <v>64</v>
      </c>
      <c r="B1574" t="s">
        <v>64</v>
      </c>
      <c r="C1574" s="3" t="s">
        <v>64</v>
      </c>
      <c r="D1574" s="16" t="s">
        <v>64</v>
      </c>
      <c r="E1574" s="16">
        <v>0</v>
      </c>
      <c r="F1574" s="16" t="s">
        <v>64</v>
      </c>
      <c r="G1574" s="16" t="s">
        <v>64</v>
      </c>
    </row>
    <row r="1575" spans="1:7" x14ac:dyDescent="0.2">
      <c r="A1575" t="s">
        <v>64</v>
      </c>
      <c r="B1575" t="s">
        <v>64</v>
      </c>
      <c r="C1575" s="3" t="s">
        <v>64</v>
      </c>
      <c r="D1575" s="16" t="s">
        <v>64</v>
      </c>
      <c r="E1575" s="16">
        <v>0</v>
      </c>
      <c r="F1575" s="16" t="s">
        <v>64</v>
      </c>
      <c r="G1575" s="16" t="s">
        <v>64</v>
      </c>
    </row>
    <row r="1576" spans="1:7" x14ac:dyDescent="0.2">
      <c r="A1576" t="s">
        <v>64</v>
      </c>
      <c r="B1576" t="s">
        <v>64</v>
      </c>
      <c r="C1576" s="3" t="s">
        <v>64</v>
      </c>
      <c r="D1576" s="16" t="s">
        <v>64</v>
      </c>
      <c r="E1576" s="16">
        <v>0</v>
      </c>
      <c r="F1576" s="16" t="s">
        <v>64</v>
      </c>
      <c r="G1576" s="16" t="s">
        <v>64</v>
      </c>
    </row>
    <row r="1577" spans="1:7" x14ac:dyDescent="0.2">
      <c r="A1577" t="s">
        <v>64</v>
      </c>
      <c r="B1577" t="s">
        <v>64</v>
      </c>
      <c r="C1577" s="3" t="s">
        <v>64</v>
      </c>
      <c r="D1577" s="16" t="s">
        <v>64</v>
      </c>
      <c r="E1577" s="16">
        <v>0</v>
      </c>
      <c r="F1577" s="16" t="s">
        <v>64</v>
      </c>
      <c r="G1577" s="16" t="s">
        <v>64</v>
      </c>
    </row>
    <row r="1578" spans="1:7" x14ac:dyDescent="0.2">
      <c r="A1578" t="s">
        <v>64</v>
      </c>
      <c r="B1578" t="s">
        <v>64</v>
      </c>
      <c r="C1578" s="3" t="s">
        <v>64</v>
      </c>
      <c r="D1578" s="16" t="s">
        <v>64</v>
      </c>
      <c r="E1578" s="16">
        <v>0</v>
      </c>
      <c r="F1578" s="16" t="s">
        <v>64</v>
      </c>
      <c r="G1578" s="16" t="s">
        <v>64</v>
      </c>
    </row>
    <row r="1579" spans="1:7" x14ac:dyDescent="0.2">
      <c r="A1579" t="s">
        <v>64</v>
      </c>
      <c r="B1579" t="s">
        <v>64</v>
      </c>
      <c r="C1579" s="3" t="s">
        <v>64</v>
      </c>
      <c r="D1579" s="16" t="s">
        <v>64</v>
      </c>
      <c r="E1579" s="16">
        <v>0</v>
      </c>
      <c r="F1579" s="16" t="s">
        <v>64</v>
      </c>
      <c r="G1579" s="16" t="s">
        <v>64</v>
      </c>
    </row>
    <row r="1580" spans="1:7" x14ac:dyDescent="0.2">
      <c r="A1580" t="s">
        <v>64</v>
      </c>
      <c r="B1580" t="s">
        <v>64</v>
      </c>
      <c r="C1580" s="3" t="s">
        <v>64</v>
      </c>
      <c r="D1580" s="16" t="s">
        <v>64</v>
      </c>
      <c r="E1580" s="16">
        <v>0</v>
      </c>
      <c r="F1580" s="16" t="s">
        <v>64</v>
      </c>
      <c r="G1580" s="16" t="s">
        <v>64</v>
      </c>
    </row>
    <row r="1581" spans="1:7" x14ac:dyDescent="0.2">
      <c r="A1581" t="s">
        <v>64</v>
      </c>
      <c r="B1581" t="s">
        <v>64</v>
      </c>
      <c r="C1581" s="3" t="s">
        <v>64</v>
      </c>
      <c r="D1581" s="16" t="s">
        <v>64</v>
      </c>
      <c r="E1581" s="16">
        <v>0</v>
      </c>
      <c r="F1581" s="16" t="s">
        <v>64</v>
      </c>
      <c r="G1581" s="16" t="s">
        <v>64</v>
      </c>
    </row>
    <row r="1582" spans="1:7" x14ac:dyDescent="0.2">
      <c r="A1582" t="s">
        <v>64</v>
      </c>
      <c r="B1582" t="s">
        <v>64</v>
      </c>
      <c r="C1582" s="3" t="s">
        <v>64</v>
      </c>
      <c r="D1582" s="16" t="s">
        <v>64</v>
      </c>
      <c r="E1582" s="16">
        <v>0</v>
      </c>
      <c r="F1582" s="16" t="s">
        <v>64</v>
      </c>
      <c r="G1582" s="16" t="s">
        <v>64</v>
      </c>
    </row>
    <row r="1583" spans="1:7" x14ac:dyDescent="0.2">
      <c r="A1583" t="s">
        <v>64</v>
      </c>
      <c r="B1583" t="s">
        <v>64</v>
      </c>
      <c r="C1583" s="3" t="s">
        <v>64</v>
      </c>
      <c r="D1583" s="16" t="s">
        <v>64</v>
      </c>
      <c r="E1583" s="16">
        <v>0</v>
      </c>
      <c r="F1583" s="16" t="s">
        <v>64</v>
      </c>
      <c r="G1583" s="16" t="s">
        <v>64</v>
      </c>
    </row>
    <row r="1584" spans="1:7" x14ac:dyDescent="0.2">
      <c r="A1584" t="s">
        <v>64</v>
      </c>
      <c r="B1584" t="s">
        <v>64</v>
      </c>
      <c r="C1584" s="3" t="s">
        <v>64</v>
      </c>
      <c r="D1584" s="16" t="s">
        <v>64</v>
      </c>
      <c r="E1584" s="16">
        <v>0</v>
      </c>
      <c r="F1584" s="16" t="s">
        <v>64</v>
      </c>
      <c r="G1584" s="16" t="s">
        <v>64</v>
      </c>
    </row>
    <row r="1585" spans="1:7" x14ac:dyDescent="0.2">
      <c r="A1585" t="s">
        <v>64</v>
      </c>
      <c r="B1585" t="s">
        <v>64</v>
      </c>
      <c r="C1585" s="3" t="s">
        <v>64</v>
      </c>
      <c r="D1585" s="16" t="s">
        <v>64</v>
      </c>
      <c r="E1585" s="16">
        <v>0</v>
      </c>
      <c r="F1585" s="16" t="s">
        <v>64</v>
      </c>
      <c r="G1585" s="16" t="s">
        <v>64</v>
      </c>
    </row>
    <row r="1586" spans="1:7" x14ac:dyDescent="0.2">
      <c r="A1586" t="s">
        <v>64</v>
      </c>
      <c r="B1586" t="s">
        <v>64</v>
      </c>
      <c r="C1586" s="3" t="s">
        <v>64</v>
      </c>
      <c r="D1586" s="16" t="s">
        <v>64</v>
      </c>
      <c r="E1586" s="16">
        <v>0</v>
      </c>
      <c r="F1586" s="16" t="s">
        <v>64</v>
      </c>
      <c r="G1586" s="16" t="s">
        <v>64</v>
      </c>
    </row>
    <row r="1587" spans="1:7" x14ac:dyDescent="0.2">
      <c r="A1587" t="s">
        <v>64</v>
      </c>
      <c r="B1587" t="s">
        <v>64</v>
      </c>
      <c r="C1587" s="3" t="s">
        <v>64</v>
      </c>
      <c r="D1587" s="16" t="s">
        <v>64</v>
      </c>
      <c r="E1587" s="16">
        <v>0</v>
      </c>
      <c r="F1587" s="16" t="s">
        <v>64</v>
      </c>
      <c r="G1587" s="16" t="s">
        <v>64</v>
      </c>
    </row>
    <row r="1588" spans="1:7" x14ac:dyDescent="0.2">
      <c r="A1588" t="s">
        <v>64</v>
      </c>
      <c r="B1588" t="s">
        <v>64</v>
      </c>
      <c r="C1588" s="3" t="s">
        <v>64</v>
      </c>
      <c r="D1588" s="16" t="s">
        <v>64</v>
      </c>
      <c r="E1588" s="16">
        <v>0</v>
      </c>
      <c r="F1588" s="16" t="s">
        <v>64</v>
      </c>
      <c r="G1588" s="16" t="s">
        <v>64</v>
      </c>
    </row>
    <row r="1589" spans="1:7" x14ac:dyDescent="0.2">
      <c r="A1589" t="s">
        <v>64</v>
      </c>
      <c r="B1589" t="s">
        <v>64</v>
      </c>
      <c r="C1589" s="3" t="s">
        <v>64</v>
      </c>
      <c r="D1589" s="16" t="s">
        <v>64</v>
      </c>
      <c r="E1589" s="16">
        <v>0</v>
      </c>
      <c r="F1589" s="16" t="s">
        <v>64</v>
      </c>
      <c r="G1589" s="16" t="s">
        <v>64</v>
      </c>
    </row>
    <row r="1590" spans="1:7" x14ac:dyDescent="0.2">
      <c r="A1590" t="s">
        <v>64</v>
      </c>
      <c r="B1590" t="s">
        <v>64</v>
      </c>
      <c r="C1590" s="3" t="s">
        <v>64</v>
      </c>
      <c r="D1590" s="16" t="s">
        <v>64</v>
      </c>
      <c r="E1590" s="16">
        <v>0</v>
      </c>
      <c r="F1590" s="16" t="s">
        <v>64</v>
      </c>
      <c r="G1590" s="16" t="s">
        <v>64</v>
      </c>
    </row>
    <row r="1591" spans="1:7" x14ac:dyDescent="0.2">
      <c r="A1591" t="s">
        <v>64</v>
      </c>
      <c r="B1591" t="s">
        <v>64</v>
      </c>
      <c r="C1591" s="3" t="s">
        <v>64</v>
      </c>
      <c r="D1591" s="16" t="s">
        <v>64</v>
      </c>
      <c r="E1591" s="16">
        <v>0</v>
      </c>
      <c r="F1591" s="16" t="s">
        <v>64</v>
      </c>
      <c r="G1591" s="16" t="s">
        <v>64</v>
      </c>
    </row>
    <row r="1592" spans="1:7" x14ac:dyDescent="0.2">
      <c r="A1592" t="s">
        <v>64</v>
      </c>
      <c r="B1592" t="s">
        <v>64</v>
      </c>
      <c r="C1592" s="3" t="s">
        <v>64</v>
      </c>
      <c r="D1592" s="16" t="s">
        <v>64</v>
      </c>
      <c r="E1592" s="16">
        <v>0</v>
      </c>
      <c r="F1592" s="16" t="s">
        <v>64</v>
      </c>
      <c r="G1592" s="16" t="s">
        <v>64</v>
      </c>
    </row>
    <row r="1593" spans="1:7" x14ac:dyDescent="0.2">
      <c r="A1593" t="s">
        <v>64</v>
      </c>
      <c r="B1593" t="s">
        <v>64</v>
      </c>
      <c r="C1593" s="3" t="s">
        <v>64</v>
      </c>
      <c r="D1593" s="16" t="s">
        <v>64</v>
      </c>
      <c r="E1593" s="16">
        <v>0</v>
      </c>
      <c r="F1593" s="16" t="s">
        <v>64</v>
      </c>
      <c r="G1593" s="16" t="s">
        <v>64</v>
      </c>
    </row>
    <row r="1594" spans="1:7" x14ac:dyDescent="0.2">
      <c r="A1594" t="s">
        <v>64</v>
      </c>
      <c r="B1594" t="s">
        <v>64</v>
      </c>
      <c r="C1594" s="3" t="s">
        <v>64</v>
      </c>
      <c r="D1594" s="16" t="s">
        <v>64</v>
      </c>
      <c r="E1594" s="16">
        <v>0</v>
      </c>
      <c r="F1594" s="16" t="s">
        <v>64</v>
      </c>
      <c r="G1594" s="16" t="s">
        <v>64</v>
      </c>
    </row>
    <row r="1595" spans="1:7" x14ac:dyDescent="0.2">
      <c r="A1595" t="s">
        <v>64</v>
      </c>
      <c r="B1595" t="s">
        <v>64</v>
      </c>
      <c r="C1595" s="3" t="s">
        <v>64</v>
      </c>
      <c r="D1595" s="16" t="s">
        <v>64</v>
      </c>
      <c r="E1595" s="16">
        <v>0</v>
      </c>
      <c r="F1595" s="16" t="s">
        <v>64</v>
      </c>
      <c r="G1595" s="16" t="s">
        <v>64</v>
      </c>
    </row>
    <row r="1596" spans="1:7" x14ac:dyDescent="0.2">
      <c r="A1596" t="s">
        <v>64</v>
      </c>
      <c r="B1596" t="s">
        <v>64</v>
      </c>
      <c r="C1596" s="3" t="s">
        <v>64</v>
      </c>
      <c r="D1596" s="16" t="s">
        <v>64</v>
      </c>
      <c r="E1596" s="16">
        <v>0</v>
      </c>
      <c r="F1596" s="16" t="s">
        <v>64</v>
      </c>
      <c r="G1596" s="16" t="s">
        <v>64</v>
      </c>
    </row>
    <row r="1597" spans="1:7" x14ac:dyDescent="0.2">
      <c r="A1597" t="s">
        <v>64</v>
      </c>
      <c r="B1597" t="s">
        <v>64</v>
      </c>
      <c r="C1597" s="3" t="s">
        <v>64</v>
      </c>
      <c r="D1597" s="16" t="s">
        <v>64</v>
      </c>
      <c r="E1597" s="16">
        <v>0</v>
      </c>
      <c r="F1597" s="16" t="s">
        <v>64</v>
      </c>
      <c r="G1597" s="16" t="s">
        <v>64</v>
      </c>
    </row>
    <row r="1598" spans="1:7" x14ac:dyDescent="0.2">
      <c r="A1598" t="s">
        <v>64</v>
      </c>
      <c r="B1598" t="s">
        <v>64</v>
      </c>
      <c r="C1598" s="3" t="s">
        <v>64</v>
      </c>
      <c r="D1598" s="16" t="s">
        <v>64</v>
      </c>
      <c r="E1598" s="16">
        <v>0</v>
      </c>
      <c r="F1598" s="16" t="s">
        <v>64</v>
      </c>
      <c r="G1598" s="16" t="s">
        <v>64</v>
      </c>
    </row>
    <row r="1599" spans="1:7" x14ac:dyDescent="0.2">
      <c r="A1599" t="s">
        <v>64</v>
      </c>
      <c r="B1599" t="s">
        <v>64</v>
      </c>
      <c r="C1599" s="3" t="s">
        <v>64</v>
      </c>
      <c r="D1599" s="16" t="s">
        <v>64</v>
      </c>
      <c r="E1599" s="16">
        <v>0</v>
      </c>
      <c r="F1599" s="16" t="s">
        <v>64</v>
      </c>
      <c r="G1599" s="16" t="s">
        <v>64</v>
      </c>
    </row>
    <row r="1600" spans="1:7" x14ac:dyDescent="0.2">
      <c r="A1600" t="s">
        <v>64</v>
      </c>
      <c r="B1600" t="s">
        <v>64</v>
      </c>
      <c r="C1600" s="3" t="s">
        <v>64</v>
      </c>
      <c r="D1600" s="16" t="s">
        <v>64</v>
      </c>
      <c r="E1600" s="16">
        <v>0</v>
      </c>
      <c r="F1600" s="16" t="s">
        <v>64</v>
      </c>
      <c r="G1600" s="16" t="s">
        <v>64</v>
      </c>
    </row>
    <row r="1601" spans="1:7" x14ac:dyDescent="0.2">
      <c r="A1601" t="s">
        <v>64</v>
      </c>
      <c r="B1601" t="s">
        <v>64</v>
      </c>
      <c r="C1601" s="3" t="s">
        <v>64</v>
      </c>
      <c r="D1601" s="16" t="s">
        <v>64</v>
      </c>
      <c r="E1601" s="16">
        <v>0</v>
      </c>
      <c r="F1601" s="16" t="s">
        <v>64</v>
      </c>
      <c r="G1601" s="16" t="s">
        <v>64</v>
      </c>
    </row>
    <row r="1602" spans="1:7" x14ac:dyDescent="0.2">
      <c r="A1602" t="s">
        <v>64</v>
      </c>
      <c r="B1602" t="s">
        <v>64</v>
      </c>
      <c r="C1602" s="3" t="s">
        <v>64</v>
      </c>
      <c r="D1602" s="16" t="s">
        <v>64</v>
      </c>
      <c r="E1602" s="16">
        <v>0</v>
      </c>
      <c r="F1602" s="16" t="s">
        <v>64</v>
      </c>
      <c r="G1602" s="16" t="s">
        <v>64</v>
      </c>
    </row>
    <row r="1603" spans="1:7" x14ac:dyDescent="0.2">
      <c r="A1603" t="s">
        <v>64</v>
      </c>
      <c r="B1603" t="s">
        <v>64</v>
      </c>
      <c r="C1603" s="3" t="s">
        <v>64</v>
      </c>
      <c r="D1603" s="16" t="s">
        <v>64</v>
      </c>
      <c r="E1603" s="16">
        <v>0</v>
      </c>
      <c r="F1603" s="16" t="s">
        <v>64</v>
      </c>
      <c r="G1603" s="16" t="s">
        <v>64</v>
      </c>
    </row>
    <row r="1604" spans="1:7" x14ac:dyDescent="0.2">
      <c r="A1604" t="s">
        <v>64</v>
      </c>
      <c r="B1604" t="s">
        <v>64</v>
      </c>
      <c r="C1604" s="3" t="s">
        <v>64</v>
      </c>
      <c r="D1604" s="16" t="s">
        <v>64</v>
      </c>
      <c r="E1604" s="16">
        <v>0</v>
      </c>
      <c r="F1604" s="16" t="s">
        <v>64</v>
      </c>
      <c r="G1604" s="16" t="s">
        <v>64</v>
      </c>
    </row>
    <row r="1605" spans="1:7" x14ac:dyDescent="0.2">
      <c r="A1605" t="s">
        <v>64</v>
      </c>
      <c r="B1605" t="s">
        <v>64</v>
      </c>
      <c r="C1605" s="3" t="s">
        <v>64</v>
      </c>
      <c r="D1605" s="16" t="s">
        <v>64</v>
      </c>
      <c r="E1605" s="16">
        <v>0</v>
      </c>
      <c r="F1605" s="16" t="s">
        <v>64</v>
      </c>
      <c r="G1605" s="16" t="s">
        <v>64</v>
      </c>
    </row>
    <row r="1606" spans="1:7" x14ac:dyDescent="0.2">
      <c r="A1606" t="s">
        <v>64</v>
      </c>
      <c r="B1606" t="s">
        <v>64</v>
      </c>
      <c r="C1606" s="3" t="s">
        <v>64</v>
      </c>
      <c r="D1606" s="16" t="s">
        <v>64</v>
      </c>
      <c r="E1606" s="16">
        <v>0</v>
      </c>
      <c r="F1606" s="16" t="s">
        <v>64</v>
      </c>
      <c r="G1606" s="16" t="s">
        <v>64</v>
      </c>
    </row>
    <row r="1607" spans="1:7" x14ac:dyDescent="0.2">
      <c r="A1607" t="s">
        <v>64</v>
      </c>
      <c r="B1607" t="s">
        <v>64</v>
      </c>
      <c r="C1607" s="3" t="s">
        <v>64</v>
      </c>
      <c r="D1607" s="16" t="s">
        <v>64</v>
      </c>
      <c r="E1607" s="16">
        <v>0</v>
      </c>
      <c r="F1607" s="16" t="s">
        <v>64</v>
      </c>
      <c r="G1607" s="16" t="s">
        <v>64</v>
      </c>
    </row>
    <row r="1608" spans="1:7" x14ac:dyDescent="0.2">
      <c r="A1608" t="s">
        <v>64</v>
      </c>
      <c r="B1608" t="s">
        <v>64</v>
      </c>
      <c r="C1608" s="3" t="s">
        <v>64</v>
      </c>
      <c r="D1608" s="16" t="s">
        <v>64</v>
      </c>
      <c r="E1608" s="16">
        <v>0</v>
      </c>
      <c r="F1608" s="16" t="s">
        <v>64</v>
      </c>
      <c r="G1608" s="16" t="s">
        <v>64</v>
      </c>
    </row>
    <row r="1609" spans="1:7" x14ac:dyDescent="0.2">
      <c r="A1609" t="s">
        <v>64</v>
      </c>
      <c r="B1609" t="s">
        <v>64</v>
      </c>
      <c r="C1609" s="3" t="s">
        <v>64</v>
      </c>
      <c r="D1609" s="16" t="s">
        <v>64</v>
      </c>
      <c r="E1609" s="16">
        <v>0</v>
      </c>
      <c r="F1609" s="16" t="s">
        <v>64</v>
      </c>
      <c r="G1609" s="16" t="s">
        <v>64</v>
      </c>
    </row>
    <row r="1610" spans="1:7" x14ac:dyDescent="0.2">
      <c r="A1610" t="s">
        <v>64</v>
      </c>
      <c r="B1610" t="s">
        <v>64</v>
      </c>
      <c r="C1610" s="3" t="s">
        <v>64</v>
      </c>
      <c r="D1610" s="16" t="s">
        <v>64</v>
      </c>
      <c r="E1610" s="16">
        <v>0</v>
      </c>
      <c r="F1610" s="16" t="s">
        <v>64</v>
      </c>
      <c r="G1610" s="16" t="s">
        <v>64</v>
      </c>
    </row>
    <row r="1611" spans="1:7" x14ac:dyDescent="0.2">
      <c r="A1611" t="s">
        <v>64</v>
      </c>
      <c r="B1611" t="s">
        <v>64</v>
      </c>
      <c r="C1611" s="3" t="s">
        <v>64</v>
      </c>
      <c r="D1611" s="16" t="s">
        <v>64</v>
      </c>
      <c r="E1611" s="16">
        <v>0</v>
      </c>
      <c r="F1611" s="16" t="s">
        <v>64</v>
      </c>
      <c r="G1611" s="16" t="s">
        <v>64</v>
      </c>
    </row>
    <row r="1612" spans="1:7" x14ac:dyDescent="0.2">
      <c r="A1612" t="s">
        <v>64</v>
      </c>
      <c r="B1612" t="s">
        <v>64</v>
      </c>
      <c r="C1612" s="3" t="s">
        <v>64</v>
      </c>
      <c r="D1612" s="16" t="s">
        <v>64</v>
      </c>
      <c r="E1612" s="16">
        <v>0</v>
      </c>
      <c r="F1612" s="16" t="s">
        <v>64</v>
      </c>
      <c r="G1612" s="16" t="s">
        <v>64</v>
      </c>
    </row>
    <row r="1613" spans="1:7" x14ac:dyDescent="0.2">
      <c r="A1613" t="s">
        <v>64</v>
      </c>
      <c r="B1613" t="s">
        <v>64</v>
      </c>
      <c r="C1613" s="3" t="s">
        <v>64</v>
      </c>
      <c r="D1613" s="16" t="s">
        <v>64</v>
      </c>
      <c r="E1613" s="16">
        <v>0</v>
      </c>
      <c r="F1613" s="16" t="s">
        <v>64</v>
      </c>
      <c r="G1613" s="16" t="s">
        <v>64</v>
      </c>
    </row>
    <row r="1614" spans="1:7" x14ac:dyDescent="0.2">
      <c r="A1614" t="s">
        <v>64</v>
      </c>
      <c r="B1614" t="s">
        <v>64</v>
      </c>
      <c r="C1614" s="3" t="s">
        <v>64</v>
      </c>
      <c r="D1614" s="16" t="s">
        <v>64</v>
      </c>
      <c r="E1614" s="16">
        <v>0</v>
      </c>
      <c r="F1614" s="16" t="s">
        <v>64</v>
      </c>
      <c r="G1614" s="16" t="s">
        <v>64</v>
      </c>
    </row>
    <row r="1615" spans="1:7" x14ac:dyDescent="0.2">
      <c r="A1615" t="s">
        <v>64</v>
      </c>
      <c r="B1615" t="s">
        <v>64</v>
      </c>
      <c r="C1615" s="3" t="s">
        <v>64</v>
      </c>
      <c r="D1615" s="16" t="s">
        <v>64</v>
      </c>
      <c r="E1615" s="16">
        <v>0</v>
      </c>
      <c r="F1615" s="16" t="s">
        <v>64</v>
      </c>
      <c r="G1615" s="16" t="s">
        <v>64</v>
      </c>
    </row>
    <row r="1616" spans="1:7" x14ac:dyDescent="0.2">
      <c r="A1616" t="s">
        <v>64</v>
      </c>
      <c r="B1616" t="s">
        <v>64</v>
      </c>
      <c r="C1616" s="3" t="s">
        <v>64</v>
      </c>
      <c r="D1616" s="16" t="s">
        <v>64</v>
      </c>
      <c r="E1616" s="16">
        <v>0</v>
      </c>
      <c r="F1616" s="16" t="s">
        <v>64</v>
      </c>
      <c r="G1616" s="16" t="s">
        <v>64</v>
      </c>
    </row>
    <row r="1617" spans="1:7" x14ac:dyDescent="0.2">
      <c r="A1617" t="s">
        <v>64</v>
      </c>
      <c r="B1617" t="s">
        <v>64</v>
      </c>
      <c r="C1617" s="3" t="s">
        <v>64</v>
      </c>
      <c r="D1617" s="16" t="s">
        <v>64</v>
      </c>
      <c r="E1617" s="16">
        <v>0</v>
      </c>
      <c r="F1617" s="16" t="s">
        <v>64</v>
      </c>
      <c r="G1617" s="16" t="s">
        <v>64</v>
      </c>
    </row>
    <row r="1618" spans="1:7" x14ac:dyDescent="0.2">
      <c r="A1618" t="s">
        <v>64</v>
      </c>
      <c r="B1618" t="s">
        <v>64</v>
      </c>
      <c r="C1618" s="3" t="s">
        <v>64</v>
      </c>
      <c r="D1618" s="16" t="s">
        <v>64</v>
      </c>
      <c r="E1618" s="16">
        <v>0</v>
      </c>
      <c r="F1618" s="16" t="s">
        <v>64</v>
      </c>
      <c r="G1618" s="16" t="s">
        <v>64</v>
      </c>
    </row>
    <row r="1619" spans="1:7" x14ac:dyDescent="0.2">
      <c r="A1619" t="s">
        <v>64</v>
      </c>
      <c r="B1619" t="s">
        <v>64</v>
      </c>
      <c r="C1619" s="3" t="s">
        <v>64</v>
      </c>
      <c r="D1619" s="16" t="s">
        <v>64</v>
      </c>
      <c r="E1619" s="16">
        <v>0</v>
      </c>
      <c r="F1619" s="16" t="s">
        <v>64</v>
      </c>
      <c r="G1619" s="16" t="s">
        <v>64</v>
      </c>
    </row>
    <row r="1620" spans="1:7" x14ac:dyDescent="0.2">
      <c r="A1620" t="s">
        <v>64</v>
      </c>
      <c r="B1620" t="s">
        <v>64</v>
      </c>
      <c r="C1620" s="3" t="s">
        <v>64</v>
      </c>
      <c r="D1620" s="16" t="s">
        <v>64</v>
      </c>
      <c r="E1620" s="16">
        <v>0</v>
      </c>
      <c r="F1620" s="16" t="s">
        <v>64</v>
      </c>
      <c r="G1620" s="16" t="s">
        <v>64</v>
      </c>
    </row>
    <row r="1621" spans="1:7" x14ac:dyDescent="0.2">
      <c r="A1621" t="s">
        <v>64</v>
      </c>
      <c r="B1621" t="s">
        <v>64</v>
      </c>
      <c r="C1621" s="3" t="s">
        <v>64</v>
      </c>
      <c r="D1621" s="16" t="s">
        <v>64</v>
      </c>
      <c r="E1621" s="16">
        <v>0</v>
      </c>
      <c r="F1621" s="16" t="s">
        <v>64</v>
      </c>
      <c r="G1621" s="16" t="s">
        <v>64</v>
      </c>
    </row>
    <row r="1622" spans="1:7" x14ac:dyDescent="0.2">
      <c r="A1622" t="s">
        <v>64</v>
      </c>
      <c r="B1622" t="s">
        <v>64</v>
      </c>
      <c r="C1622" s="3" t="s">
        <v>64</v>
      </c>
      <c r="D1622" s="16" t="s">
        <v>64</v>
      </c>
      <c r="E1622" s="16">
        <v>0</v>
      </c>
      <c r="F1622" s="16" t="s">
        <v>64</v>
      </c>
      <c r="G1622" s="16" t="s">
        <v>64</v>
      </c>
    </row>
    <row r="1623" spans="1:7" x14ac:dyDescent="0.2">
      <c r="A1623" t="s">
        <v>64</v>
      </c>
      <c r="B1623" t="s">
        <v>64</v>
      </c>
      <c r="C1623" s="3" t="s">
        <v>64</v>
      </c>
      <c r="D1623" s="16" t="s">
        <v>64</v>
      </c>
      <c r="E1623" s="16">
        <v>0</v>
      </c>
      <c r="F1623" s="16" t="s">
        <v>64</v>
      </c>
      <c r="G1623" s="16" t="s">
        <v>64</v>
      </c>
    </row>
    <row r="1624" spans="1:7" x14ac:dyDescent="0.2">
      <c r="A1624" t="s">
        <v>64</v>
      </c>
      <c r="B1624" t="s">
        <v>64</v>
      </c>
      <c r="C1624" s="3" t="s">
        <v>64</v>
      </c>
      <c r="D1624" s="16" t="s">
        <v>64</v>
      </c>
      <c r="E1624" s="16">
        <v>0</v>
      </c>
      <c r="F1624" s="16" t="s">
        <v>64</v>
      </c>
      <c r="G1624" s="16" t="s">
        <v>64</v>
      </c>
    </row>
    <row r="1625" spans="1:7" x14ac:dyDescent="0.2">
      <c r="A1625" t="s">
        <v>64</v>
      </c>
      <c r="B1625" t="s">
        <v>64</v>
      </c>
      <c r="C1625" s="3" t="s">
        <v>64</v>
      </c>
      <c r="D1625" s="16" t="s">
        <v>64</v>
      </c>
      <c r="E1625" s="16">
        <v>0</v>
      </c>
      <c r="F1625" s="16" t="s">
        <v>64</v>
      </c>
      <c r="G1625" s="16" t="s">
        <v>64</v>
      </c>
    </row>
    <row r="1626" spans="1:7" x14ac:dyDescent="0.2">
      <c r="A1626" t="s">
        <v>64</v>
      </c>
      <c r="B1626" t="s">
        <v>64</v>
      </c>
      <c r="C1626" s="3" t="s">
        <v>64</v>
      </c>
      <c r="D1626" s="16" t="s">
        <v>64</v>
      </c>
      <c r="E1626" s="16">
        <v>0</v>
      </c>
      <c r="F1626" s="16" t="s">
        <v>64</v>
      </c>
      <c r="G1626" s="16" t="s">
        <v>64</v>
      </c>
    </row>
    <row r="1627" spans="1:7" x14ac:dyDescent="0.2">
      <c r="A1627" t="s">
        <v>64</v>
      </c>
      <c r="B1627" t="s">
        <v>64</v>
      </c>
      <c r="C1627" s="3" t="s">
        <v>64</v>
      </c>
      <c r="D1627" s="16" t="s">
        <v>64</v>
      </c>
      <c r="E1627" s="16">
        <v>0</v>
      </c>
      <c r="F1627" s="16" t="s">
        <v>64</v>
      </c>
      <c r="G1627" s="16" t="s">
        <v>64</v>
      </c>
    </row>
    <row r="1628" spans="1:7" x14ac:dyDescent="0.2">
      <c r="A1628" t="s">
        <v>64</v>
      </c>
      <c r="B1628" t="s">
        <v>64</v>
      </c>
      <c r="C1628" s="3" t="s">
        <v>64</v>
      </c>
      <c r="D1628" s="16" t="s">
        <v>64</v>
      </c>
      <c r="E1628" s="16">
        <v>0</v>
      </c>
      <c r="F1628" s="16" t="s">
        <v>64</v>
      </c>
      <c r="G1628" s="16" t="s">
        <v>64</v>
      </c>
    </row>
    <row r="1629" spans="1:7" x14ac:dyDescent="0.2">
      <c r="A1629" t="s">
        <v>64</v>
      </c>
      <c r="B1629" t="s">
        <v>64</v>
      </c>
      <c r="C1629" s="3" t="s">
        <v>64</v>
      </c>
      <c r="D1629" s="16" t="s">
        <v>64</v>
      </c>
      <c r="E1629" s="16">
        <v>0</v>
      </c>
      <c r="F1629" s="16" t="s">
        <v>64</v>
      </c>
      <c r="G1629" s="16" t="s">
        <v>64</v>
      </c>
    </row>
    <row r="1630" spans="1:7" x14ac:dyDescent="0.2">
      <c r="A1630" t="s">
        <v>64</v>
      </c>
      <c r="B1630" t="s">
        <v>64</v>
      </c>
      <c r="C1630" s="3" t="s">
        <v>64</v>
      </c>
      <c r="D1630" s="16" t="s">
        <v>64</v>
      </c>
      <c r="E1630" s="16">
        <v>0</v>
      </c>
      <c r="F1630" s="16" t="s">
        <v>64</v>
      </c>
      <c r="G1630" s="16" t="s">
        <v>64</v>
      </c>
    </row>
    <row r="1631" spans="1:7" x14ac:dyDescent="0.2">
      <c r="A1631" t="s">
        <v>64</v>
      </c>
      <c r="B1631" t="s">
        <v>64</v>
      </c>
      <c r="C1631" s="3" t="s">
        <v>64</v>
      </c>
      <c r="D1631" s="16" t="s">
        <v>64</v>
      </c>
      <c r="E1631" s="16">
        <v>0</v>
      </c>
      <c r="F1631" s="16" t="s">
        <v>64</v>
      </c>
      <c r="G1631" s="16" t="s">
        <v>64</v>
      </c>
    </row>
    <row r="1632" spans="1:7" x14ac:dyDescent="0.2">
      <c r="A1632" t="s">
        <v>64</v>
      </c>
      <c r="B1632" t="s">
        <v>64</v>
      </c>
      <c r="C1632" s="3" t="s">
        <v>64</v>
      </c>
      <c r="D1632" s="16" t="s">
        <v>64</v>
      </c>
      <c r="E1632" s="16">
        <v>0</v>
      </c>
      <c r="F1632" s="16" t="s">
        <v>64</v>
      </c>
      <c r="G1632" s="16" t="s">
        <v>64</v>
      </c>
    </row>
    <row r="1633" spans="1:7" x14ac:dyDescent="0.2">
      <c r="A1633" t="s">
        <v>64</v>
      </c>
      <c r="B1633" t="s">
        <v>64</v>
      </c>
      <c r="C1633" s="3" t="s">
        <v>64</v>
      </c>
      <c r="D1633" s="16" t="s">
        <v>64</v>
      </c>
      <c r="E1633" s="16">
        <v>0</v>
      </c>
      <c r="F1633" s="16" t="s">
        <v>64</v>
      </c>
      <c r="G1633" s="16" t="s">
        <v>64</v>
      </c>
    </row>
    <row r="1634" spans="1:7" x14ac:dyDescent="0.2">
      <c r="A1634" t="s">
        <v>64</v>
      </c>
      <c r="B1634" t="s">
        <v>64</v>
      </c>
      <c r="C1634" s="3" t="s">
        <v>64</v>
      </c>
      <c r="D1634" s="16" t="s">
        <v>64</v>
      </c>
      <c r="E1634" s="16">
        <v>0</v>
      </c>
      <c r="F1634" s="16" t="s">
        <v>64</v>
      </c>
      <c r="G1634" s="16" t="s">
        <v>64</v>
      </c>
    </row>
    <row r="1635" spans="1:7" x14ac:dyDescent="0.2">
      <c r="A1635" t="s">
        <v>64</v>
      </c>
      <c r="B1635" t="s">
        <v>64</v>
      </c>
      <c r="C1635" s="3" t="s">
        <v>64</v>
      </c>
      <c r="D1635" s="16" t="s">
        <v>64</v>
      </c>
      <c r="E1635" s="16">
        <v>0</v>
      </c>
      <c r="F1635" s="16" t="s">
        <v>64</v>
      </c>
      <c r="G1635" s="16" t="s">
        <v>64</v>
      </c>
    </row>
    <row r="1636" spans="1:7" x14ac:dyDescent="0.2">
      <c r="A1636" t="s">
        <v>64</v>
      </c>
      <c r="B1636" t="s">
        <v>64</v>
      </c>
      <c r="C1636" s="3" t="s">
        <v>64</v>
      </c>
      <c r="D1636" s="16" t="s">
        <v>64</v>
      </c>
      <c r="E1636" s="16">
        <v>0</v>
      </c>
      <c r="F1636" s="16" t="s">
        <v>64</v>
      </c>
      <c r="G1636" s="16" t="s">
        <v>64</v>
      </c>
    </row>
    <row r="1637" spans="1:7" x14ac:dyDescent="0.2">
      <c r="A1637" t="s">
        <v>64</v>
      </c>
      <c r="B1637" t="s">
        <v>64</v>
      </c>
      <c r="C1637" s="3" t="s">
        <v>64</v>
      </c>
      <c r="D1637" s="16" t="s">
        <v>64</v>
      </c>
      <c r="E1637" s="16">
        <v>0</v>
      </c>
      <c r="F1637" s="16" t="s">
        <v>64</v>
      </c>
      <c r="G1637" s="16" t="s">
        <v>64</v>
      </c>
    </row>
    <row r="1638" spans="1:7" x14ac:dyDescent="0.2">
      <c r="A1638" t="s">
        <v>64</v>
      </c>
      <c r="B1638" t="s">
        <v>64</v>
      </c>
      <c r="C1638" s="3" t="s">
        <v>64</v>
      </c>
      <c r="D1638" s="16" t="s">
        <v>64</v>
      </c>
      <c r="E1638" s="16">
        <v>0</v>
      </c>
      <c r="F1638" s="16" t="s">
        <v>64</v>
      </c>
      <c r="G1638" s="16" t="s">
        <v>64</v>
      </c>
    </row>
    <row r="1639" spans="1:7" x14ac:dyDescent="0.2">
      <c r="A1639" t="s">
        <v>64</v>
      </c>
      <c r="B1639" t="s">
        <v>64</v>
      </c>
      <c r="C1639" s="3" t="s">
        <v>64</v>
      </c>
      <c r="D1639" s="16" t="s">
        <v>64</v>
      </c>
      <c r="E1639" s="16">
        <v>0</v>
      </c>
      <c r="F1639" s="16" t="s">
        <v>64</v>
      </c>
      <c r="G1639" s="16" t="s">
        <v>64</v>
      </c>
    </row>
    <row r="1640" spans="1:7" x14ac:dyDescent="0.2">
      <c r="A1640" t="s">
        <v>64</v>
      </c>
      <c r="B1640" t="s">
        <v>64</v>
      </c>
      <c r="C1640" s="3" t="s">
        <v>64</v>
      </c>
      <c r="D1640" s="16" t="s">
        <v>64</v>
      </c>
      <c r="E1640" s="16">
        <v>0</v>
      </c>
      <c r="F1640" s="16" t="s">
        <v>64</v>
      </c>
      <c r="G1640" s="16" t="s">
        <v>64</v>
      </c>
    </row>
    <row r="1641" spans="1:7" x14ac:dyDescent="0.2">
      <c r="A1641" t="s">
        <v>64</v>
      </c>
      <c r="B1641" t="s">
        <v>64</v>
      </c>
      <c r="C1641" s="3" t="s">
        <v>64</v>
      </c>
      <c r="D1641" s="16" t="s">
        <v>64</v>
      </c>
      <c r="E1641" s="16">
        <v>0</v>
      </c>
      <c r="F1641" s="16" t="s">
        <v>64</v>
      </c>
      <c r="G1641" s="16" t="s">
        <v>64</v>
      </c>
    </row>
    <row r="1642" spans="1:7" x14ac:dyDescent="0.2">
      <c r="A1642" t="s">
        <v>64</v>
      </c>
      <c r="B1642" t="s">
        <v>64</v>
      </c>
      <c r="C1642" s="3" t="s">
        <v>64</v>
      </c>
      <c r="D1642" s="16" t="s">
        <v>64</v>
      </c>
      <c r="E1642" s="16">
        <v>0</v>
      </c>
      <c r="F1642" s="16" t="s">
        <v>64</v>
      </c>
      <c r="G1642" s="16" t="s">
        <v>64</v>
      </c>
    </row>
    <row r="1643" spans="1:7" x14ac:dyDescent="0.2">
      <c r="A1643" t="s">
        <v>64</v>
      </c>
      <c r="B1643" t="s">
        <v>64</v>
      </c>
      <c r="C1643" s="3" t="s">
        <v>64</v>
      </c>
      <c r="D1643" s="16" t="s">
        <v>64</v>
      </c>
      <c r="E1643" s="16">
        <v>0</v>
      </c>
      <c r="F1643" s="16" t="s">
        <v>64</v>
      </c>
      <c r="G1643" s="16" t="s">
        <v>64</v>
      </c>
    </row>
    <row r="1644" spans="1:7" x14ac:dyDescent="0.2">
      <c r="A1644" t="s">
        <v>64</v>
      </c>
      <c r="B1644" t="s">
        <v>64</v>
      </c>
      <c r="C1644" s="3" t="s">
        <v>64</v>
      </c>
      <c r="D1644" s="16" t="s">
        <v>64</v>
      </c>
      <c r="E1644" s="16">
        <v>0</v>
      </c>
      <c r="F1644" s="16" t="s">
        <v>64</v>
      </c>
      <c r="G1644" s="16" t="s">
        <v>64</v>
      </c>
    </row>
    <row r="1645" spans="1:7" x14ac:dyDescent="0.2">
      <c r="A1645" t="s">
        <v>64</v>
      </c>
      <c r="B1645" t="s">
        <v>64</v>
      </c>
      <c r="C1645" s="3" t="s">
        <v>64</v>
      </c>
      <c r="D1645" s="16" t="s">
        <v>64</v>
      </c>
      <c r="E1645" s="16">
        <v>0</v>
      </c>
      <c r="F1645" s="16" t="s">
        <v>64</v>
      </c>
      <c r="G1645" s="16" t="s">
        <v>64</v>
      </c>
    </row>
    <row r="1646" spans="1:7" x14ac:dyDescent="0.2">
      <c r="A1646" t="s">
        <v>64</v>
      </c>
      <c r="B1646" t="s">
        <v>64</v>
      </c>
      <c r="C1646" s="3" t="s">
        <v>64</v>
      </c>
      <c r="D1646" s="16" t="s">
        <v>64</v>
      </c>
      <c r="E1646" s="16">
        <v>0</v>
      </c>
      <c r="F1646" s="16" t="s">
        <v>64</v>
      </c>
      <c r="G1646" s="16" t="s">
        <v>64</v>
      </c>
    </row>
    <row r="1647" spans="1:7" x14ac:dyDescent="0.2">
      <c r="A1647" t="s">
        <v>64</v>
      </c>
      <c r="B1647" t="s">
        <v>64</v>
      </c>
      <c r="C1647" s="3" t="s">
        <v>64</v>
      </c>
      <c r="D1647" s="16" t="s">
        <v>64</v>
      </c>
      <c r="E1647" s="16">
        <v>0</v>
      </c>
      <c r="F1647" s="16" t="s">
        <v>64</v>
      </c>
      <c r="G1647" s="16" t="s">
        <v>64</v>
      </c>
    </row>
    <row r="1648" spans="1:7" x14ac:dyDescent="0.2">
      <c r="A1648" t="s">
        <v>64</v>
      </c>
      <c r="B1648" t="s">
        <v>64</v>
      </c>
      <c r="C1648" s="3" t="s">
        <v>64</v>
      </c>
      <c r="D1648" s="16" t="s">
        <v>64</v>
      </c>
      <c r="E1648" s="16">
        <v>0</v>
      </c>
      <c r="F1648" s="16" t="s">
        <v>64</v>
      </c>
      <c r="G1648" s="16" t="s">
        <v>64</v>
      </c>
    </row>
    <row r="1649" spans="1:7" x14ac:dyDescent="0.2">
      <c r="A1649" t="s">
        <v>64</v>
      </c>
      <c r="B1649" t="s">
        <v>64</v>
      </c>
      <c r="C1649" s="3" t="s">
        <v>64</v>
      </c>
      <c r="D1649" s="16" t="s">
        <v>64</v>
      </c>
      <c r="E1649" s="16">
        <v>0</v>
      </c>
      <c r="F1649" s="16" t="s">
        <v>64</v>
      </c>
      <c r="G1649" s="16" t="s">
        <v>64</v>
      </c>
    </row>
    <row r="1650" spans="1:7" x14ac:dyDescent="0.2">
      <c r="A1650" t="s">
        <v>64</v>
      </c>
      <c r="B1650" t="s">
        <v>64</v>
      </c>
      <c r="C1650" s="3" t="s">
        <v>64</v>
      </c>
      <c r="D1650" s="16" t="s">
        <v>64</v>
      </c>
      <c r="E1650" s="16">
        <v>0</v>
      </c>
      <c r="F1650" s="16" t="s">
        <v>64</v>
      </c>
      <c r="G1650" s="16" t="s">
        <v>64</v>
      </c>
    </row>
    <row r="1651" spans="1:7" x14ac:dyDescent="0.2">
      <c r="A1651" t="s">
        <v>64</v>
      </c>
      <c r="B1651" t="s">
        <v>64</v>
      </c>
      <c r="C1651" s="3" t="s">
        <v>64</v>
      </c>
      <c r="D1651" s="16" t="s">
        <v>64</v>
      </c>
      <c r="E1651" s="16">
        <v>0</v>
      </c>
      <c r="F1651" s="16" t="s">
        <v>64</v>
      </c>
      <c r="G1651" s="16" t="s">
        <v>64</v>
      </c>
    </row>
    <row r="1652" spans="1:7" x14ac:dyDescent="0.2">
      <c r="A1652" t="s">
        <v>64</v>
      </c>
      <c r="B1652" t="s">
        <v>64</v>
      </c>
      <c r="C1652" s="3" t="s">
        <v>64</v>
      </c>
      <c r="D1652" s="16" t="s">
        <v>64</v>
      </c>
      <c r="E1652" s="16">
        <v>0</v>
      </c>
      <c r="F1652" s="16" t="s">
        <v>64</v>
      </c>
      <c r="G1652" s="16" t="s">
        <v>64</v>
      </c>
    </row>
    <row r="1653" spans="1:7" x14ac:dyDescent="0.2">
      <c r="A1653" t="s">
        <v>64</v>
      </c>
      <c r="B1653" t="s">
        <v>64</v>
      </c>
      <c r="C1653" s="3" t="s">
        <v>64</v>
      </c>
      <c r="D1653" s="16" t="s">
        <v>64</v>
      </c>
      <c r="E1653" s="16">
        <v>0</v>
      </c>
      <c r="F1653" s="16" t="s">
        <v>64</v>
      </c>
      <c r="G1653" s="16" t="s">
        <v>64</v>
      </c>
    </row>
    <row r="1654" spans="1:7" x14ac:dyDescent="0.2">
      <c r="A1654" t="s">
        <v>64</v>
      </c>
      <c r="B1654" t="s">
        <v>64</v>
      </c>
      <c r="C1654" s="3" t="s">
        <v>64</v>
      </c>
      <c r="D1654" s="16" t="s">
        <v>64</v>
      </c>
      <c r="E1654" s="16">
        <v>0</v>
      </c>
      <c r="F1654" s="16" t="s">
        <v>64</v>
      </c>
      <c r="G1654" s="16" t="s">
        <v>64</v>
      </c>
    </row>
    <row r="1655" spans="1:7" x14ac:dyDescent="0.2">
      <c r="A1655" t="s">
        <v>64</v>
      </c>
      <c r="B1655" t="s">
        <v>64</v>
      </c>
      <c r="C1655" s="3" t="s">
        <v>64</v>
      </c>
      <c r="D1655" s="16" t="s">
        <v>64</v>
      </c>
      <c r="E1655" s="16">
        <v>0</v>
      </c>
      <c r="F1655" s="16" t="s">
        <v>64</v>
      </c>
      <c r="G1655" s="16" t="s">
        <v>64</v>
      </c>
    </row>
    <row r="1656" spans="1:7" x14ac:dyDescent="0.2">
      <c r="A1656" t="s">
        <v>64</v>
      </c>
      <c r="B1656" t="s">
        <v>64</v>
      </c>
      <c r="C1656" s="3" t="s">
        <v>64</v>
      </c>
      <c r="D1656" s="16" t="s">
        <v>64</v>
      </c>
      <c r="E1656" s="16">
        <v>0</v>
      </c>
      <c r="F1656" s="16" t="s">
        <v>64</v>
      </c>
      <c r="G1656" s="16" t="s">
        <v>64</v>
      </c>
    </row>
    <row r="1657" spans="1:7" x14ac:dyDescent="0.2">
      <c r="A1657" t="s">
        <v>64</v>
      </c>
      <c r="B1657" t="s">
        <v>64</v>
      </c>
      <c r="C1657" s="3" t="s">
        <v>64</v>
      </c>
      <c r="D1657" s="16" t="s">
        <v>64</v>
      </c>
      <c r="E1657" s="16">
        <v>0</v>
      </c>
      <c r="F1657" s="16" t="s">
        <v>64</v>
      </c>
      <c r="G1657" s="16" t="s">
        <v>64</v>
      </c>
    </row>
    <row r="1658" spans="1:7" x14ac:dyDescent="0.2">
      <c r="A1658" t="s">
        <v>64</v>
      </c>
      <c r="B1658" t="s">
        <v>64</v>
      </c>
      <c r="C1658" s="3" t="s">
        <v>64</v>
      </c>
      <c r="D1658" s="16" t="s">
        <v>64</v>
      </c>
      <c r="E1658" s="16">
        <v>0</v>
      </c>
      <c r="F1658" s="16" t="s">
        <v>64</v>
      </c>
      <c r="G1658" s="16" t="s">
        <v>64</v>
      </c>
    </row>
    <row r="1659" spans="1:7" x14ac:dyDescent="0.2">
      <c r="A1659" t="s">
        <v>64</v>
      </c>
      <c r="B1659" t="s">
        <v>64</v>
      </c>
      <c r="C1659" s="3" t="s">
        <v>64</v>
      </c>
      <c r="D1659" s="16" t="s">
        <v>64</v>
      </c>
      <c r="E1659" s="16">
        <v>0</v>
      </c>
      <c r="F1659" s="16" t="s">
        <v>64</v>
      </c>
      <c r="G1659" s="16" t="s">
        <v>64</v>
      </c>
    </row>
    <row r="1660" spans="1:7" x14ac:dyDescent="0.2">
      <c r="A1660" t="s">
        <v>64</v>
      </c>
      <c r="B1660" t="s">
        <v>64</v>
      </c>
      <c r="C1660" s="3" t="s">
        <v>64</v>
      </c>
      <c r="D1660" s="16" t="s">
        <v>64</v>
      </c>
      <c r="E1660" s="16">
        <v>0</v>
      </c>
      <c r="F1660" s="16" t="s">
        <v>64</v>
      </c>
      <c r="G1660" s="16" t="s">
        <v>64</v>
      </c>
    </row>
    <row r="1661" spans="1:7" x14ac:dyDescent="0.2">
      <c r="A1661" t="s">
        <v>64</v>
      </c>
      <c r="B1661" t="s">
        <v>64</v>
      </c>
      <c r="C1661" s="3" t="s">
        <v>64</v>
      </c>
      <c r="D1661" s="16" t="s">
        <v>64</v>
      </c>
      <c r="E1661" s="16">
        <v>0</v>
      </c>
      <c r="F1661" s="16" t="s">
        <v>64</v>
      </c>
      <c r="G1661" s="16" t="s">
        <v>64</v>
      </c>
    </row>
    <row r="1662" spans="1:7" x14ac:dyDescent="0.2">
      <c r="A1662" t="s">
        <v>64</v>
      </c>
      <c r="B1662" t="s">
        <v>64</v>
      </c>
      <c r="C1662" s="3" t="s">
        <v>64</v>
      </c>
      <c r="D1662" s="16" t="s">
        <v>64</v>
      </c>
      <c r="E1662" s="16">
        <v>0</v>
      </c>
      <c r="F1662" s="16" t="s">
        <v>64</v>
      </c>
      <c r="G1662" s="16" t="s">
        <v>64</v>
      </c>
    </row>
    <row r="1663" spans="1:7" x14ac:dyDescent="0.2">
      <c r="A1663" t="s">
        <v>64</v>
      </c>
      <c r="B1663" t="s">
        <v>64</v>
      </c>
      <c r="C1663" s="3" t="s">
        <v>64</v>
      </c>
      <c r="D1663" s="16" t="s">
        <v>64</v>
      </c>
      <c r="E1663" s="16">
        <v>0</v>
      </c>
      <c r="F1663" s="16" t="s">
        <v>64</v>
      </c>
      <c r="G1663" s="16" t="s">
        <v>64</v>
      </c>
    </row>
    <row r="1664" spans="1:7" x14ac:dyDescent="0.2">
      <c r="A1664" t="s">
        <v>64</v>
      </c>
      <c r="B1664" t="s">
        <v>64</v>
      </c>
      <c r="C1664" s="3" t="s">
        <v>64</v>
      </c>
      <c r="D1664" s="16" t="s">
        <v>64</v>
      </c>
      <c r="E1664" s="16">
        <v>0</v>
      </c>
      <c r="F1664" s="16" t="s">
        <v>64</v>
      </c>
      <c r="G1664" s="16" t="s">
        <v>64</v>
      </c>
    </row>
    <row r="1665" spans="1:7" x14ac:dyDescent="0.2">
      <c r="A1665" t="s">
        <v>64</v>
      </c>
      <c r="B1665" t="s">
        <v>64</v>
      </c>
      <c r="C1665" s="3" t="s">
        <v>64</v>
      </c>
      <c r="D1665" s="16" t="s">
        <v>64</v>
      </c>
      <c r="E1665" s="16">
        <v>0</v>
      </c>
      <c r="F1665" s="16" t="s">
        <v>64</v>
      </c>
      <c r="G1665" s="16" t="s">
        <v>64</v>
      </c>
    </row>
    <row r="1666" spans="1:7" x14ac:dyDescent="0.2">
      <c r="A1666" t="s">
        <v>64</v>
      </c>
      <c r="B1666" t="s">
        <v>64</v>
      </c>
      <c r="C1666" s="3" t="s">
        <v>64</v>
      </c>
      <c r="D1666" s="16" t="s">
        <v>64</v>
      </c>
      <c r="E1666" s="16">
        <v>0</v>
      </c>
      <c r="F1666" s="16" t="s">
        <v>64</v>
      </c>
      <c r="G1666" s="16" t="s">
        <v>64</v>
      </c>
    </row>
    <row r="1667" spans="1:7" x14ac:dyDescent="0.2">
      <c r="A1667" t="s">
        <v>64</v>
      </c>
      <c r="B1667" t="s">
        <v>64</v>
      </c>
      <c r="C1667" s="3" t="s">
        <v>64</v>
      </c>
      <c r="D1667" s="16" t="s">
        <v>64</v>
      </c>
      <c r="E1667" s="16">
        <v>0</v>
      </c>
      <c r="F1667" s="16" t="s">
        <v>64</v>
      </c>
      <c r="G1667" s="16" t="s">
        <v>64</v>
      </c>
    </row>
    <row r="1668" spans="1:7" x14ac:dyDescent="0.2">
      <c r="A1668" t="s">
        <v>64</v>
      </c>
      <c r="B1668" t="s">
        <v>64</v>
      </c>
      <c r="C1668" s="3" t="s">
        <v>64</v>
      </c>
      <c r="D1668" s="16" t="s">
        <v>64</v>
      </c>
      <c r="E1668" s="16">
        <v>0</v>
      </c>
      <c r="F1668" s="16" t="s">
        <v>64</v>
      </c>
      <c r="G1668" s="16" t="s">
        <v>64</v>
      </c>
    </row>
    <row r="1669" spans="1:7" x14ac:dyDescent="0.2">
      <c r="A1669" t="s">
        <v>64</v>
      </c>
      <c r="B1669" t="s">
        <v>64</v>
      </c>
      <c r="C1669" s="3" t="s">
        <v>64</v>
      </c>
      <c r="D1669" s="16" t="s">
        <v>64</v>
      </c>
      <c r="E1669" s="16">
        <v>0</v>
      </c>
      <c r="F1669" s="16" t="s">
        <v>64</v>
      </c>
      <c r="G1669" s="16" t="s">
        <v>64</v>
      </c>
    </row>
    <row r="1670" spans="1:7" x14ac:dyDescent="0.2">
      <c r="A1670" t="s">
        <v>64</v>
      </c>
      <c r="B1670" t="s">
        <v>64</v>
      </c>
      <c r="C1670" s="3" t="s">
        <v>64</v>
      </c>
      <c r="D1670" s="16" t="s">
        <v>64</v>
      </c>
      <c r="E1670" s="16">
        <v>0</v>
      </c>
      <c r="F1670" s="16" t="s">
        <v>64</v>
      </c>
      <c r="G1670" s="16" t="s">
        <v>64</v>
      </c>
    </row>
    <row r="1671" spans="1:7" x14ac:dyDescent="0.2">
      <c r="A1671" t="s">
        <v>64</v>
      </c>
      <c r="B1671" t="s">
        <v>64</v>
      </c>
      <c r="C1671" s="3" t="s">
        <v>64</v>
      </c>
      <c r="D1671" s="16" t="s">
        <v>64</v>
      </c>
      <c r="E1671" s="16">
        <v>0</v>
      </c>
      <c r="F1671" s="16" t="s">
        <v>64</v>
      </c>
      <c r="G1671" s="16" t="s">
        <v>64</v>
      </c>
    </row>
    <row r="1672" spans="1:7" x14ac:dyDescent="0.2">
      <c r="A1672" t="s">
        <v>64</v>
      </c>
      <c r="B1672" t="s">
        <v>64</v>
      </c>
      <c r="C1672" s="3" t="s">
        <v>64</v>
      </c>
      <c r="D1672" s="16" t="s">
        <v>64</v>
      </c>
      <c r="E1672" s="16">
        <v>0</v>
      </c>
      <c r="F1672" s="16" t="s">
        <v>64</v>
      </c>
      <c r="G1672" s="16" t="s">
        <v>64</v>
      </c>
    </row>
    <row r="1673" spans="1:7" x14ac:dyDescent="0.2">
      <c r="A1673" t="s">
        <v>64</v>
      </c>
      <c r="B1673" t="s">
        <v>64</v>
      </c>
      <c r="C1673" s="3" t="s">
        <v>64</v>
      </c>
      <c r="D1673" s="16" t="s">
        <v>64</v>
      </c>
      <c r="E1673" s="16">
        <v>0</v>
      </c>
      <c r="F1673" s="16" t="s">
        <v>64</v>
      </c>
      <c r="G1673" s="16" t="s">
        <v>64</v>
      </c>
    </row>
    <row r="1674" spans="1:7" x14ac:dyDescent="0.2">
      <c r="A1674" t="s">
        <v>64</v>
      </c>
      <c r="B1674" t="s">
        <v>64</v>
      </c>
      <c r="C1674" s="3" t="s">
        <v>64</v>
      </c>
      <c r="D1674" s="16" t="s">
        <v>64</v>
      </c>
      <c r="E1674" s="16">
        <v>0</v>
      </c>
      <c r="F1674" s="16" t="s">
        <v>64</v>
      </c>
      <c r="G1674" s="16" t="s">
        <v>64</v>
      </c>
    </row>
    <row r="1675" spans="1:7" x14ac:dyDescent="0.2">
      <c r="A1675" t="s">
        <v>64</v>
      </c>
      <c r="B1675" t="s">
        <v>64</v>
      </c>
      <c r="C1675" s="3" t="s">
        <v>64</v>
      </c>
      <c r="D1675" s="16" t="s">
        <v>64</v>
      </c>
      <c r="E1675" s="16">
        <v>0</v>
      </c>
      <c r="F1675" s="16" t="s">
        <v>64</v>
      </c>
      <c r="G1675" s="16" t="s">
        <v>64</v>
      </c>
    </row>
    <row r="1676" spans="1:7" x14ac:dyDescent="0.2">
      <c r="A1676" t="s">
        <v>64</v>
      </c>
      <c r="B1676" t="s">
        <v>64</v>
      </c>
      <c r="C1676" s="3" t="s">
        <v>64</v>
      </c>
      <c r="D1676" s="16" t="s">
        <v>64</v>
      </c>
      <c r="E1676" s="16">
        <v>0</v>
      </c>
      <c r="F1676" s="16" t="s">
        <v>64</v>
      </c>
      <c r="G1676" s="16" t="s">
        <v>64</v>
      </c>
    </row>
    <row r="1677" spans="1:7" x14ac:dyDescent="0.2">
      <c r="A1677" t="s">
        <v>64</v>
      </c>
      <c r="B1677" t="s">
        <v>64</v>
      </c>
      <c r="C1677" s="3" t="s">
        <v>64</v>
      </c>
      <c r="D1677" s="16" t="s">
        <v>64</v>
      </c>
      <c r="E1677" s="16">
        <v>0</v>
      </c>
      <c r="F1677" s="16" t="s">
        <v>64</v>
      </c>
      <c r="G1677" s="16" t="s">
        <v>64</v>
      </c>
    </row>
    <row r="1678" spans="1:7" x14ac:dyDescent="0.2">
      <c r="A1678" t="s">
        <v>64</v>
      </c>
      <c r="B1678" t="s">
        <v>64</v>
      </c>
      <c r="C1678" s="3" t="s">
        <v>64</v>
      </c>
      <c r="D1678" s="16" t="s">
        <v>64</v>
      </c>
      <c r="E1678" s="16">
        <v>0</v>
      </c>
      <c r="F1678" s="16" t="s">
        <v>64</v>
      </c>
      <c r="G1678" s="16" t="s">
        <v>64</v>
      </c>
    </row>
    <row r="1679" spans="1:7" x14ac:dyDescent="0.2">
      <c r="A1679" t="s">
        <v>64</v>
      </c>
      <c r="B1679" t="s">
        <v>64</v>
      </c>
      <c r="C1679" s="3" t="s">
        <v>64</v>
      </c>
      <c r="D1679" s="16" t="s">
        <v>64</v>
      </c>
      <c r="E1679" s="16">
        <v>0</v>
      </c>
      <c r="F1679" s="16" t="s">
        <v>64</v>
      </c>
      <c r="G1679" s="16" t="s">
        <v>64</v>
      </c>
    </row>
    <row r="1680" spans="1:7" x14ac:dyDescent="0.2">
      <c r="A1680" t="s">
        <v>64</v>
      </c>
      <c r="B1680" t="s">
        <v>64</v>
      </c>
      <c r="C1680" s="3" t="s">
        <v>64</v>
      </c>
      <c r="D1680" s="16" t="s">
        <v>64</v>
      </c>
      <c r="E1680" s="16">
        <v>0</v>
      </c>
      <c r="F1680" s="16" t="s">
        <v>64</v>
      </c>
      <c r="G1680" s="16" t="s">
        <v>64</v>
      </c>
    </row>
    <row r="1681" spans="1:7" x14ac:dyDescent="0.2">
      <c r="A1681" t="s">
        <v>64</v>
      </c>
      <c r="B1681" t="s">
        <v>64</v>
      </c>
      <c r="C1681" s="3" t="s">
        <v>64</v>
      </c>
      <c r="D1681" s="16" t="s">
        <v>64</v>
      </c>
      <c r="E1681" s="16">
        <v>0</v>
      </c>
      <c r="F1681" s="16" t="s">
        <v>64</v>
      </c>
      <c r="G1681" s="16" t="s">
        <v>64</v>
      </c>
    </row>
    <row r="1682" spans="1:7" x14ac:dyDescent="0.2">
      <c r="A1682" t="s">
        <v>64</v>
      </c>
      <c r="B1682" t="s">
        <v>64</v>
      </c>
      <c r="C1682" s="3" t="s">
        <v>64</v>
      </c>
      <c r="D1682" s="16" t="s">
        <v>64</v>
      </c>
      <c r="E1682" s="16">
        <v>0</v>
      </c>
      <c r="F1682" s="16" t="s">
        <v>64</v>
      </c>
      <c r="G1682" s="16" t="s">
        <v>64</v>
      </c>
    </row>
    <row r="1683" spans="1:7" x14ac:dyDescent="0.2">
      <c r="A1683" t="s">
        <v>64</v>
      </c>
      <c r="B1683" t="s">
        <v>64</v>
      </c>
      <c r="C1683" s="3" t="s">
        <v>64</v>
      </c>
      <c r="D1683" s="16" t="s">
        <v>64</v>
      </c>
      <c r="E1683" s="16">
        <v>0</v>
      </c>
      <c r="F1683" s="16" t="s">
        <v>64</v>
      </c>
      <c r="G1683" s="16" t="s">
        <v>64</v>
      </c>
    </row>
    <row r="1684" spans="1:7" x14ac:dyDescent="0.2">
      <c r="A1684" t="s">
        <v>64</v>
      </c>
      <c r="B1684" t="s">
        <v>64</v>
      </c>
      <c r="C1684" s="3" t="s">
        <v>64</v>
      </c>
      <c r="D1684" s="16" t="s">
        <v>64</v>
      </c>
      <c r="E1684" s="16">
        <v>0</v>
      </c>
      <c r="F1684" s="16" t="s">
        <v>64</v>
      </c>
      <c r="G1684" s="16" t="s">
        <v>64</v>
      </c>
    </row>
    <row r="1685" spans="1:7" x14ac:dyDescent="0.2">
      <c r="A1685" t="s">
        <v>64</v>
      </c>
      <c r="B1685" t="s">
        <v>64</v>
      </c>
      <c r="C1685" s="3" t="s">
        <v>64</v>
      </c>
      <c r="D1685" s="16" t="s">
        <v>64</v>
      </c>
      <c r="E1685" s="16">
        <v>0</v>
      </c>
      <c r="F1685" s="16" t="s">
        <v>64</v>
      </c>
      <c r="G1685" s="16" t="s">
        <v>64</v>
      </c>
    </row>
    <row r="1686" spans="1:7" x14ac:dyDescent="0.2">
      <c r="A1686" t="s">
        <v>64</v>
      </c>
      <c r="B1686" t="s">
        <v>64</v>
      </c>
      <c r="C1686" s="3" t="s">
        <v>64</v>
      </c>
      <c r="D1686" s="16" t="s">
        <v>64</v>
      </c>
      <c r="E1686" s="16">
        <v>0</v>
      </c>
      <c r="F1686" s="16" t="s">
        <v>64</v>
      </c>
      <c r="G1686" s="16" t="s">
        <v>64</v>
      </c>
    </row>
    <row r="1687" spans="1:7" x14ac:dyDescent="0.2">
      <c r="A1687" t="s">
        <v>64</v>
      </c>
      <c r="B1687" t="s">
        <v>64</v>
      </c>
      <c r="C1687" s="3" t="s">
        <v>64</v>
      </c>
      <c r="D1687" s="16" t="s">
        <v>64</v>
      </c>
      <c r="E1687" s="16">
        <v>0</v>
      </c>
      <c r="F1687" s="16" t="s">
        <v>64</v>
      </c>
      <c r="G1687" s="16" t="s">
        <v>64</v>
      </c>
    </row>
    <row r="1688" spans="1:7" x14ac:dyDescent="0.2">
      <c r="A1688" t="s">
        <v>64</v>
      </c>
      <c r="B1688" t="s">
        <v>64</v>
      </c>
      <c r="C1688" s="3" t="s">
        <v>64</v>
      </c>
      <c r="D1688" s="16" t="s">
        <v>64</v>
      </c>
      <c r="E1688" s="16">
        <v>0</v>
      </c>
      <c r="F1688" s="16" t="s">
        <v>64</v>
      </c>
      <c r="G1688" s="16" t="s">
        <v>64</v>
      </c>
    </row>
    <row r="1689" spans="1:7" x14ac:dyDescent="0.2">
      <c r="A1689" t="s">
        <v>64</v>
      </c>
      <c r="B1689" t="s">
        <v>64</v>
      </c>
      <c r="C1689" s="3" t="s">
        <v>64</v>
      </c>
      <c r="D1689" s="16" t="s">
        <v>64</v>
      </c>
      <c r="E1689" s="16">
        <v>0</v>
      </c>
      <c r="F1689" s="16" t="s">
        <v>64</v>
      </c>
      <c r="G1689" s="16" t="s">
        <v>64</v>
      </c>
    </row>
    <row r="1690" spans="1:7" x14ac:dyDescent="0.2">
      <c r="A1690" t="s">
        <v>64</v>
      </c>
      <c r="B1690" t="s">
        <v>64</v>
      </c>
      <c r="C1690" s="3" t="s">
        <v>64</v>
      </c>
      <c r="D1690" s="16" t="s">
        <v>64</v>
      </c>
      <c r="E1690" s="16">
        <v>0</v>
      </c>
      <c r="F1690" s="16" t="s">
        <v>64</v>
      </c>
      <c r="G1690" s="16" t="s">
        <v>64</v>
      </c>
    </row>
    <row r="1691" spans="1:7" x14ac:dyDescent="0.2">
      <c r="A1691" t="s">
        <v>64</v>
      </c>
      <c r="B1691" t="s">
        <v>64</v>
      </c>
      <c r="C1691" s="3" t="s">
        <v>64</v>
      </c>
      <c r="D1691" s="16" t="s">
        <v>64</v>
      </c>
      <c r="E1691" s="16">
        <v>0</v>
      </c>
      <c r="F1691" s="16" t="s">
        <v>64</v>
      </c>
      <c r="G1691" s="16" t="s">
        <v>64</v>
      </c>
    </row>
    <row r="1692" spans="1:7" x14ac:dyDescent="0.2">
      <c r="A1692" t="s">
        <v>64</v>
      </c>
      <c r="B1692" t="s">
        <v>64</v>
      </c>
      <c r="C1692" s="3" t="s">
        <v>64</v>
      </c>
      <c r="D1692" s="16" t="s">
        <v>64</v>
      </c>
      <c r="E1692" s="16">
        <v>0</v>
      </c>
      <c r="F1692" s="16" t="s">
        <v>64</v>
      </c>
      <c r="G1692" s="16" t="s">
        <v>64</v>
      </c>
    </row>
    <row r="1693" spans="1:7" x14ac:dyDescent="0.2">
      <c r="A1693" t="s">
        <v>64</v>
      </c>
      <c r="B1693" t="s">
        <v>64</v>
      </c>
      <c r="C1693" s="3" t="s">
        <v>64</v>
      </c>
      <c r="D1693" s="16" t="s">
        <v>64</v>
      </c>
      <c r="E1693" s="16">
        <v>0</v>
      </c>
      <c r="F1693" s="16" t="s">
        <v>64</v>
      </c>
      <c r="G1693" s="16" t="s">
        <v>64</v>
      </c>
    </row>
    <row r="1694" spans="1:7" x14ac:dyDescent="0.2">
      <c r="A1694" t="s">
        <v>64</v>
      </c>
      <c r="B1694" t="s">
        <v>64</v>
      </c>
      <c r="C1694" s="3" t="s">
        <v>64</v>
      </c>
      <c r="D1694" s="16" t="s">
        <v>64</v>
      </c>
      <c r="E1694" s="16">
        <v>0</v>
      </c>
      <c r="F1694" s="16" t="s">
        <v>64</v>
      </c>
      <c r="G1694" s="16" t="s">
        <v>64</v>
      </c>
    </row>
    <row r="1695" spans="1:7" x14ac:dyDescent="0.2">
      <c r="A1695" t="s">
        <v>64</v>
      </c>
      <c r="B1695" t="s">
        <v>64</v>
      </c>
      <c r="C1695" s="3" t="s">
        <v>64</v>
      </c>
      <c r="D1695" s="16" t="s">
        <v>64</v>
      </c>
      <c r="E1695" s="16">
        <v>0</v>
      </c>
      <c r="F1695" s="16" t="s">
        <v>64</v>
      </c>
      <c r="G1695" s="16" t="s">
        <v>64</v>
      </c>
    </row>
    <row r="1696" spans="1:7" x14ac:dyDescent="0.2">
      <c r="A1696" t="s">
        <v>64</v>
      </c>
      <c r="B1696" t="s">
        <v>64</v>
      </c>
      <c r="C1696" s="3" t="s">
        <v>64</v>
      </c>
      <c r="D1696" s="16" t="s">
        <v>64</v>
      </c>
      <c r="E1696" s="16">
        <v>0</v>
      </c>
      <c r="F1696" s="16" t="s">
        <v>64</v>
      </c>
      <c r="G1696" s="16" t="s">
        <v>64</v>
      </c>
    </row>
    <row r="1697" spans="1:7" x14ac:dyDescent="0.2">
      <c r="A1697" t="s">
        <v>64</v>
      </c>
      <c r="B1697" t="s">
        <v>64</v>
      </c>
      <c r="C1697" s="3" t="s">
        <v>64</v>
      </c>
      <c r="D1697" s="16" t="s">
        <v>64</v>
      </c>
      <c r="E1697" s="16">
        <v>0</v>
      </c>
      <c r="F1697" s="16" t="s">
        <v>64</v>
      </c>
      <c r="G1697" s="16" t="s">
        <v>64</v>
      </c>
    </row>
    <row r="1698" spans="1:7" x14ac:dyDescent="0.2">
      <c r="A1698" t="s">
        <v>64</v>
      </c>
      <c r="B1698" t="s">
        <v>64</v>
      </c>
      <c r="C1698" s="3" t="s">
        <v>64</v>
      </c>
      <c r="D1698" s="16" t="s">
        <v>64</v>
      </c>
      <c r="E1698" s="16">
        <v>0</v>
      </c>
      <c r="F1698" s="16" t="s">
        <v>64</v>
      </c>
      <c r="G1698" s="16" t="s">
        <v>64</v>
      </c>
    </row>
    <row r="1699" spans="1:7" x14ac:dyDescent="0.2">
      <c r="A1699" t="s">
        <v>64</v>
      </c>
      <c r="B1699" t="s">
        <v>64</v>
      </c>
      <c r="C1699" s="3" t="s">
        <v>64</v>
      </c>
      <c r="D1699" s="16" t="s">
        <v>64</v>
      </c>
      <c r="E1699" s="16">
        <v>0</v>
      </c>
      <c r="F1699" s="16" t="s">
        <v>64</v>
      </c>
      <c r="G1699" s="16" t="s">
        <v>64</v>
      </c>
    </row>
    <row r="1700" spans="1:7" x14ac:dyDescent="0.2">
      <c r="A1700" t="s">
        <v>64</v>
      </c>
      <c r="B1700" t="s">
        <v>64</v>
      </c>
      <c r="C1700" s="3" t="s">
        <v>64</v>
      </c>
      <c r="D1700" s="16" t="s">
        <v>64</v>
      </c>
      <c r="E1700" s="16">
        <v>0</v>
      </c>
      <c r="F1700" s="16" t="s">
        <v>64</v>
      </c>
      <c r="G1700" s="16" t="s">
        <v>64</v>
      </c>
    </row>
    <row r="1701" spans="1:7" x14ac:dyDescent="0.2">
      <c r="A1701" t="s">
        <v>64</v>
      </c>
      <c r="B1701" t="s">
        <v>64</v>
      </c>
      <c r="C1701" s="3" t="s">
        <v>64</v>
      </c>
      <c r="D1701" s="16" t="s">
        <v>64</v>
      </c>
      <c r="E1701" s="16">
        <v>0</v>
      </c>
      <c r="F1701" s="16" t="s">
        <v>64</v>
      </c>
      <c r="G1701" s="16" t="s">
        <v>64</v>
      </c>
    </row>
    <row r="1702" spans="1:7" x14ac:dyDescent="0.2">
      <c r="A1702" t="s">
        <v>64</v>
      </c>
      <c r="B1702" t="s">
        <v>64</v>
      </c>
      <c r="C1702" s="3" t="s">
        <v>64</v>
      </c>
      <c r="D1702" s="16" t="s">
        <v>64</v>
      </c>
      <c r="E1702" s="16">
        <v>0</v>
      </c>
      <c r="F1702" s="16" t="s">
        <v>64</v>
      </c>
      <c r="G1702" s="16" t="s">
        <v>64</v>
      </c>
    </row>
    <row r="1703" spans="1:7" x14ac:dyDescent="0.2">
      <c r="A1703" t="s">
        <v>64</v>
      </c>
      <c r="B1703" t="s">
        <v>64</v>
      </c>
      <c r="C1703" s="3" t="s">
        <v>64</v>
      </c>
      <c r="D1703" s="16" t="s">
        <v>64</v>
      </c>
      <c r="E1703" s="16">
        <v>0</v>
      </c>
      <c r="F1703" s="16" t="s">
        <v>64</v>
      </c>
      <c r="G1703" s="16" t="s">
        <v>64</v>
      </c>
    </row>
    <row r="1704" spans="1:7" x14ac:dyDescent="0.2">
      <c r="A1704" t="s">
        <v>64</v>
      </c>
      <c r="B1704" t="s">
        <v>64</v>
      </c>
      <c r="C1704" s="3" t="s">
        <v>64</v>
      </c>
      <c r="D1704" s="16" t="s">
        <v>64</v>
      </c>
      <c r="E1704" s="16">
        <v>0</v>
      </c>
      <c r="F1704" s="16" t="s">
        <v>64</v>
      </c>
      <c r="G1704" s="16" t="s">
        <v>64</v>
      </c>
    </row>
    <row r="1705" spans="1:7" x14ac:dyDescent="0.2">
      <c r="A1705" t="s">
        <v>64</v>
      </c>
      <c r="B1705" t="s">
        <v>64</v>
      </c>
      <c r="C1705" s="3" t="s">
        <v>64</v>
      </c>
      <c r="D1705" s="16" t="s">
        <v>64</v>
      </c>
      <c r="E1705" s="16">
        <v>0</v>
      </c>
      <c r="F1705" s="16" t="s">
        <v>64</v>
      </c>
      <c r="G1705" s="16" t="s">
        <v>64</v>
      </c>
    </row>
    <row r="1706" spans="1:7" x14ac:dyDescent="0.2">
      <c r="A1706" t="s">
        <v>64</v>
      </c>
      <c r="B1706" t="s">
        <v>64</v>
      </c>
      <c r="C1706" s="3" t="s">
        <v>64</v>
      </c>
      <c r="D1706" s="16" t="s">
        <v>64</v>
      </c>
      <c r="E1706" s="16">
        <v>0</v>
      </c>
      <c r="F1706" s="16" t="s">
        <v>64</v>
      </c>
      <c r="G1706" s="16" t="s">
        <v>64</v>
      </c>
    </row>
    <row r="1707" spans="1:7" x14ac:dyDescent="0.2">
      <c r="A1707" t="s">
        <v>64</v>
      </c>
      <c r="B1707" t="s">
        <v>64</v>
      </c>
      <c r="C1707" s="3" t="s">
        <v>64</v>
      </c>
      <c r="D1707" s="16" t="s">
        <v>64</v>
      </c>
      <c r="E1707" s="16">
        <v>0</v>
      </c>
      <c r="F1707" s="16" t="s">
        <v>64</v>
      </c>
      <c r="G1707" s="16" t="s">
        <v>64</v>
      </c>
    </row>
    <row r="1708" spans="1:7" x14ac:dyDescent="0.2">
      <c r="A1708" t="s">
        <v>64</v>
      </c>
      <c r="B1708" t="s">
        <v>64</v>
      </c>
      <c r="C1708" s="3" t="s">
        <v>64</v>
      </c>
      <c r="D1708" s="16" t="s">
        <v>64</v>
      </c>
      <c r="E1708" s="16">
        <v>0</v>
      </c>
      <c r="F1708" s="16" t="s">
        <v>64</v>
      </c>
      <c r="G1708" s="16" t="s">
        <v>64</v>
      </c>
    </row>
    <row r="1709" spans="1:7" x14ac:dyDescent="0.2">
      <c r="A1709" t="s">
        <v>64</v>
      </c>
      <c r="B1709" t="s">
        <v>64</v>
      </c>
      <c r="C1709" s="3" t="s">
        <v>64</v>
      </c>
      <c r="D1709" s="16" t="s">
        <v>64</v>
      </c>
      <c r="E1709" s="16">
        <v>0</v>
      </c>
      <c r="F1709" s="16" t="s">
        <v>64</v>
      </c>
      <c r="G1709" s="16" t="s">
        <v>64</v>
      </c>
    </row>
    <row r="1710" spans="1:7" x14ac:dyDescent="0.2">
      <c r="A1710" t="s">
        <v>64</v>
      </c>
      <c r="B1710" t="s">
        <v>64</v>
      </c>
      <c r="C1710" s="3" t="s">
        <v>64</v>
      </c>
      <c r="D1710" s="16" t="s">
        <v>64</v>
      </c>
      <c r="E1710" s="16">
        <v>0</v>
      </c>
      <c r="F1710" s="16" t="s">
        <v>64</v>
      </c>
      <c r="G1710" s="16" t="s">
        <v>64</v>
      </c>
    </row>
    <row r="1711" spans="1:7" x14ac:dyDescent="0.2">
      <c r="A1711" t="s">
        <v>64</v>
      </c>
      <c r="B1711" t="s">
        <v>64</v>
      </c>
      <c r="C1711" s="3" t="s">
        <v>64</v>
      </c>
      <c r="D1711" s="16" t="s">
        <v>64</v>
      </c>
      <c r="E1711" s="16">
        <v>0</v>
      </c>
      <c r="F1711" s="16" t="s">
        <v>64</v>
      </c>
      <c r="G1711" s="16" t="s">
        <v>64</v>
      </c>
    </row>
    <row r="1712" spans="1:7" x14ac:dyDescent="0.2">
      <c r="A1712" t="s">
        <v>64</v>
      </c>
      <c r="B1712" t="s">
        <v>64</v>
      </c>
      <c r="C1712" s="3" t="s">
        <v>64</v>
      </c>
      <c r="D1712" s="16" t="s">
        <v>64</v>
      </c>
      <c r="E1712" s="16">
        <v>0</v>
      </c>
      <c r="F1712" s="16" t="s">
        <v>64</v>
      </c>
      <c r="G1712" s="16" t="s">
        <v>64</v>
      </c>
    </row>
    <row r="1713" spans="1:7" x14ac:dyDescent="0.2">
      <c r="A1713" t="s">
        <v>64</v>
      </c>
      <c r="B1713" t="s">
        <v>64</v>
      </c>
      <c r="C1713" s="3" t="s">
        <v>64</v>
      </c>
      <c r="D1713" s="16" t="s">
        <v>64</v>
      </c>
      <c r="E1713" s="16">
        <v>0</v>
      </c>
      <c r="F1713" s="16" t="s">
        <v>64</v>
      </c>
      <c r="G1713" s="16" t="s">
        <v>64</v>
      </c>
    </row>
    <row r="1714" spans="1:7" x14ac:dyDescent="0.2">
      <c r="A1714" t="s">
        <v>64</v>
      </c>
      <c r="B1714" t="s">
        <v>64</v>
      </c>
      <c r="C1714" s="3" t="s">
        <v>64</v>
      </c>
      <c r="D1714" s="16" t="s">
        <v>64</v>
      </c>
      <c r="E1714" s="16">
        <v>0</v>
      </c>
      <c r="F1714" s="16" t="s">
        <v>64</v>
      </c>
      <c r="G1714" s="16" t="s">
        <v>64</v>
      </c>
    </row>
    <row r="1715" spans="1:7" x14ac:dyDescent="0.2">
      <c r="A1715" t="s">
        <v>64</v>
      </c>
      <c r="B1715" t="s">
        <v>64</v>
      </c>
      <c r="C1715" s="3" t="s">
        <v>64</v>
      </c>
      <c r="D1715" s="16" t="s">
        <v>64</v>
      </c>
      <c r="E1715" s="16">
        <v>0</v>
      </c>
      <c r="F1715" s="16" t="s">
        <v>64</v>
      </c>
      <c r="G1715" s="16" t="s">
        <v>64</v>
      </c>
    </row>
    <row r="1716" spans="1:7" x14ac:dyDescent="0.2">
      <c r="A1716" t="s">
        <v>64</v>
      </c>
      <c r="B1716" t="s">
        <v>64</v>
      </c>
      <c r="C1716" s="3" t="s">
        <v>64</v>
      </c>
      <c r="D1716" s="16" t="s">
        <v>64</v>
      </c>
      <c r="E1716" s="16">
        <v>0</v>
      </c>
      <c r="F1716" s="16" t="s">
        <v>64</v>
      </c>
      <c r="G1716" s="16" t="s">
        <v>64</v>
      </c>
    </row>
    <row r="1717" spans="1:7" x14ac:dyDescent="0.2">
      <c r="A1717" t="s">
        <v>64</v>
      </c>
      <c r="B1717" t="s">
        <v>64</v>
      </c>
      <c r="C1717" s="3" t="s">
        <v>64</v>
      </c>
      <c r="D1717" s="16" t="s">
        <v>64</v>
      </c>
      <c r="E1717" s="16">
        <v>0</v>
      </c>
      <c r="F1717" s="16" t="s">
        <v>64</v>
      </c>
      <c r="G1717" s="16" t="s">
        <v>64</v>
      </c>
    </row>
    <row r="1718" spans="1:7" x14ac:dyDescent="0.2">
      <c r="A1718" t="s">
        <v>64</v>
      </c>
      <c r="B1718" t="s">
        <v>64</v>
      </c>
      <c r="C1718" s="3" t="s">
        <v>64</v>
      </c>
      <c r="D1718" s="16" t="s">
        <v>64</v>
      </c>
      <c r="E1718" s="16">
        <v>0</v>
      </c>
      <c r="F1718" s="16" t="s">
        <v>64</v>
      </c>
      <c r="G1718" s="16" t="s">
        <v>64</v>
      </c>
    </row>
    <row r="1719" spans="1:7" x14ac:dyDescent="0.2">
      <c r="A1719" t="s">
        <v>64</v>
      </c>
      <c r="B1719" t="s">
        <v>64</v>
      </c>
      <c r="C1719" s="3" t="s">
        <v>64</v>
      </c>
      <c r="D1719" s="16" t="s">
        <v>64</v>
      </c>
      <c r="E1719" s="16">
        <v>0</v>
      </c>
      <c r="F1719" s="16" t="s">
        <v>64</v>
      </c>
      <c r="G1719" s="16" t="s">
        <v>64</v>
      </c>
    </row>
    <row r="1720" spans="1:7" x14ac:dyDescent="0.2">
      <c r="A1720" t="s">
        <v>64</v>
      </c>
      <c r="B1720" t="s">
        <v>64</v>
      </c>
      <c r="C1720" s="3" t="s">
        <v>64</v>
      </c>
      <c r="D1720" s="16" t="s">
        <v>64</v>
      </c>
      <c r="E1720" s="16">
        <v>0</v>
      </c>
      <c r="F1720" s="16" t="s">
        <v>64</v>
      </c>
      <c r="G1720" s="16" t="s">
        <v>64</v>
      </c>
    </row>
    <row r="1721" spans="1:7" x14ac:dyDescent="0.2">
      <c r="A1721" t="s">
        <v>64</v>
      </c>
      <c r="B1721" t="s">
        <v>64</v>
      </c>
      <c r="C1721" s="3" t="s">
        <v>64</v>
      </c>
      <c r="D1721" s="16" t="s">
        <v>64</v>
      </c>
      <c r="E1721" s="16">
        <v>0</v>
      </c>
      <c r="F1721" s="16" t="s">
        <v>64</v>
      </c>
      <c r="G1721" s="16" t="s">
        <v>64</v>
      </c>
    </row>
    <row r="1722" spans="1:7" x14ac:dyDescent="0.2">
      <c r="A1722" t="s">
        <v>64</v>
      </c>
      <c r="B1722" t="s">
        <v>64</v>
      </c>
      <c r="C1722" s="3" t="s">
        <v>64</v>
      </c>
      <c r="D1722" s="16" t="s">
        <v>64</v>
      </c>
      <c r="E1722" s="16">
        <v>0</v>
      </c>
      <c r="F1722" s="16" t="s">
        <v>64</v>
      </c>
      <c r="G1722" s="16" t="s">
        <v>64</v>
      </c>
    </row>
    <row r="1723" spans="1:7" x14ac:dyDescent="0.2">
      <c r="A1723" t="s">
        <v>64</v>
      </c>
      <c r="B1723" t="s">
        <v>64</v>
      </c>
      <c r="C1723" s="3" t="s">
        <v>64</v>
      </c>
      <c r="D1723" s="16" t="s">
        <v>64</v>
      </c>
      <c r="E1723" s="16">
        <v>0</v>
      </c>
      <c r="F1723" s="16" t="s">
        <v>64</v>
      </c>
      <c r="G1723" s="16" t="s">
        <v>64</v>
      </c>
    </row>
    <row r="1724" spans="1:7" x14ac:dyDescent="0.2">
      <c r="A1724" t="s">
        <v>64</v>
      </c>
      <c r="B1724" t="s">
        <v>64</v>
      </c>
      <c r="C1724" s="3" t="s">
        <v>64</v>
      </c>
      <c r="D1724" s="16" t="s">
        <v>64</v>
      </c>
      <c r="E1724" s="16">
        <v>0</v>
      </c>
      <c r="F1724" s="16" t="s">
        <v>64</v>
      </c>
      <c r="G1724" s="16" t="s">
        <v>64</v>
      </c>
    </row>
    <row r="1725" spans="1:7" x14ac:dyDescent="0.2">
      <c r="A1725" t="s">
        <v>64</v>
      </c>
      <c r="B1725" t="s">
        <v>64</v>
      </c>
      <c r="C1725" s="3" t="s">
        <v>64</v>
      </c>
      <c r="D1725" s="16" t="s">
        <v>64</v>
      </c>
      <c r="E1725" s="16">
        <v>0</v>
      </c>
      <c r="F1725" s="16" t="s">
        <v>64</v>
      </c>
      <c r="G1725" s="16" t="s">
        <v>64</v>
      </c>
    </row>
    <row r="1726" spans="1:7" x14ac:dyDescent="0.2">
      <c r="A1726" t="s">
        <v>64</v>
      </c>
      <c r="B1726" t="s">
        <v>64</v>
      </c>
      <c r="C1726" s="3" t="s">
        <v>64</v>
      </c>
      <c r="D1726" s="16" t="s">
        <v>64</v>
      </c>
      <c r="E1726" s="16">
        <v>0</v>
      </c>
      <c r="F1726" s="16" t="s">
        <v>64</v>
      </c>
      <c r="G1726" s="16" t="s">
        <v>64</v>
      </c>
    </row>
    <row r="1727" spans="1:7" x14ac:dyDescent="0.2">
      <c r="A1727" t="s">
        <v>64</v>
      </c>
      <c r="B1727" t="s">
        <v>64</v>
      </c>
      <c r="C1727" s="3" t="s">
        <v>64</v>
      </c>
      <c r="D1727" s="16" t="s">
        <v>64</v>
      </c>
      <c r="E1727" s="16">
        <v>0</v>
      </c>
      <c r="F1727" s="16" t="s">
        <v>64</v>
      </c>
      <c r="G1727" s="16" t="s">
        <v>64</v>
      </c>
    </row>
    <row r="1728" spans="1:7" x14ac:dyDescent="0.2">
      <c r="A1728" t="s">
        <v>64</v>
      </c>
      <c r="B1728" t="s">
        <v>64</v>
      </c>
      <c r="C1728" s="3" t="s">
        <v>64</v>
      </c>
      <c r="D1728" s="16" t="s">
        <v>64</v>
      </c>
      <c r="E1728" s="16">
        <v>0</v>
      </c>
      <c r="F1728" s="16" t="s">
        <v>64</v>
      </c>
      <c r="G1728" s="16" t="s">
        <v>64</v>
      </c>
    </row>
    <row r="1729" spans="1:7" x14ac:dyDescent="0.2">
      <c r="A1729" t="s">
        <v>64</v>
      </c>
      <c r="B1729" t="s">
        <v>64</v>
      </c>
      <c r="C1729" s="3" t="s">
        <v>64</v>
      </c>
      <c r="D1729" s="16" t="s">
        <v>64</v>
      </c>
      <c r="E1729" s="16">
        <v>0</v>
      </c>
      <c r="F1729" s="16" t="s">
        <v>64</v>
      </c>
      <c r="G1729" s="16" t="s">
        <v>64</v>
      </c>
    </row>
    <row r="1730" spans="1:7" x14ac:dyDescent="0.2">
      <c r="A1730" t="s">
        <v>64</v>
      </c>
      <c r="B1730" t="s">
        <v>64</v>
      </c>
      <c r="C1730" s="3" t="s">
        <v>64</v>
      </c>
      <c r="D1730" s="16" t="s">
        <v>64</v>
      </c>
      <c r="E1730" s="16">
        <v>0</v>
      </c>
      <c r="F1730" s="16" t="s">
        <v>64</v>
      </c>
      <c r="G1730" s="16" t="s">
        <v>64</v>
      </c>
    </row>
    <row r="1731" spans="1:7" x14ac:dyDescent="0.2">
      <c r="A1731" t="s">
        <v>64</v>
      </c>
      <c r="B1731" t="s">
        <v>64</v>
      </c>
      <c r="C1731" s="3" t="s">
        <v>64</v>
      </c>
      <c r="D1731" s="16" t="s">
        <v>64</v>
      </c>
      <c r="E1731" s="16">
        <v>0</v>
      </c>
      <c r="F1731" s="16" t="s">
        <v>64</v>
      </c>
      <c r="G1731" s="16" t="s">
        <v>64</v>
      </c>
    </row>
    <row r="1732" spans="1:7" x14ac:dyDescent="0.2">
      <c r="A1732" t="s">
        <v>64</v>
      </c>
      <c r="B1732" t="s">
        <v>64</v>
      </c>
      <c r="C1732" s="3" t="s">
        <v>64</v>
      </c>
      <c r="D1732" s="16" t="s">
        <v>64</v>
      </c>
      <c r="E1732" s="16">
        <v>0</v>
      </c>
      <c r="F1732" s="16" t="s">
        <v>64</v>
      </c>
      <c r="G1732" s="16" t="s">
        <v>64</v>
      </c>
    </row>
    <row r="1733" spans="1:7" x14ac:dyDescent="0.2">
      <c r="A1733" t="s">
        <v>64</v>
      </c>
      <c r="B1733" t="s">
        <v>64</v>
      </c>
      <c r="C1733" s="3" t="s">
        <v>64</v>
      </c>
      <c r="D1733" s="16" t="s">
        <v>64</v>
      </c>
      <c r="E1733" s="16">
        <v>0</v>
      </c>
      <c r="F1733" s="16" t="s">
        <v>64</v>
      </c>
      <c r="G1733" s="16" t="s">
        <v>64</v>
      </c>
    </row>
    <row r="1734" spans="1:7" x14ac:dyDescent="0.2">
      <c r="A1734" t="s">
        <v>64</v>
      </c>
      <c r="B1734" t="s">
        <v>64</v>
      </c>
      <c r="C1734" s="3" t="s">
        <v>64</v>
      </c>
      <c r="D1734" s="16" t="s">
        <v>64</v>
      </c>
      <c r="E1734" s="16">
        <v>0</v>
      </c>
      <c r="F1734" s="16" t="s">
        <v>64</v>
      </c>
      <c r="G1734" s="16" t="s">
        <v>64</v>
      </c>
    </row>
    <row r="1735" spans="1:7" x14ac:dyDescent="0.2">
      <c r="A1735" t="s">
        <v>64</v>
      </c>
      <c r="B1735" t="s">
        <v>64</v>
      </c>
      <c r="C1735" s="3" t="s">
        <v>64</v>
      </c>
      <c r="D1735" s="16" t="s">
        <v>64</v>
      </c>
      <c r="E1735" s="16">
        <v>0</v>
      </c>
      <c r="F1735" s="16" t="s">
        <v>64</v>
      </c>
      <c r="G1735" s="16" t="s">
        <v>64</v>
      </c>
    </row>
    <row r="1736" spans="1:7" x14ac:dyDescent="0.2">
      <c r="A1736" t="s">
        <v>64</v>
      </c>
      <c r="B1736" t="s">
        <v>64</v>
      </c>
      <c r="C1736" s="3" t="s">
        <v>64</v>
      </c>
      <c r="D1736" s="16" t="s">
        <v>64</v>
      </c>
      <c r="E1736" s="16">
        <v>0</v>
      </c>
      <c r="F1736" s="16" t="s">
        <v>64</v>
      </c>
      <c r="G1736" s="16" t="s">
        <v>64</v>
      </c>
    </row>
    <row r="1737" spans="1:7" x14ac:dyDescent="0.2">
      <c r="A1737" t="s">
        <v>64</v>
      </c>
      <c r="B1737" t="s">
        <v>64</v>
      </c>
      <c r="C1737" s="3" t="s">
        <v>64</v>
      </c>
      <c r="D1737" s="16" t="s">
        <v>64</v>
      </c>
      <c r="E1737" s="16">
        <v>0</v>
      </c>
      <c r="F1737" s="16" t="s">
        <v>64</v>
      </c>
      <c r="G1737" s="16" t="s">
        <v>64</v>
      </c>
    </row>
    <row r="1738" spans="1:7" x14ac:dyDescent="0.2">
      <c r="A1738" t="s">
        <v>64</v>
      </c>
      <c r="B1738" t="s">
        <v>64</v>
      </c>
      <c r="C1738" s="3" t="s">
        <v>64</v>
      </c>
      <c r="D1738" s="16" t="s">
        <v>64</v>
      </c>
      <c r="E1738" s="16">
        <v>0</v>
      </c>
      <c r="F1738" s="16" t="s">
        <v>64</v>
      </c>
      <c r="G1738" s="16" t="s">
        <v>64</v>
      </c>
    </row>
    <row r="1739" spans="1:7" x14ac:dyDescent="0.2">
      <c r="A1739" t="s">
        <v>64</v>
      </c>
      <c r="B1739" t="s">
        <v>64</v>
      </c>
      <c r="C1739" s="3" t="s">
        <v>64</v>
      </c>
      <c r="D1739" s="16" t="s">
        <v>64</v>
      </c>
      <c r="E1739" s="16">
        <v>0</v>
      </c>
      <c r="F1739" s="16" t="s">
        <v>64</v>
      </c>
      <c r="G1739" s="16" t="s">
        <v>64</v>
      </c>
    </row>
    <row r="1740" spans="1:7" x14ac:dyDescent="0.2">
      <c r="A1740" t="s">
        <v>64</v>
      </c>
      <c r="B1740" t="s">
        <v>64</v>
      </c>
      <c r="C1740" s="3" t="s">
        <v>64</v>
      </c>
      <c r="D1740" s="16" t="s">
        <v>64</v>
      </c>
      <c r="E1740" s="16">
        <v>0</v>
      </c>
      <c r="F1740" s="16" t="s">
        <v>64</v>
      </c>
      <c r="G1740" s="16" t="s">
        <v>64</v>
      </c>
    </row>
    <row r="1741" spans="1:7" x14ac:dyDescent="0.2">
      <c r="A1741" t="s">
        <v>64</v>
      </c>
      <c r="B1741" t="s">
        <v>64</v>
      </c>
      <c r="C1741" s="3" t="s">
        <v>64</v>
      </c>
      <c r="D1741" s="16" t="s">
        <v>64</v>
      </c>
      <c r="E1741" s="16">
        <v>0</v>
      </c>
      <c r="F1741" s="16" t="s">
        <v>64</v>
      </c>
      <c r="G1741" s="16" t="s">
        <v>64</v>
      </c>
    </row>
    <row r="1742" spans="1:7" x14ac:dyDescent="0.2">
      <c r="A1742" t="s">
        <v>64</v>
      </c>
      <c r="B1742" t="s">
        <v>64</v>
      </c>
      <c r="C1742" s="3" t="s">
        <v>64</v>
      </c>
      <c r="D1742" s="16" t="s">
        <v>64</v>
      </c>
      <c r="E1742" s="16">
        <v>0</v>
      </c>
      <c r="F1742" s="16" t="s">
        <v>64</v>
      </c>
      <c r="G1742" s="16" t="s">
        <v>64</v>
      </c>
    </row>
    <row r="1743" spans="1:7" x14ac:dyDescent="0.2">
      <c r="A1743" t="s">
        <v>64</v>
      </c>
      <c r="B1743" t="s">
        <v>64</v>
      </c>
      <c r="C1743" s="3" t="s">
        <v>64</v>
      </c>
      <c r="D1743" s="16" t="s">
        <v>64</v>
      </c>
      <c r="E1743" s="16">
        <v>0</v>
      </c>
      <c r="F1743" s="16" t="s">
        <v>64</v>
      </c>
      <c r="G1743" s="16" t="s">
        <v>64</v>
      </c>
    </row>
    <row r="1744" spans="1:7" x14ac:dyDescent="0.2">
      <c r="A1744" t="s">
        <v>64</v>
      </c>
      <c r="B1744" t="s">
        <v>64</v>
      </c>
      <c r="C1744" s="3" t="s">
        <v>64</v>
      </c>
      <c r="D1744" s="16" t="s">
        <v>64</v>
      </c>
      <c r="E1744" s="16">
        <v>0</v>
      </c>
      <c r="F1744" s="16" t="s">
        <v>64</v>
      </c>
      <c r="G1744" s="16" t="s">
        <v>64</v>
      </c>
    </row>
    <row r="1745" spans="1:7" x14ac:dyDescent="0.2">
      <c r="A1745" t="s">
        <v>64</v>
      </c>
      <c r="B1745" t="s">
        <v>64</v>
      </c>
      <c r="C1745" s="3" t="s">
        <v>64</v>
      </c>
      <c r="D1745" s="16" t="s">
        <v>64</v>
      </c>
      <c r="E1745" s="16">
        <v>0</v>
      </c>
      <c r="F1745" s="16" t="s">
        <v>64</v>
      </c>
      <c r="G1745" s="16" t="s">
        <v>64</v>
      </c>
    </row>
    <row r="1746" spans="1:7" x14ac:dyDescent="0.2">
      <c r="A1746" t="s">
        <v>64</v>
      </c>
      <c r="B1746" t="s">
        <v>64</v>
      </c>
      <c r="C1746" s="3" t="s">
        <v>64</v>
      </c>
      <c r="D1746" s="16" t="s">
        <v>64</v>
      </c>
      <c r="E1746" s="16">
        <v>0</v>
      </c>
      <c r="F1746" s="16" t="s">
        <v>64</v>
      </c>
      <c r="G1746" s="16" t="s">
        <v>64</v>
      </c>
    </row>
    <row r="1747" spans="1:7" x14ac:dyDescent="0.2">
      <c r="A1747" t="s">
        <v>64</v>
      </c>
      <c r="B1747" t="s">
        <v>64</v>
      </c>
      <c r="C1747" s="3" t="s">
        <v>64</v>
      </c>
      <c r="D1747" s="16" t="s">
        <v>64</v>
      </c>
      <c r="E1747" s="16">
        <v>0</v>
      </c>
      <c r="F1747" s="16" t="s">
        <v>64</v>
      </c>
      <c r="G1747" s="16" t="s">
        <v>64</v>
      </c>
    </row>
    <row r="1748" spans="1:7" x14ac:dyDescent="0.2">
      <c r="A1748" t="s">
        <v>64</v>
      </c>
      <c r="B1748" t="s">
        <v>64</v>
      </c>
      <c r="C1748" s="3" t="s">
        <v>64</v>
      </c>
      <c r="D1748" s="16" t="s">
        <v>64</v>
      </c>
      <c r="E1748" s="16">
        <v>0</v>
      </c>
      <c r="F1748" s="16" t="s">
        <v>64</v>
      </c>
      <c r="G1748" s="16" t="s">
        <v>64</v>
      </c>
    </row>
    <row r="1749" spans="1:7" x14ac:dyDescent="0.2">
      <c r="A1749" t="s">
        <v>64</v>
      </c>
      <c r="B1749" t="s">
        <v>64</v>
      </c>
      <c r="C1749" s="3" t="s">
        <v>64</v>
      </c>
      <c r="D1749" s="16" t="s">
        <v>64</v>
      </c>
      <c r="E1749" s="16">
        <v>0</v>
      </c>
      <c r="F1749" s="16" t="s">
        <v>64</v>
      </c>
      <c r="G1749" s="16" t="s">
        <v>64</v>
      </c>
    </row>
    <row r="1750" spans="1:7" x14ac:dyDescent="0.2">
      <c r="A1750" t="s">
        <v>64</v>
      </c>
      <c r="B1750" t="s">
        <v>64</v>
      </c>
      <c r="C1750" s="3" t="s">
        <v>64</v>
      </c>
      <c r="D1750" s="16" t="s">
        <v>64</v>
      </c>
      <c r="E1750" s="16">
        <v>0</v>
      </c>
      <c r="F1750" s="16" t="s">
        <v>64</v>
      </c>
      <c r="G1750" s="16" t="s">
        <v>64</v>
      </c>
    </row>
    <row r="1751" spans="1:7" x14ac:dyDescent="0.2">
      <c r="A1751" t="s">
        <v>64</v>
      </c>
      <c r="B1751" t="s">
        <v>64</v>
      </c>
      <c r="C1751" s="3" t="s">
        <v>64</v>
      </c>
      <c r="D1751" s="16" t="s">
        <v>64</v>
      </c>
      <c r="E1751" s="16">
        <v>0</v>
      </c>
      <c r="F1751" s="16" t="s">
        <v>64</v>
      </c>
      <c r="G1751" s="16" t="s">
        <v>64</v>
      </c>
    </row>
    <row r="1752" spans="1:7" x14ac:dyDescent="0.2">
      <c r="A1752" t="s">
        <v>64</v>
      </c>
      <c r="B1752" t="s">
        <v>64</v>
      </c>
      <c r="C1752" s="3" t="s">
        <v>64</v>
      </c>
      <c r="D1752" s="16" t="s">
        <v>64</v>
      </c>
      <c r="E1752" s="16">
        <v>0</v>
      </c>
      <c r="F1752" s="16" t="s">
        <v>64</v>
      </c>
      <c r="G1752" s="16" t="s">
        <v>64</v>
      </c>
    </row>
    <row r="1753" spans="1:7" x14ac:dyDescent="0.2">
      <c r="A1753" t="s">
        <v>64</v>
      </c>
      <c r="B1753" t="s">
        <v>64</v>
      </c>
      <c r="C1753" s="3" t="s">
        <v>64</v>
      </c>
      <c r="D1753" s="16" t="s">
        <v>64</v>
      </c>
      <c r="E1753" s="16">
        <v>0</v>
      </c>
      <c r="F1753" s="16" t="s">
        <v>64</v>
      </c>
      <c r="G1753" s="16" t="s">
        <v>64</v>
      </c>
    </row>
    <row r="1754" spans="1:7" x14ac:dyDescent="0.2">
      <c r="A1754" t="s">
        <v>64</v>
      </c>
      <c r="B1754" t="s">
        <v>64</v>
      </c>
      <c r="C1754" s="3" t="s">
        <v>64</v>
      </c>
      <c r="D1754" s="16" t="s">
        <v>64</v>
      </c>
      <c r="E1754" s="16">
        <v>0</v>
      </c>
      <c r="F1754" s="16" t="s">
        <v>64</v>
      </c>
      <c r="G1754" s="16" t="s">
        <v>64</v>
      </c>
    </row>
    <row r="1755" spans="1:7" x14ac:dyDescent="0.2">
      <c r="A1755" t="s">
        <v>64</v>
      </c>
      <c r="B1755" t="s">
        <v>64</v>
      </c>
      <c r="C1755" s="3" t="s">
        <v>64</v>
      </c>
      <c r="D1755" s="16" t="s">
        <v>64</v>
      </c>
      <c r="E1755" s="16">
        <v>0</v>
      </c>
      <c r="F1755" s="16" t="s">
        <v>64</v>
      </c>
      <c r="G1755" s="16" t="s">
        <v>64</v>
      </c>
    </row>
    <row r="1756" spans="1:7" x14ac:dyDescent="0.2">
      <c r="A1756" t="s">
        <v>64</v>
      </c>
      <c r="B1756" t="s">
        <v>64</v>
      </c>
      <c r="C1756" s="3" t="s">
        <v>64</v>
      </c>
      <c r="D1756" s="16" t="s">
        <v>64</v>
      </c>
      <c r="E1756" s="16">
        <v>0</v>
      </c>
      <c r="F1756" s="16" t="s">
        <v>64</v>
      </c>
      <c r="G1756" s="16" t="s">
        <v>64</v>
      </c>
    </row>
    <row r="1757" spans="1:7" x14ac:dyDescent="0.2">
      <c r="A1757" t="s">
        <v>64</v>
      </c>
      <c r="B1757" t="s">
        <v>64</v>
      </c>
      <c r="C1757" s="3" t="s">
        <v>64</v>
      </c>
      <c r="D1757" s="16" t="s">
        <v>64</v>
      </c>
      <c r="E1757" s="16">
        <v>0</v>
      </c>
      <c r="F1757" s="16" t="s">
        <v>64</v>
      </c>
      <c r="G1757" s="16" t="s">
        <v>64</v>
      </c>
    </row>
    <row r="1758" spans="1:7" x14ac:dyDescent="0.2">
      <c r="A1758" t="s">
        <v>64</v>
      </c>
      <c r="B1758" t="s">
        <v>64</v>
      </c>
      <c r="C1758" s="3" t="s">
        <v>64</v>
      </c>
      <c r="D1758" s="16" t="s">
        <v>64</v>
      </c>
      <c r="E1758" s="16">
        <v>0</v>
      </c>
      <c r="F1758" s="16" t="s">
        <v>64</v>
      </c>
      <c r="G1758" s="16" t="s">
        <v>64</v>
      </c>
    </row>
    <row r="1759" spans="1:7" x14ac:dyDescent="0.2">
      <c r="A1759" t="s">
        <v>64</v>
      </c>
      <c r="B1759" t="s">
        <v>64</v>
      </c>
      <c r="C1759" s="3" t="s">
        <v>64</v>
      </c>
      <c r="D1759" s="16" t="s">
        <v>64</v>
      </c>
      <c r="E1759" s="16">
        <v>0</v>
      </c>
      <c r="F1759" s="16" t="s">
        <v>64</v>
      </c>
      <c r="G1759" s="16" t="s">
        <v>64</v>
      </c>
    </row>
    <row r="1760" spans="1:7" x14ac:dyDescent="0.2">
      <c r="A1760" t="s">
        <v>64</v>
      </c>
      <c r="B1760" t="s">
        <v>64</v>
      </c>
      <c r="C1760" s="3" t="s">
        <v>64</v>
      </c>
      <c r="D1760" s="16" t="s">
        <v>64</v>
      </c>
      <c r="E1760" s="16">
        <v>0</v>
      </c>
      <c r="F1760" s="16" t="s">
        <v>64</v>
      </c>
      <c r="G1760" s="16" t="s">
        <v>64</v>
      </c>
    </row>
    <row r="1761" spans="1:7" x14ac:dyDescent="0.2">
      <c r="A1761" t="s">
        <v>64</v>
      </c>
      <c r="B1761" t="s">
        <v>64</v>
      </c>
      <c r="C1761" s="3" t="s">
        <v>64</v>
      </c>
      <c r="D1761" s="16" t="s">
        <v>64</v>
      </c>
      <c r="E1761" s="16">
        <v>0</v>
      </c>
      <c r="F1761" s="16" t="s">
        <v>64</v>
      </c>
      <c r="G1761" s="16" t="s">
        <v>64</v>
      </c>
    </row>
    <row r="1762" spans="1:7" x14ac:dyDescent="0.2">
      <c r="A1762" t="s">
        <v>64</v>
      </c>
      <c r="B1762" t="s">
        <v>64</v>
      </c>
      <c r="C1762" s="3" t="s">
        <v>64</v>
      </c>
      <c r="D1762" s="16" t="s">
        <v>64</v>
      </c>
      <c r="E1762" s="16">
        <v>0</v>
      </c>
      <c r="F1762" s="16" t="s">
        <v>64</v>
      </c>
      <c r="G1762" s="16" t="s">
        <v>64</v>
      </c>
    </row>
    <row r="1763" spans="1:7" x14ac:dyDescent="0.2">
      <c r="A1763" t="s">
        <v>64</v>
      </c>
      <c r="B1763" t="s">
        <v>64</v>
      </c>
      <c r="C1763" s="3" t="s">
        <v>64</v>
      </c>
      <c r="D1763" s="16" t="s">
        <v>64</v>
      </c>
      <c r="E1763" s="16">
        <v>0</v>
      </c>
      <c r="F1763" s="16" t="s">
        <v>64</v>
      </c>
      <c r="G1763" s="16" t="s">
        <v>64</v>
      </c>
    </row>
    <row r="1764" spans="1:7" x14ac:dyDescent="0.2">
      <c r="A1764" t="s">
        <v>64</v>
      </c>
      <c r="B1764" t="s">
        <v>64</v>
      </c>
      <c r="C1764" s="3" t="s">
        <v>64</v>
      </c>
      <c r="D1764" s="16" t="s">
        <v>64</v>
      </c>
      <c r="E1764" s="16">
        <v>0</v>
      </c>
      <c r="F1764" s="16" t="s">
        <v>64</v>
      </c>
      <c r="G1764" s="16" t="s">
        <v>64</v>
      </c>
    </row>
    <row r="1765" spans="1:7" x14ac:dyDescent="0.2">
      <c r="A1765" t="s">
        <v>64</v>
      </c>
      <c r="B1765" t="s">
        <v>64</v>
      </c>
      <c r="C1765" s="3" t="s">
        <v>64</v>
      </c>
      <c r="D1765" s="16" t="s">
        <v>64</v>
      </c>
      <c r="E1765" s="16">
        <v>0</v>
      </c>
      <c r="F1765" s="16" t="s">
        <v>64</v>
      </c>
      <c r="G1765" s="16" t="s">
        <v>64</v>
      </c>
    </row>
    <row r="1766" spans="1:7" x14ac:dyDescent="0.2">
      <c r="A1766" t="s">
        <v>64</v>
      </c>
      <c r="B1766" t="s">
        <v>64</v>
      </c>
      <c r="C1766" s="3" t="s">
        <v>64</v>
      </c>
      <c r="D1766" s="16" t="s">
        <v>64</v>
      </c>
      <c r="E1766" s="16">
        <v>0</v>
      </c>
      <c r="F1766" s="16" t="s">
        <v>64</v>
      </c>
      <c r="G1766" s="16" t="s">
        <v>64</v>
      </c>
    </row>
    <row r="1767" spans="1:7" x14ac:dyDescent="0.2">
      <c r="A1767" t="s">
        <v>64</v>
      </c>
      <c r="B1767" t="s">
        <v>64</v>
      </c>
      <c r="C1767" s="3" t="s">
        <v>64</v>
      </c>
      <c r="D1767" s="16" t="s">
        <v>64</v>
      </c>
      <c r="E1767" s="16">
        <v>0</v>
      </c>
      <c r="F1767" s="16" t="s">
        <v>64</v>
      </c>
      <c r="G1767" s="16" t="s">
        <v>64</v>
      </c>
    </row>
    <row r="1768" spans="1:7" x14ac:dyDescent="0.2">
      <c r="A1768" t="s">
        <v>64</v>
      </c>
      <c r="B1768" t="s">
        <v>64</v>
      </c>
      <c r="C1768" s="3" t="s">
        <v>64</v>
      </c>
      <c r="D1768" s="16" t="s">
        <v>64</v>
      </c>
      <c r="E1768" s="16">
        <v>0</v>
      </c>
      <c r="F1768" s="16" t="s">
        <v>64</v>
      </c>
      <c r="G1768" s="16" t="s">
        <v>64</v>
      </c>
    </row>
    <row r="1769" spans="1:7" x14ac:dyDescent="0.2">
      <c r="A1769" t="s">
        <v>64</v>
      </c>
      <c r="B1769" t="s">
        <v>64</v>
      </c>
      <c r="C1769" s="3" t="s">
        <v>64</v>
      </c>
      <c r="D1769" s="16" t="s">
        <v>64</v>
      </c>
      <c r="E1769" s="16">
        <v>0</v>
      </c>
      <c r="F1769" s="16" t="s">
        <v>64</v>
      </c>
      <c r="G1769" s="16" t="s">
        <v>64</v>
      </c>
    </row>
    <row r="1770" spans="1:7" x14ac:dyDescent="0.2">
      <c r="A1770" t="s">
        <v>64</v>
      </c>
      <c r="B1770" t="s">
        <v>64</v>
      </c>
      <c r="C1770" s="3" t="s">
        <v>64</v>
      </c>
      <c r="D1770" s="16" t="s">
        <v>64</v>
      </c>
      <c r="E1770" s="16">
        <v>0</v>
      </c>
      <c r="F1770" s="16" t="s">
        <v>64</v>
      </c>
      <c r="G1770" s="16" t="s">
        <v>64</v>
      </c>
    </row>
    <row r="1771" spans="1:7" x14ac:dyDescent="0.2">
      <c r="A1771" t="s">
        <v>64</v>
      </c>
      <c r="B1771" t="s">
        <v>64</v>
      </c>
      <c r="C1771" s="3" t="s">
        <v>64</v>
      </c>
      <c r="D1771" s="16" t="s">
        <v>64</v>
      </c>
      <c r="E1771" s="16">
        <v>0</v>
      </c>
      <c r="F1771" s="16" t="s">
        <v>64</v>
      </c>
      <c r="G1771" s="16" t="s">
        <v>64</v>
      </c>
    </row>
    <row r="1772" spans="1:7" x14ac:dyDescent="0.2">
      <c r="A1772" t="s">
        <v>64</v>
      </c>
      <c r="B1772" t="s">
        <v>64</v>
      </c>
      <c r="C1772" s="3" t="s">
        <v>64</v>
      </c>
      <c r="D1772" s="16" t="s">
        <v>64</v>
      </c>
      <c r="E1772" s="16">
        <v>0</v>
      </c>
      <c r="F1772" s="16" t="s">
        <v>64</v>
      </c>
      <c r="G1772" s="16" t="s">
        <v>64</v>
      </c>
    </row>
    <row r="1773" spans="1:7" x14ac:dyDescent="0.2">
      <c r="A1773" t="s">
        <v>64</v>
      </c>
      <c r="B1773" t="s">
        <v>64</v>
      </c>
      <c r="C1773" s="3" t="s">
        <v>64</v>
      </c>
      <c r="D1773" s="16" t="s">
        <v>64</v>
      </c>
      <c r="E1773" s="16">
        <v>0</v>
      </c>
      <c r="F1773" s="16" t="s">
        <v>64</v>
      </c>
      <c r="G1773" s="16" t="s">
        <v>64</v>
      </c>
    </row>
    <row r="1774" spans="1:7" x14ac:dyDescent="0.2">
      <c r="A1774" t="s">
        <v>64</v>
      </c>
      <c r="B1774" t="s">
        <v>64</v>
      </c>
      <c r="C1774" s="3" t="s">
        <v>64</v>
      </c>
      <c r="D1774" s="16" t="s">
        <v>64</v>
      </c>
      <c r="E1774" s="16">
        <v>0</v>
      </c>
      <c r="F1774" s="16" t="s">
        <v>64</v>
      </c>
      <c r="G1774" s="16" t="s">
        <v>64</v>
      </c>
    </row>
    <row r="1775" spans="1:7" x14ac:dyDescent="0.2">
      <c r="A1775" t="s">
        <v>64</v>
      </c>
      <c r="B1775" t="s">
        <v>64</v>
      </c>
      <c r="C1775" s="3" t="s">
        <v>64</v>
      </c>
      <c r="D1775" s="16" t="s">
        <v>64</v>
      </c>
      <c r="E1775" s="16">
        <v>0</v>
      </c>
      <c r="F1775" s="16" t="s">
        <v>64</v>
      </c>
      <c r="G1775" s="16" t="s">
        <v>64</v>
      </c>
    </row>
    <row r="1776" spans="1:7" x14ac:dyDescent="0.2">
      <c r="A1776" t="s">
        <v>64</v>
      </c>
      <c r="B1776" t="s">
        <v>64</v>
      </c>
      <c r="C1776" s="3" t="s">
        <v>64</v>
      </c>
      <c r="D1776" s="16" t="s">
        <v>64</v>
      </c>
      <c r="E1776" s="16">
        <v>0</v>
      </c>
      <c r="F1776" s="16" t="s">
        <v>64</v>
      </c>
      <c r="G1776" s="16" t="s">
        <v>64</v>
      </c>
    </row>
    <row r="1777" spans="1:7" x14ac:dyDescent="0.2">
      <c r="A1777" t="s">
        <v>64</v>
      </c>
      <c r="B1777" t="s">
        <v>64</v>
      </c>
      <c r="C1777" s="3" t="s">
        <v>64</v>
      </c>
      <c r="D1777" s="16" t="s">
        <v>64</v>
      </c>
      <c r="E1777" s="16">
        <v>0</v>
      </c>
      <c r="F1777" s="16" t="s">
        <v>64</v>
      </c>
      <c r="G1777" s="16" t="s">
        <v>64</v>
      </c>
    </row>
    <row r="1778" spans="1:7" x14ac:dyDescent="0.2">
      <c r="A1778" t="s">
        <v>64</v>
      </c>
      <c r="B1778" t="s">
        <v>64</v>
      </c>
      <c r="C1778" s="3" t="s">
        <v>64</v>
      </c>
      <c r="D1778" s="16" t="s">
        <v>64</v>
      </c>
      <c r="E1778" s="16">
        <v>0</v>
      </c>
      <c r="F1778" s="16" t="s">
        <v>64</v>
      </c>
      <c r="G1778" s="16" t="s">
        <v>64</v>
      </c>
    </row>
    <row r="1779" spans="1:7" x14ac:dyDescent="0.2">
      <c r="A1779" t="s">
        <v>64</v>
      </c>
      <c r="B1779" t="s">
        <v>64</v>
      </c>
      <c r="C1779" s="3" t="s">
        <v>64</v>
      </c>
      <c r="D1779" s="16" t="s">
        <v>64</v>
      </c>
      <c r="E1779" s="16">
        <v>0</v>
      </c>
      <c r="F1779" s="16" t="s">
        <v>64</v>
      </c>
      <c r="G1779" s="16" t="s">
        <v>64</v>
      </c>
    </row>
    <row r="1780" spans="1:7" x14ac:dyDescent="0.2">
      <c r="A1780" t="s">
        <v>64</v>
      </c>
      <c r="B1780" t="s">
        <v>64</v>
      </c>
      <c r="C1780" s="3" t="s">
        <v>64</v>
      </c>
      <c r="D1780" s="16" t="s">
        <v>64</v>
      </c>
      <c r="E1780" s="16">
        <v>0</v>
      </c>
      <c r="F1780" s="16" t="s">
        <v>64</v>
      </c>
      <c r="G1780" s="16" t="s">
        <v>64</v>
      </c>
    </row>
    <row r="1781" spans="1:7" x14ac:dyDescent="0.2">
      <c r="A1781" t="s">
        <v>64</v>
      </c>
      <c r="B1781" t="s">
        <v>64</v>
      </c>
      <c r="C1781" s="3" t="s">
        <v>64</v>
      </c>
      <c r="D1781" s="16" t="s">
        <v>64</v>
      </c>
      <c r="E1781" s="16">
        <v>0</v>
      </c>
      <c r="F1781" s="16" t="s">
        <v>64</v>
      </c>
      <c r="G1781" s="16" t="s">
        <v>64</v>
      </c>
    </row>
    <row r="1782" spans="1:7" x14ac:dyDescent="0.2">
      <c r="A1782" t="s">
        <v>64</v>
      </c>
      <c r="B1782" t="s">
        <v>64</v>
      </c>
      <c r="C1782" s="3" t="s">
        <v>64</v>
      </c>
      <c r="D1782" s="16" t="s">
        <v>64</v>
      </c>
      <c r="E1782" s="16">
        <v>0</v>
      </c>
      <c r="F1782" s="16" t="s">
        <v>64</v>
      </c>
      <c r="G1782" s="16" t="s">
        <v>64</v>
      </c>
    </row>
    <row r="1783" spans="1:7" x14ac:dyDescent="0.2">
      <c r="A1783" t="s">
        <v>64</v>
      </c>
      <c r="B1783" t="s">
        <v>64</v>
      </c>
      <c r="C1783" s="3" t="s">
        <v>64</v>
      </c>
      <c r="D1783" s="16" t="s">
        <v>64</v>
      </c>
      <c r="E1783" s="16">
        <v>0</v>
      </c>
      <c r="F1783" s="16" t="s">
        <v>64</v>
      </c>
      <c r="G1783" s="16" t="s">
        <v>64</v>
      </c>
    </row>
    <row r="1784" spans="1:7" x14ac:dyDescent="0.2">
      <c r="A1784" t="s">
        <v>64</v>
      </c>
      <c r="B1784" t="s">
        <v>64</v>
      </c>
      <c r="C1784" s="3" t="s">
        <v>64</v>
      </c>
      <c r="D1784" s="16" t="s">
        <v>64</v>
      </c>
      <c r="E1784" s="16">
        <v>0</v>
      </c>
      <c r="F1784" s="16" t="s">
        <v>64</v>
      </c>
      <c r="G1784" s="16" t="s">
        <v>64</v>
      </c>
    </row>
    <row r="1785" spans="1:7" x14ac:dyDescent="0.2">
      <c r="A1785" t="s">
        <v>64</v>
      </c>
      <c r="B1785" t="s">
        <v>64</v>
      </c>
      <c r="C1785" s="3" t="s">
        <v>64</v>
      </c>
      <c r="D1785" s="16" t="s">
        <v>64</v>
      </c>
      <c r="E1785" s="16">
        <v>0</v>
      </c>
      <c r="F1785" s="16" t="s">
        <v>64</v>
      </c>
      <c r="G1785" s="16" t="s">
        <v>64</v>
      </c>
    </row>
    <row r="1786" spans="1:7" x14ac:dyDescent="0.2">
      <c r="A1786" t="s">
        <v>64</v>
      </c>
      <c r="B1786" t="s">
        <v>64</v>
      </c>
      <c r="C1786" s="3" t="s">
        <v>64</v>
      </c>
      <c r="D1786" s="16" t="s">
        <v>64</v>
      </c>
      <c r="E1786" s="16">
        <v>0</v>
      </c>
      <c r="F1786" s="16" t="s">
        <v>64</v>
      </c>
      <c r="G1786" s="16" t="s">
        <v>64</v>
      </c>
    </row>
    <row r="1787" spans="1:7" x14ac:dyDescent="0.2">
      <c r="A1787" t="s">
        <v>64</v>
      </c>
      <c r="B1787" t="s">
        <v>64</v>
      </c>
      <c r="C1787" s="3" t="s">
        <v>64</v>
      </c>
      <c r="D1787" s="16" t="s">
        <v>64</v>
      </c>
      <c r="E1787" s="16">
        <v>0</v>
      </c>
      <c r="F1787" s="16" t="s">
        <v>64</v>
      </c>
      <c r="G1787" s="16" t="s">
        <v>64</v>
      </c>
    </row>
    <row r="1788" spans="1:7" x14ac:dyDescent="0.2">
      <c r="A1788" t="s">
        <v>64</v>
      </c>
      <c r="B1788" t="s">
        <v>64</v>
      </c>
      <c r="C1788" s="3" t="s">
        <v>64</v>
      </c>
      <c r="D1788" s="16" t="s">
        <v>64</v>
      </c>
      <c r="E1788" s="16">
        <v>0</v>
      </c>
      <c r="F1788" s="16" t="s">
        <v>64</v>
      </c>
      <c r="G1788" s="16" t="s">
        <v>64</v>
      </c>
    </row>
    <row r="1789" spans="1:7" x14ac:dyDescent="0.2">
      <c r="A1789" t="s">
        <v>64</v>
      </c>
      <c r="B1789" t="s">
        <v>64</v>
      </c>
      <c r="C1789" s="3" t="s">
        <v>64</v>
      </c>
      <c r="D1789" s="16" t="s">
        <v>64</v>
      </c>
      <c r="E1789" s="16">
        <v>0</v>
      </c>
      <c r="F1789" s="16" t="s">
        <v>64</v>
      </c>
      <c r="G1789" s="16" t="s">
        <v>64</v>
      </c>
    </row>
    <row r="1790" spans="1:7" x14ac:dyDescent="0.2">
      <c r="A1790" t="s">
        <v>64</v>
      </c>
      <c r="B1790" t="s">
        <v>64</v>
      </c>
      <c r="C1790" s="3" t="s">
        <v>64</v>
      </c>
      <c r="D1790" s="16" t="s">
        <v>64</v>
      </c>
      <c r="E1790" s="16">
        <v>0</v>
      </c>
      <c r="F1790" s="16" t="s">
        <v>64</v>
      </c>
      <c r="G1790" s="16" t="s">
        <v>64</v>
      </c>
    </row>
    <row r="1791" spans="1:7" x14ac:dyDescent="0.2">
      <c r="A1791" t="s">
        <v>64</v>
      </c>
      <c r="B1791" t="s">
        <v>64</v>
      </c>
      <c r="C1791" s="3" t="s">
        <v>64</v>
      </c>
      <c r="D1791" s="16" t="s">
        <v>64</v>
      </c>
      <c r="E1791" s="16">
        <v>0</v>
      </c>
      <c r="F1791" s="16" t="s">
        <v>64</v>
      </c>
      <c r="G1791" s="16" t="s">
        <v>64</v>
      </c>
    </row>
    <row r="1792" spans="1:7" x14ac:dyDescent="0.2">
      <c r="A1792" t="s">
        <v>64</v>
      </c>
      <c r="B1792" t="s">
        <v>64</v>
      </c>
      <c r="C1792" s="3" t="s">
        <v>64</v>
      </c>
      <c r="D1792" s="16" t="s">
        <v>64</v>
      </c>
      <c r="E1792" s="16">
        <v>0</v>
      </c>
      <c r="F1792" s="16" t="s">
        <v>64</v>
      </c>
      <c r="G1792" s="16" t="s">
        <v>64</v>
      </c>
    </row>
    <row r="1793" spans="1:7" x14ac:dyDescent="0.2">
      <c r="A1793" t="s">
        <v>64</v>
      </c>
      <c r="B1793" t="s">
        <v>64</v>
      </c>
      <c r="C1793" s="3" t="s">
        <v>64</v>
      </c>
      <c r="D1793" s="16" t="s">
        <v>64</v>
      </c>
      <c r="E1793" s="16">
        <v>0</v>
      </c>
      <c r="F1793" s="16" t="s">
        <v>64</v>
      </c>
      <c r="G1793" s="16" t="s">
        <v>64</v>
      </c>
    </row>
    <row r="1794" spans="1:7" x14ac:dyDescent="0.2">
      <c r="A1794" t="s">
        <v>64</v>
      </c>
      <c r="B1794" t="s">
        <v>64</v>
      </c>
      <c r="C1794" s="3" t="s">
        <v>64</v>
      </c>
      <c r="D1794" s="16" t="s">
        <v>64</v>
      </c>
      <c r="E1794" s="16">
        <v>0</v>
      </c>
      <c r="F1794" s="16" t="s">
        <v>64</v>
      </c>
      <c r="G1794" s="16" t="s">
        <v>64</v>
      </c>
    </row>
    <row r="1795" spans="1:7" x14ac:dyDescent="0.2">
      <c r="A1795" t="s">
        <v>64</v>
      </c>
      <c r="B1795" t="s">
        <v>64</v>
      </c>
      <c r="C1795" s="3" t="s">
        <v>64</v>
      </c>
      <c r="D1795" s="16" t="s">
        <v>64</v>
      </c>
      <c r="E1795" s="16">
        <v>0</v>
      </c>
      <c r="F1795" s="16" t="s">
        <v>64</v>
      </c>
      <c r="G1795" s="16" t="s">
        <v>64</v>
      </c>
    </row>
    <row r="1796" spans="1:7" x14ac:dyDescent="0.2">
      <c r="A1796" t="s">
        <v>64</v>
      </c>
      <c r="B1796" t="s">
        <v>64</v>
      </c>
      <c r="C1796" s="3" t="s">
        <v>64</v>
      </c>
      <c r="D1796" s="16" t="s">
        <v>64</v>
      </c>
      <c r="E1796" s="16">
        <v>0</v>
      </c>
      <c r="F1796" s="16" t="s">
        <v>64</v>
      </c>
      <c r="G1796" s="16" t="s">
        <v>64</v>
      </c>
    </row>
    <row r="1797" spans="1:7" x14ac:dyDescent="0.2">
      <c r="A1797" t="s">
        <v>64</v>
      </c>
      <c r="B1797" t="s">
        <v>64</v>
      </c>
      <c r="C1797" s="3" t="s">
        <v>64</v>
      </c>
      <c r="D1797" s="16" t="s">
        <v>64</v>
      </c>
      <c r="E1797" s="16">
        <v>0</v>
      </c>
      <c r="F1797" s="16" t="s">
        <v>64</v>
      </c>
      <c r="G1797" s="16" t="s">
        <v>64</v>
      </c>
    </row>
    <row r="1798" spans="1:7" x14ac:dyDescent="0.2">
      <c r="A1798" t="s">
        <v>64</v>
      </c>
      <c r="B1798" t="s">
        <v>64</v>
      </c>
      <c r="C1798" s="3" t="s">
        <v>64</v>
      </c>
      <c r="D1798" s="16" t="s">
        <v>64</v>
      </c>
      <c r="E1798" s="16">
        <v>0</v>
      </c>
      <c r="F1798" s="16" t="s">
        <v>64</v>
      </c>
      <c r="G1798" s="16" t="s">
        <v>64</v>
      </c>
    </row>
    <row r="1799" spans="1:7" x14ac:dyDescent="0.2">
      <c r="A1799" t="s">
        <v>64</v>
      </c>
      <c r="B1799" t="s">
        <v>64</v>
      </c>
      <c r="C1799" s="3" t="s">
        <v>64</v>
      </c>
      <c r="D1799" s="16" t="s">
        <v>64</v>
      </c>
      <c r="E1799" s="16">
        <v>0</v>
      </c>
      <c r="F1799" s="16" t="s">
        <v>64</v>
      </c>
      <c r="G1799" s="16" t="s">
        <v>64</v>
      </c>
    </row>
    <row r="1800" spans="1:7" x14ac:dyDescent="0.2">
      <c r="A1800" t="s">
        <v>64</v>
      </c>
      <c r="B1800" t="s">
        <v>64</v>
      </c>
      <c r="C1800" s="3" t="s">
        <v>64</v>
      </c>
      <c r="D1800" s="16" t="s">
        <v>64</v>
      </c>
      <c r="E1800" s="16">
        <v>0</v>
      </c>
      <c r="F1800" s="16" t="s">
        <v>64</v>
      </c>
      <c r="G1800" s="16" t="s">
        <v>64</v>
      </c>
    </row>
    <row r="1801" spans="1:7" x14ac:dyDescent="0.2">
      <c r="A1801" t="s">
        <v>64</v>
      </c>
      <c r="B1801" t="s">
        <v>64</v>
      </c>
      <c r="C1801" s="3" t="s">
        <v>64</v>
      </c>
      <c r="D1801" s="16" t="s">
        <v>64</v>
      </c>
      <c r="E1801" s="16">
        <v>0</v>
      </c>
      <c r="F1801" s="16" t="s">
        <v>64</v>
      </c>
      <c r="G1801" s="16" t="s">
        <v>64</v>
      </c>
    </row>
    <row r="1802" spans="1:7" x14ac:dyDescent="0.2">
      <c r="A1802" t="s">
        <v>64</v>
      </c>
      <c r="B1802" t="s">
        <v>64</v>
      </c>
      <c r="C1802" s="3" t="s">
        <v>64</v>
      </c>
      <c r="D1802" s="16" t="s">
        <v>64</v>
      </c>
      <c r="E1802" s="16">
        <v>0</v>
      </c>
      <c r="F1802" s="16" t="s">
        <v>64</v>
      </c>
      <c r="G1802" s="16" t="s">
        <v>64</v>
      </c>
    </row>
    <row r="1803" spans="1:7" x14ac:dyDescent="0.2">
      <c r="A1803" t="s">
        <v>64</v>
      </c>
      <c r="B1803" t="s">
        <v>64</v>
      </c>
      <c r="C1803" s="3" t="s">
        <v>64</v>
      </c>
      <c r="D1803" s="16" t="s">
        <v>64</v>
      </c>
      <c r="E1803" s="16">
        <v>0</v>
      </c>
      <c r="F1803" s="16" t="s">
        <v>64</v>
      </c>
      <c r="G1803" s="16" t="s">
        <v>64</v>
      </c>
    </row>
    <row r="1804" spans="1:7" x14ac:dyDescent="0.2">
      <c r="A1804" t="s">
        <v>64</v>
      </c>
      <c r="B1804" t="s">
        <v>64</v>
      </c>
      <c r="C1804" s="3" t="s">
        <v>64</v>
      </c>
      <c r="D1804" s="16" t="s">
        <v>64</v>
      </c>
      <c r="E1804" s="16">
        <v>0</v>
      </c>
      <c r="F1804" s="16" t="s">
        <v>64</v>
      </c>
      <c r="G1804" s="16" t="s">
        <v>64</v>
      </c>
    </row>
    <row r="1805" spans="1:7" x14ac:dyDescent="0.2">
      <c r="A1805" t="s">
        <v>64</v>
      </c>
      <c r="B1805" t="s">
        <v>64</v>
      </c>
      <c r="C1805" s="3" t="s">
        <v>64</v>
      </c>
      <c r="D1805" s="16" t="s">
        <v>64</v>
      </c>
      <c r="E1805" s="16">
        <v>0</v>
      </c>
      <c r="F1805" s="16" t="s">
        <v>64</v>
      </c>
      <c r="G1805" s="16" t="s">
        <v>64</v>
      </c>
    </row>
    <row r="1806" spans="1:7" x14ac:dyDescent="0.2">
      <c r="A1806" t="s">
        <v>64</v>
      </c>
      <c r="B1806" t="s">
        <v>64</v>
      </c>
      <c r="C1806" s="3" t="s">
        <v>64</v>
      </c>
      <c r="D1806" s="16" t="s">
        <v>64</v>
      </c>
      <c r="E1806" s="16">
        <v>0</v>
      </c>
      <c r="F1806" s="16" t="s">
        <v>64</v>
      </c>
      <c r="G1806" s="16" t="s">
        <v>64</v>
      </c>
    </row>
    <row r="1807" spans="1:7" x14ac:dyDescent="0.2">
      <c r="A1807" t="s">
        <v>64</v>
      </c>
      <c r="B1807" t="s">
        <v>64</v>
      </c>
      <c r="C1807" s="3" t="s">
        <v>64</v>
      </c>
      <c r="D1807" s="16" t="s">
        <v>64</v>
      </c>
      <c r="E1807" s="16">
        <v>0</v>
      </c>
      <c r="F1807" s="16" t="s">
        <v>64</v>
      </c>
      <c r="G1807" s="16" t="s">
        <v>64</v>
      </c>
    </row>
    <row r="1808" spans="1:7" x14ac:dyDescent="0.2">
      <c r="A1808" t="s">
        <v>64</v>
      </c>
      <c r="B1808" t="s">
        <v>64</v>
      </c>
      <c r="C1808" s="3" t="s">
        <v>64</v>
      </c>
      <c r="D1808" s="16" t="s">
        <v>64</v>
      </c>
      <c r="E1808" s="16">
        <v>0</v>
      </c>
      <c r="F1808" s="16" t="s">
        <v>64</v>
      </c>
      <c r="G1808" s="16" t="s">
        <v>64</v>
      </c>
    </row>
    <row r="1809" spans="1:7" x14ac:dyDescent="0.2">
      <c r="A1809" t="s">
        <v>64</v>
      </c>
      <c r="B1809" t="s">
        <v>64</v>
      </c>
      <c r="C1809" s="3" t="s">
        <v>64</v>
      </c>
      <c r="D1809" s="16" t="s">
        <v>64</v>
      </c>
      <c r="E1809" s="16">
        <v>0</v>
      </c>
      <c r="F1809" s="16" t="s">
        <v>64</v>
      </c>
      <c r="G1809" s="16" t="s">
        <v>64</v>
      </c>
    </row>
    <row r="1810" spans="1:7" x14ac:dyDescent="0.2">
      <c r="A1810" t="s">
        <v>64</v>
      </c>
      <c r="B1810" t="s">
        <v>64</v>
      </c>
      <c r="C1810" s="3" t="s">
        <v>64</v>
      </c>
      <c r="D1810" s="16" t="s">
        <v>64</v>
      </c>
      <c r="E1810" s="16">
        <v>0</v>
      </c>
      <c r="F1810" s="16" t="s">
        <v>64</v>
      </c>
      <c r="G1810" s="16" t="s">
        <v>64</v>
      </c>
    </row>
    <row r="1811" spans="1:7" x14ac:dyDescent="0.2">
      <c r="A1811" t="s">
        <v>64</v>
      </c>
      <c r="B1811" t="s">
        <v>64</v>
      </c>
      <c r="C1811" s="3" t="s">
        <v>64</v>
      </c>
      <c r="D1811" s="16" t="s">
        <v>64</v>
      </c>
      <c r="E1811" s="16">
        <v>0</v>
      </c>
      <c r="F1811" s="16" t="s">
        <v>64</v>
      </c>
      <c r="G1811" s="16" t="s">
        <v>64</v>
      </c>
    </row>
    <row r="1812" spans="1:7" x14ac:dyDescent="0.2">
      <c r="A1812" t="s">
        <v>64</v>
      </c>
      <c r="B1812" t="s">
        <v>64</v>
      </c>
      <c r="C1812" s="3" t="s">
        <v>64</v>
      </c>
      <c r="D1812" s="16" t="s">
        <v>64</v>
      </c>
      <c r="E1812" s="16">
        <v>0</v>
      </c>
      <c r="F1812" s="16" t="s">
        <v>64</v>
      </c>
      <c r="G1812" s="16" t="s">
        <v>64</v>
      </c>
    </row>
    <row r="1813" spans="1:7" x14ac:dyDescent="0.2">
      <c r="A1813" t="s">
        <v>64</v>
      </c>
      <c r="B1813" t="s">
        <v>64</v>
      </c>
      <c r="C1813" s="3" t="s">
        <v>64</v>
      </c>
      <c r="D1813" s="16" t="s">
        <v>64</v>
      </c>
      <c r="E1813" s="16">
        <v>0</v>
      </c>
      <c r="F1813" s="16" t="s">
        <v>64</v>
      </c>
      <c r="G1813" s="16" t="s">
        <v>64</v>
      </c>
    </row>
    <row r="1814" spans="1:7" x14ac:dyDescent="0.2">
      <c r="A1814" t="s">
        <v>64</v>
      </c>
      <c r="B1814" t="s">
        <v>64</v>
      </c>
      <c r="C1814" s="3" t="s">
        <v>64</v>
      </c>
      <c r="D1814" s="16" t="s">
        <v>64</v>
      </c>
      <c r="E1814" s="16">
        <v>0</v>
      </c>
      <c r="F1814" s="16" t="s">
        <v>64</v>
      </c>
      <c r="G1814" s="16" t="s">
        <v>64</v>
      </c>
    </row>
    <row r="1815" spans="1:7" x14ac:dyDescent="0.2">
      <c r="A1815" t="s">
        <v>64</v>
      </c>
      <c r="B1815" t="s">
        <v>64</v>
      </c>
      <c r="C1815" s="3" t="s">
        <v>64</v>
      </c>
      <c r="D1815" s="16" t="s">
        <v>64</v>
      </c>
      <c r="E1815" s="16">
        <v>0</v>
      </c>
      <c r="F1815" s="16" t="s">
        <v>64</v>
      </c>
      <c r="G1815" s="16" t="s">
        <v>64</v>
      </c>
    </row>
    <row r="1816" spans="1:7" x14ac:dyDescent="0.2">
      <c r="A1816" t="s">
        <v>64</v>
      </c>
      <c r="B1816" t="s">
        <v>64</v>
      </c>
      <c r="C1816" s="3" t="s">
        <v>64</v>
      </c>
      <c r="D1816" s="16" t="s">
        <v>64</v>
      </c>
      <c r="E1816" s="16">
        <v>0</v>
      </c>
      <c r="F1816" s="16" t="s">
        <v>64</v>
      </c>
      <c r="G1816" s="16" t="s">
        <v>64</v>
      </c>
    </row>
    <row r="1817" spans="1:7" x14ac:dyDescent="0.2">
      <c r="A1817" t="s">
        <v>64</v>
      </c>
      <c r="B1817" t="s">
        <v>64</v>
      </c>
      <c r="C1817" s="3" t="s">
        <v>64</v>
      </c>
      <c r="D1817" s="16" t="s">
        <v>64</v>
      </c>
      <c r="E1817" s="16">
        <v>0</v>
      </c>
      <c r="F1817" s="16" t="s">
        <v>64</v>
      </c>
      <c r="G1817" s="16" t="s">
        <v>64</v>
      </c>
    </row>
    <row r="1818" spans="1:7" x14ac:dyDescent="0.2">
      <c r="A1818" t="s">
        <v>64</v>
      </c>
      <c r="B1818" t="s">
        <v>64</v>
      </c>
      <c r="C1818" s="3" t="s">
        <v>64</v>
      </c>
      <c r="D1818" s="16" t="s">
        <v>64</v>
      </c>
      <c r="E1818" s="16">
        <v>0</v>
      </c>
      <c r="F1818" s="16" t="s">
        <v>64</v>
      </c>
      <c r="G1818" s="16" t="s">
        <v>64</v>
      </c>
    </row>
    <row r="1819" spans="1:7" x14ac:dyDescent="0.2">
      <c r="A1819" t="s">
        <v>64</v>
      </c>
      <c r="B1819" t="s">
        <v>64</v>
      </c>
      <c r="C1819" s="3" t="s">
        <v>64</v>
      </c>
      <c r="D1819" s="16" t="s">
        <v>64</v>
      </c>
      <c r="E1819" s="16">
        <v>0</v>
      </c>
      <c r="F1819" s="16" t="s">
        <v>64</v>
      </c>
      <c r="G1819" s="16" t="s">
        <v>64</v>
      </c>
    </row>
    <row r="1820" spans="1:7" x14ac:dyDescent="0.2">
      <c r="A1820" t="s">
        <v>64</v>
      </c>
      <c r="B1820" t="s">
        <v>64</v>
      </c>
      <c r="C1820" s="3" t="s">
        <v>64</v>
      </c>
      <c r="D1820" s="16" t="s">
        <v>64</v>
      </c>
      <c r="E1820" s="16">
        <v>0</v>
      </c>
      <c r="F1820" s="16" t="s">
        <v>64</v>
      </c>
      <c r="G1820" s="16" t="s">
        <v>64</v>
      </c>
    </row>
    <row r="1821" spans="1:7" x14ac:dyDescent="0.2">
      <c r="A1821" t="s">
        <v>64</v>
      </c>
      <c r="B1821" t="s">
        <v>64</v>
      </c>
      <c r="C1821" s="3" t="s">
        <v>64</v>
      </c>
      <c r="D1821" s="16" t="s">
        <v>64</v>
      </c>
      <c r="E1821" s="16">
        <v>0</v>
      </c>
      <c r="F1821" s="16" t="s">
        <v>64</v>
      </c>
      <c r="G1821" s="16" t="s">
        <v>64</v>
      </c>
    </row>
    <row r="1822" spans="1:7" x14ac:dyDescent="0.2">
      <c r="A1822" t="s">
        <v>64</v>
      </c>
      <c r="B1822" t="s">
        <v>64</v>
      </c>
      <c r="C1822" s="3" t="s">
        <v>64</v>
      </c>
      <c r="D1822" s="16" t="s">
        <v>64</v>
      </c>
      <c r="E1822" s="16">
        <v>0</v>
      </c>
      <c r="F1822" s="16" t="s">
        <v>64</v>
      </c>
      <c r="G1822" s="16" t="s">
        <v>64</v>
      </c>
    </row>
    <row r="1823" spans="1:7" x14ac:dyDescent="0.2">
      <c r="A1823" t="s">
        <v>64</v>
      </c>
      <c r="B1823" t="s">
        <v>64</v>
      </c>
      <c r="C1823" s="3" t="s">
        <v>64</v>
      </c>
      <c r="D1823" s="16" t="s">
        <v>64</v>
      </c>
      <c r="E1823" s="16">
        <v>0</v>
      </c>
      <c r="F1823" s="16" t="s">
        <v>64</v>
      </c>
      <c r="G1823" s="16" t="s">
        <v>64</v>
      </c>
    </row>
    <row r="1824" spans="1:7" x14ac:dyDescent="0.2">
      <c r="A1824" t="s">
        <v>64</v>
      </c>
      <c r="B1824" t="s">
        <v>64</v>
      </c>
      <c r="C1824" s="3" t="s">
        <v>64</v>
      </c>
      <c r="D1824" s="16" t="s">
        <v>64</v>
      </c>
      <c r="E1824" s="16">
        <v>0</v>
      </c>
      <c r="F1824" s="16" t="s">
        <v>64</v>
      </c>
      <c r="G1824" s="16" t="s">
        <v>64</v>
      </c>
    </row>
    <row r="1825" spans="1:7" x14ac:dyDescent="0.2">
      <c r="A1825" t="s">
        <v>64</v>
      </c>
      <c r="B1825" t="s">
        <v>64</v>
      </c>
      <c r="C1825" s="3" t="s">
        <v>64</v>
      </c>
      <c r="D1825" s="16" t="s">
        <v>64</v>
      </c>
      <c r="E1825" s="16">
        <v>0</v>
      </c>
      <c r="F1825" s="16" t="s">
        <v>64</v>
      </c>
      <c r="G1825" s="16" t="s">
        <v>64</v>
      </c>
    </row>
    <row r="1826" spans="1:7" x14ac:dyDescent="0.2">
      <c r="A1826" t="s">
        <v>64</v>
      </c>
      <c r="B1826" t="s">
        <v>64</v>
      </c>
      <c r="C1826" s="3" t="s">
        <v>64</v>
      </c>
      <c r="D1826" s="16" t="s">
        <v>64</v>
      </c>
      <c r="E1826" s="16">
        <v>0</v>
      </c>
      <c r="F1826" s="16" t="s">
        <v>64</v>
      </c>
      <c r="G1826" s="16" t="s">
        <v>64</v>
      </c>
    </row>
    <row r="1827" spans="1:7" x14ac:dyDescent="0.2">
      <c r="A1827" t="s">
        <v>64</v>
      </c>
      <c r="B1827" t="s">
        <v>64</v>
      </c>
      <c r="C1827" s="3" t="s">
        <v>64</v>
      </c>
      <c r="D1827" s="16" t="s">
        <v>64</v>
      </c>
      <c r="E1827" s="16">
        <v>0</v>
      </c>
      <c r="F1827" s="16" t="s">
        <v>64</v>
      </c>
      <c r="G1827" s="16" t="s">
        <v>64</v>
      </c>
    </row>
    <row r="1828" spans="1:7" x14ac:dyDescent="0.2">
      <c r="A1828" t="s">
        <v>64</v>
      </c>
      <c r="B1828" t="s">
        <v>64</v>
      </c>
      <c r="C1828" s="3" t="s">
        <v>64</v>
      </c>
      <c r="D1828" s="16" t="s">
        <v>64</v>
      </c>
      <c r="E1828" s="16">
        <v>0</v>
      </c>
      <c r="F1828" s="16" t="s">
        <v>64</v>
      </c>
      <c r="G1828" s="16" t="s">
        <v>64</v>
      </c>
    </row>
    <row r="1829" spans="1:7" x14ac:dyDescent="0.2">
      <c r="A1829" t="s">
        <v>64</v>
      </c>
      <c r="B1829" t="s">
        <v>64</v>
      </c>
      <c r="C1829" s="3" t="s">
        <v>64</v>
      </c>
      <c r="D1829" s="16" t="s">
        <v>64</v>
      </c>
      <c r="E1829" s="16">
        <v>0</v>
      </c>
      <c r="F1829" s="16" t="s">
        <v>64</v>
      </c>
      <c r="G1829" s="16" t="s">
        <v>64</v>
      </c>
    </row>
    <row r="1830" spans="1:7" x14ac:dyDescent="0.2">
      <c r="A1830" t="s">
        <v>64</v>
      </c>
      <c r="B1830" t="s">
        <v>64</v>
      </c>
      <c r="C1830" s="3" t="s">
        <v>64</v>
      </c>
      <c r="D1830" s="16" t="s">
        <v>64</v>
      </c>
      <c r="E1830" s="16">
        <v>0</v>
      </c>
      <c r="F1830" s="16" t="s">
        <v>64</v>
      </c>
      <c r="G1830" s="16" t="s">
        <v>64</v>
      </c>
    </row>
    <row r="1831" spans="1:7" x14ac:dyDescent="0.2">
      <c r="A1831" t="s">
        <v>64</v>
      </c>
      <c r="B1831" t="s">
        <v>64</v>
      </c>
      <c r="C1831" s="3" t="s">
        <v>64</v>
      </c>
      <c r="D1831" s="16" t="s">
        <v>64</v>
      </c>
      <c r="E1831" s="16">
        <v>0</v>
      </c>
      <c r="F1831" s="16" t="s">
        <v>64</v>
      </c>
      <c r="G1831" s="16" t="s">
        <v>64</v>
      </c>
    </row>
    <row r="1832" spans="1:7" x14ac:dyDescent="0.2">
      <c r="A1832" t="s">
        <v>64</v>
      </c>
      <c r="B1832" t="s">
        <v>64</v>
      </c>
      <c r="C1832" s="3" t="s">
        <v>64</v>
      </c>
      <c r="D1832" s="16" t="s">
        <v>64</v>
      </c>
      <c r="E1832" s="16">
        <v>0</v>
      </c>
      <c r="F1832" s="16" t="s">
        <v>64</v>
      </c>
      <c r="G1832" s="16" t="s">
        <v>64</v>
      </c>
    </row>
    <row r="1833" spans="1:7" x14ac:dyDescent="0.2">
      <c r="A1833" t="s">
        <v>64</v>
      </c>
      <c r="B1833" t="s">
        <v>64</v>
      </c>
      <c r="C1833" s="3" t="s">
        <v>64</v>
      </c>
      <c r="D1833" s="16" t="s">
        <v>64</v>
      </c>
      <c r="E1833" s="16">
        <v>0</v>
      </c>
      <c r="F1833" s="16" t="s">
        <v>64</v>
      </c>
      <c r="G1833" s="16" t="s">
        <v>64</v>
      </c>
    </row>
    <row r="1834" spans="1:7" x14ac:dyDescent="0.2">
      <c r="A1834" t="s">
        <v>64</v>
      </c>
      <c r="B1834" t="s">
        <v>64</v>
      </c>
      <c r="C1834" s="3" t="s">
        <v>64</v>
      </c>
      <c r="D1834" s="16" t="s">
        <v>64</v>
      </c>
      <c r="E1834" s="16">
        <v>0</v>
      </c>
      <c r="F1834" s="16" t="s">
        <v>64</v>
      </c>
      <c r="G1834" s="16" t="s">
        <v>64</v>
      </c>
    </row>
    <row r="1835" spans="1:7" x14ac:dyDescent="0.2">
      <c r="A1835" t="s">
        <v>64</v>
      </c>
      <c r="B1835" t="s">
        <v>64</v>
      </c>
      <c r="C1835" s="3" t="s">
        <v>64</v>
      </c>
      <c r="D1835" s="16" t="s">
        <v>64</v>
      </c>
      <c r="E1835" s="16">
        <v>0</v>
      </c>
      <c r="F1835" s="16" t="s">
        <v>64</v>
      </c>
      <c r="G1835" s="16" t="s">
        <v>64</v>
      </c>
    </row>
    <row r="1836" spans="1:7" x14ac:dyDescent="0.2">
      <c r="A1836" t="s">
        <v>64</v>
      </c>
      <c r="B1836" t="s">
        <v>64</v>
      </c>
      <c r="C1836" s="3" t="s">
        <v>64</v>
      </c>
      <c r="D1836" s="16" t="s">
        <v>64</v>
      </c>
      <c r="E1836" s="16">
        <v>0</v>
      </c>
      <c r="F1836" s="16" t="s">
        <v>64</v>
      </c>
      <c r="G1836" s="16" t="s">
        <v>64</v>
      </c>
    </row>
    <row r="1837" spans="1:7" x14ac:dyDescent="0.2">
      <c r="A1837" t="s">
        <v>64</v>
      </c>
      <c r="B1837" t="s">
        <v>64</v>
      </c>
      <c r="C1837" s="3" t="s">
        <v>64</v>
      </c>
      <c r="D1837" s="16" t="s">
        <v>64</v>
      </c>
      <c r="E1837" s="16">
        <v>0</v>
      </c>
      <c r="F1837" s="16" t="s">
        <v>64</v>
      </c>
      <c r="G1837" s="16" t="s">
        <v>64</v>
      </c>
    </row>
    <row r="1838" spans="1:7" x14ac:dyDescent="0.2">
      <c r="A1838" t="s">
        <v>64</v>
      </c>
      <c r="B1838" t="s">
        <v>64</v>
      </c>
      <c r="C1838" s="3" t="s">
        <v>64</v>
      </c>
      <c r="D1838" s="16" t="s">
        <v>64</v>
      </c>
      <c r="E1838" s="16">
        <v>0</v>
      </c>
      <c r="F1838" s="16" t="s">
        <v>64</v>
      </c>
      <c r="G1838" s="16" t="s">
        <v>64</v>
      </c>
    </row>
    <row r="1839" spans="1:7" x14ac:dyDescent="0.2">
      <c r="A1839" t="s">
        <v>64</v>
      </c>
      <c r="B1839" t="s">
        <v>64</v>
      </c>
      <c r="C1839" s="3" t="s">
        <v>64</v>
      </c>
      <c r="D1839" s="16" t="s">
        <v>64</v>
      </c>
      <c r="E1839" s="16">
        <v>0</v>
      </c>
      <c r="F1839" s="16" t="s">
        <v>64</v>
      </c>
      <c r="G1839" s="16" t="s">
        <v>64</v>
      </c>
    </row>
    <row r="1840" spans="1:7" x14ac:dyDescent="0.2">
      <c r="A1840" t="s">
        <v>64</v>
      </c>
      <c r="B1840" t="s">
        <v>64</v>
      </c>
      <c r="C1840" s="3" t="s">
        <v>64</v>
      </c>
      <c r="D1840" s="16" t="s">
        <v>64</v>
      </c>
      <c r="E1840" s="16">
        <v>0</v>
      </c>
      <c r="F1840" s="16" t="s">
        <v>64</v>
      </c>
      <c r="G1840" s="16" t="s">
        <v>64</v>
      </c>
    </row>
    <row r="1841" spans="1:7" x14ac:dyDescent="0.2">
      <c r="A1841" t="s">
        <v>64</v>
      </c>
      <c r="B1841" t="s">
        <v>64</v>
      </c>
      <c r="C1841" s="3" t="s">
        <v>64</v>
      </c>
      <c r="D1841" s="16" t="s">
        <v>64</v>
      </c>
      <c r="E1841" s="16">
        <v>0</v>
      </c>
      <c r="F1841" s="16" t="s">
        <v>64</v>
      </c>
      <c r="G1841" s="16" t="s">
        <v>64</v>
      </c>
    </row>
    <row r="1842" spans="1:7" x14ac:dyDescent="0.2">
      <c r="A1842" t="s">
        <v>64</v>
      </c>
      <c r="B1842" t="s">
        <v>64</v>
      </c>
      <c r="C1842" s="3" t="s">
        <v>64</v>
      </c>
      <c r="D1842" s="16" t="s">
        <v>64</v>
      </c>
      <c r="E1842" s="16">
        <v>0</v>
      </c>
      <c r="F1842" s="16" t="s">
        <v>64</v>
      </c>
      <c r="G1842" s="16" t="s">
        <v>64</v>
      </c>
    </row>
    <row r="1843" spans="1:7" x14ac:dyDescent="0.2">
      <c r="A1843" t="s">
        <v>64</v>
      </c>
      <c r="B1843" t="s">
        <v>64</v>
      </c>
      <c r="C1843" s="3" t="s">
        <v>64</v>
      </c>
      <c r="D1843" s="16" t="s">
        <v>64</v>
      </c>
      <c r="E1843" s="16">
        <v>0</v>
      </c>
      <c r="F1843" s="16" t="s">
        <v>64</v>
      </c>
      <c r="G1843" s="16" t="s">
        <v>64</v>
      </c>
    </row>
    <row r="1844" spans="1:7" x14ac:dyDescent="0.2">
      <c r="A1844" t="s">
        <v>64</v>
      </c>
      <c r="B1844" t="s">
        <v>64</v>
      </c>
      <c r="C1844" s="3" t="s">
        <v>64</v>
      </c>
      <c r="D1844" s="16" t="s">
        <v>64</v>
      </c>
      <c r="E1844" s="16">
        <v>0</v>
      </c>
      <c r="F1844" s="16" t="s">
        <v>64</v>
      </c>
      <c r="G1844" s="16" t="s">
        <v>64</v>
      </c>
    </row>
    <row r="1845" spans="1:7" x14ac:dyDescent="0.2">
      <c r="A1845" t="s">
        <v>64</v>
      </c>
      <c r="B1845" t="s">
        <v>64</v>
      </c>
      <c r="C1845" s="3" t="s">
        <v>64</v>
      </c>
      <c r="D1845" s="16" t="s">
        <v>64</v>
      </c>
      <c r="E1845" s="16">
        <v>0</v>
      </c>
      <c r="F1845" s="16" t="s">
        <v>64</v>
      </c>
      <c r="G1845" s="16" t="s">
        <v>64</v>
      </c>
    </row>
    <row r="1846" spans="1:7" x14ac:dyDescent="0.2">
      <c r="A1846" t="s">
        <v>64</v>
      </c>
      <c r="B1846" t="s">
        <v>64</v>
      </c>
      <c r="C1846" s="3" t="s">
        <v>64</v>
      </c>
      <c r="D1846" s="16" t="s">
        <v>64</v>
      </c>
      <c r="E1846" s="16">
        <v>0</v>
      </c>
      <c r="F1846" s="16" t="s">
        <v>64</v>
      </c>
      <c r="G1846" s="16" t="s">
        <v>64</v>
      </c>
    </row>
    <row r="1847" spans="1:7" x14ac:dyDescent="0.2">
      <c r="A1847" t="s">
        <v>64</v>
      </c>
      <c r="B1847" t="s">
        <v>64</v>
      </c>
      <c r="C1847" s="3" t="s">
        <v>64</v>
      </c>
      <c r="D1847" s="16" t="s">
        <v>64</v>
      </c>
      <c r="E1847" s="16">
        <v>0</v>
      </c>
      <c r="F1847" s="16" t="s">
        <v>64</v>
      </c>
      <c r="G1847" s="16" t="s">
        <v>64</v>
      </c>
    </row>
    <row r="1848" spans="1:7" x14ac:dyDescent="0.2">
      <c r="A1848" t="s">
        <v>64</v>
      </c>
      <c r="B1848" t="s">
        <v>64</v>
      </c>
      <c r="C1848" s="3" t="s">
        <v>64</v>
      </c>
      <c r="D1848" s="16" t="s">
        <v>64</v>
      </c>
      <c r="E1848" s="16">
        <v>0</v>
      </c>
      <c r="F1848" s="16" t="s">
        <v>64</v>
      </c>
      <c r="G1848" s="16" t="s">
        <v>64</v>
      </c>
    </row>
    <row r="1849" spans="1:7" x14ac:dyDescent="0.2">
      <c r="A1849" t="s">
        <v>64</v>
      </c>
      <c r="B1849" t="s">
        <v>64</v>
      </c>
      <c r="C1849" s="3" t="s">
        <v>64</v>
      </c>
      <c r="D1849" s="16" t="s">
        <v>64</v>
      </c>
      <c r="E1849" s="16">
        <v>0</v>
      </c>
      <c r="F1849" s="16" t="s">
        <v>64</v>
      </c>
      <c r="G1849" s="16" t="s">
        <v>64</v>
      </c>
    </row>
    <row r="1850" spans="1:7" x14ac:dyDescent="0.2">
      <c r="A1850" t="s">
        <v>64</v>
      </c>
      <c r="B1850" t="s">
        <v>64</v>
      </c>
      <c r="C1850" s="3" t="s">
        <v>64</v>
      </c>
      <c r="D1850" s="16" t="s">
        <v>64</v>
      </c>
      <c r="E1850" s="16">
        <v>0</v>
      </c>
      <c r="F1850" s="16" t="s">
        <v>64</v>
      </c>
      <c r="G1850" s="16" t="s">
        <v>64</v>
      </c>
    </row>
    <row r="1851" spans="1:7" x14ac:dyDescent="0.2">
      <c r="A1851" t="s">
        <v>64</v>
      </c>
      <c r="B1851" t="s">
        <v>64</v>
      </c>
      <c r="C1851" s="3" t="s">
        <v>64</v>
      </c>
      <c r="D1851" s="16" t="s">
        <v>64</v>
      </c>
      <c r="E1851" s="16">
        <v>0</v>
      </c>
      <c r="F1851" s="16" t="s">
        <v>64</v>
      </c>
      <c r="G1851" s="16" t="s">
        <v>64</v>
      </c>
    </row>
    <row r="1852" spans="1:7" x14ac:dyDescent="0.2">
      <c r="A1852" t="s">
        <v>64</v>
      </c>
      <c r="B1852" t="s">
        <v>64</v>
      </c>
      <c r="C1852" s="3" t="s">
        <v>64</v>
      </c>
      <c r="D1852" s="16" t="s">
        <v>64</v>
      </c>
      <c r="E1852" s="16">
        <v>0</v>
      </c>
      <c r="F1852" s="16" t="s">
        <v>64</v>
      </c>
      <c r="G1852" s="16" t="s">
        <v>64</v>
      </c>
    </row>
    <row r="1853" spans="1:7" x14ac:dyDescent="0.2">
      <c r="A1853" t="s">
        <v>64</v>
      </c>
      <c r="B1853" t="s">
        <v>64</v>
      </c>
      <c r="C1853" s="3" t="s">
        <v>64</v>
      </c>
      <c r="D1853" s="16" t="s">
        <v>64</v>
      </c>
      <c r="E1853" s="16">
        <v>0</v>
      </c>
      <c r="F1853" s="16" t="s">
        <v>64</v>
      </c>
      <c r="G1853" s="16" t="s">
        <v>64</v>
      </c>
    </row>
    <row r="1854" spans="1:7" x14ac:dyDescent="0.2">
      <c r="A1854" t="s">
        <v>64</v>
      </c>
      <c r="B1854" t="s">
        <v>64</v>
      </c>
      <c r="C1854" s="3" t="s">
        <v>64</v>
      </c>
      <c r="D1854" s="16" t="s">
        <v>64</v>
      </c>
      <c r="E1854" s="16">
        <v>0</v>
      </c>
      <c r="F1854" s="16" t="s">
        <v>64</v>
      </c>
      <c r="G1854" s="16" t="s">
        <v>64</v>
      </c>
    </row>
    <row r="1855" spans="1:7" x14ac:dyDescent="0.2">
      <c r="A1855" t="s">
        <v>64</v>
      </c>
      <c r="B1855" t="s">
        <v>64</v>
      </c>
      <c r="C1855" s="3" t="s">
        <v>64</v>
      </c>
      <c r="D1855" s="16" t="s">
        <v>64</v>
      </c>
      <c r="E1855" s="16">
        <v>0</v>
      </c>
      <c r="F1855" s="16" t="s">
        <v>64</v>
      </c>
      <c r="G1855" s="16" t="s">
        <v>64</v>
      </c>
    </row>
    <row r="1856" spans="1:7" x14ac:dyDescent="0.2">
      <c r="A1856" t="s">
        <v>64</v>
      </c>
      <c r="B1856" t="s">
        <v>64</v>
      </c>
      <c r="C1856" s="3" t="s">
        <v>64</v>
      </c>
      <c r="D1856" s="16" t="s">
        <v>64</v>
      </c>
      <c r="E1856" s="16">
        <v>0</v>
      </c>
      <c r="F1856" s="16" t="s">
        <v>64</v>
      </c>
      <c r="G1856" s="16" t="s">
        <v>64</v>
      </c>
    </row>
    <row r="1857" spans="1:7" x14ac:dyDescent="0.2">
      <c r="A1857" t="s">
        <v>64</v>
      </c>
      <c r="B1857" t="s">
        <v>64</v>
      </c>
      <c r="C1857" s="3" t="s">
        <v>64</v>
      </c>
      <c r="D1857" s="16" t="s">
        <v>64</v>
      </c>
      <c r="E1857" s="16">
        <v>0</v>
      </c>
      <c r="F1857" s="16" t="s">
        <v>64</v>
      </c>
      <c r="G1857" s="16" t="s">
        <v>64</v>
      </c>
    </row>
    <row r="1858" spans="1:7" x14ac:dyDescent="0.2">
      <c r="A1858" t="s">
        <v>64</v>
      </c>
      <c r="B1858" t="s">
        <v>64</v>
      </c>
      <c r="C1858" s="3" t="s">
        <v>64</v>
      </c>
      <c r="D1858" s="16" t="s">
        <v>64</v>
      </c>
      <c r="E1858" s="16">
        <v>0</v>
      </c>
      <c r="F1858" s="16" t="s">
        <v>64</v>
      </c>
      <c r="G1858" s="16" t="s">
        <v>64</v>
      </c>
    </row>
    <row r="1859" spans="1:7" x14ac:dyDescent="0.2">
      <c r="A1859" t="s">
        <v>64</v>
      </c>
      <c r="B1859" t="s">
        <v>64</v>
      </c>
      <c r="C1859" s="3" t="s">
        <v>64</v>
      </c>
      <c r="D1859" s="16" t="s">
        <v>64</v>
      </c>
      <c r="E1859" s="16">
        <v>0</v>
      </c>
      <c r="F1859" s="16" t="s">
        <v>64</v>
      </c>
      <c r="G1859" s="16" t="s">
        <v>64</v>
      </c>
    </row>
    <row r="1860" spans="1:7" x14ac:dyDescent="0.2">
      <c r="A1860" t="s">
        <v>64</v>
      </c>
      <c r="B1860" t="s">
        <v>64</v>
      </c>
      <c r="C1860" s="3" t="s">
        <v>64</v>
      </c>
      <c r="D1860" s="16" t="s">
        <v>64</v>
      </c>
      <c r="E1860" s="16">
        <v>0</v>
      </c>
      <c r="F1860" s="16" t="s">
        <v>64</v>
      </c>
      <c r="G1860" s="16" t="s">
        <v>64</v>
      </c>
    </row>
    <row r="1861" spans="1:7" x14ac:dyDescent="0.2">
      <c r="A1861" t="s">
        <v>64</v>
      </c>
      <c r="B1861" t="s">
        <v>64</v>
      </c>
      <c r="C1861" s="3" t="s">
        <v>64</v>
      </c>
      <c r="D1861" s="16" t="s">
        <v>64</v>
      </c>
      <c r="E1861" s="16">
        <v>0</v>
      </c>
      <c r="F1861" s="16" t="s">
        <v>64</v>
      </c>
      <c r="G1861" s="16" t="s">
        <v>64</v>
      </c>
    </row>
    <row r="1862" spans="1:7" x14ac:dyDescent="0.2">
      <c r="A1862" t="s">
        <v>64</v>
      </c>
      <c r="B1862" t="s">
        <v>64</v>
      </c>
      <c r="C1862" s="3" t="s">
        <v>64</v>
      </c>
      <c r="D1862" s="16" t="s">
        <v>64</v>
      </c>
      <c r="E1862" s="16">
        <v>0</v>
      </c>
      <c r="F1862" s="16" t="s">
        <v>64</v>
      </c>
      <c r="G1862" s="16" t="s">
        <v>64</v>
      </c>
    </row>
    <row r="1863" spans="1:7" x14ac:dyDescent="0.2">
      <c r="A1863" t="s">
        <v>64</v>
      </c>
      <c r="B1863" t="s">
        <v>64</v>
      </c>
      <c r="C1863" s="3" t="s">
        <v>64</v>
      </c>
      <c r="D1863" s="16" t="s">
        <v>64</v>
      </c>
      <c r="E1863" s="16">
        <v>0</v>
      </c>
      <c r="F1863" s="16" t="s">
        <v>64</v>
      </c>
      <c r="G1863" s="16" t="s">
        <v>64</v>
      </c>
    </row>
    <row r="1864" spans="1:7" x14ac:dyDescent="0.2">
      <c r="A1864" t="s">
        <v>64</v>
      </c>
      <c r="B1864" t="s">
        <v>64</v>
      </c>
      <c r="C1864" s="3" t="s">
        <v>64</v>
      </c>
      <c r="D1864" s="16" t="s">
        <v>64</v>
      </c>
      <c r="E1864" s="16">
        <v>0</v>
      </c>
      <c r="F1864" s="16" t="s">
        <v>64</v>
      </c>
      <c r="G1864" s="16" t="s">
        <v>64</v>
      </c>
    </row>
    <row r="1865" spans="1:7" x14ac:dyDescent="0.2">
      <c r="A1865" t="s">
        <v>64</v>
      </c>
      <c r="B1865" t="s">
        <v>64</v>
      </c>
      <c r="C1865" s="3" t="s">
        <v>64</v>
      </c>
      <c r="D1865" s="16" t="s">
        <v>64</v>
      </c>
      <c r="E1865" s="16">
        <v>0</v>
      </c>
      <c r="F1865" s="16" t="s">
        <v>64</v>
      </c>
      <c r="G1865" s="16" t="s">
        <v>64</v>
      </c>
    </row>
    <row r="1866" spans="1:7" x14ac:dyDescent="0.2">
      <c r="A1866" t="s">
        <v>64</v>
      </c>
      <c r="B1866" t="s">
        <v>64</v>
      </c>
      <c r="C1866" s="3" t="s">
        <v>64</v>
      </c>
      <c r="D1866" s="16" t="s">
        <v>64</v>
      </c>
      <c r="E1866" s="16">
        <v>0</v>
      </c>
      <c r="F1866" s="16" t="s">
        <v>64</v>
      </c>
      <c r="G1866" s="16" t="s">
        <v>64</v>
      </c>
    </row>
    <row r="1867" spans="1:7" x14ac:dyDescent="0.2">
      <c r="A1867" t="s">
        <v>64</v>
      </c>
      <c r="B1867" t="s">
        <v>64</v>
      </c>
      <c r="C1867" s="3" t="s">
        <v>64</v>
      </c>
      <c r="D1867" s="16" t="s">
        <v>64</v>
      </c>
      <c r="E1867" s="16">
        <v>0</v>
      </c>
      <c r="F1867" s="16" t="s">
        <v>64</v>
      </c>
      <c r="G1867" s="16" t="s">
        <v>64</v>
      </c>
    </row>
    <row r="1868" spans="1:7" x14ac:dyDescent="0.2">
      <c r="A1868" t="s">
        <v>64</v>
      </c>
      <c r="B1868" t="s">
        <v>64</v>
      </c>
      <c r="C1868" s="3" t="s">
        <v>64</v>
      </c>
      <c r="D1868" s="16" t="s">
        <v>64</v>
      </c>
      <c r="E1868" s="16">
        <v>0</v>
      </c>
      <c r="F1868" s="16" t="s">
        <v>64</v>
      </c>
      <c r="G1868" s="16" t="s">
        <v>64</v>
      </c>
    </row>
    <row r="1869" spans="1:7" x14ac:dyDescent="0.2">
      <c r="A1869" t="s">
        <v>64</v>
      </c>
      <c r="B1869" t="s">
        <v>64</v>
      </c>
      <c r="C1869" s="3" t="s">
        <v>64</v>
      </c>
      <c r="D1869" s="16" t="s">
        <v>64</v>
      </c>
      <c r="E1869" s="16">
        <v>0</v>
      </c>
      <c r="F1869" s="16" t="s">
        <v>64</v>
      </c>
      <c r="G1869" s="16" t="s">
        <v>64</v>
      </c>
    </row>
    <row r="1870" spans="1:7" x14ac:dyDescent="0.2">
      <c r="A1870" t="s">
        <v>64</v>
      </c>
      <c r="B1870" t="s">
        <v>64</v>
      </c>
      <c r="C1870" s="3" t="s">
        <v>64</v>
      </c>
      <c r="D1870" s="16" t="s">
        <v>64</v>
      </c>
      <c r="E1870" s="16">
        <v>0</v>
      </c>
      <c r="F1870" s="16" t="s">
        <v>64</v>
      </c>
      <c r="G1870" s="16" t="s">
        <v>64</v>
      </c>
    </row>
    <row r="1871" spans="1:7" x14ac:dyDescent="0.2">
      <c r="A1871" t="s">
        <v>64</v>
      </c>
      <c r="B1871" t="s">
        <v>64</v>
      </c>
      <c r="C1871" s="3" t="s">
        <v>64</v>
      </c>
      <c r="D1871" s="16" t="s">
        <v>64</v>
      </c>
      <c r="E1871" s="16">
        <v>0</v>
      </c>
      <c r="F1871" s="16" t="s">
        <v>64</v>
      </c>
      <c r="G1871" s="16" t="s">
        <v>64</v>
      </c>
    </row>
    <row r="1872" spans="1:7" x14ac:dyDescent="0.2">
      <c r="A1872" t="s">
        <v>64</v>
      </c>
      <c r="B1872" t="s">
        <v>64</v>
      </c>
      <c r="C1872" s="3" t="s">
        <v>64</v>
      </c>
      <c r="D1872" s="16" t="s">
        <v>64</v>
      </c>
      <c r="E1872" s="16">
        <v>0</v>
      </c>
      <c r="F1872" s="16" t="s">
        <v>64</v>
      </c>
      <c r="G1872" s="16" t="s">
        <v>64</v>
      </c>
    </row>
    <row r="1873" spans="1:7" x14ac:dyDescent="0.2">
      <c r="A1873" t="s">
        <v>64</v>
      </c>
      <c r="B1873" t="s">
        <v>64</v>
      </c>
      <c r="C1873" s="3" t="s">
        <v>64</v>
      </c>
      <c r="D1873" s="16" t="s">
        <v>64</v>
      </c>
      <c r="E1873" s="16">
        <v>0</v>
      </c>
      <c r="F1873" s="16" t="s">
        <v>64</v>
      </c>
      <c r="G1873" s="16" t="s">
        <v>64</v>
      </c>
    </row>
    <row r="1874" spans="1:7" x14ac:dyDescent="0.2">
      <c r="A1874" t="s">
        <v>64</v>
      </c>
      <c r="B1874" t="s">
        <v>64</v>
      </c>
      <c r="C1874" s="3" t="s">
        <v>64</v>
      </c>
      <c r="D1874" s="16" t="s">
        <v>64</v>
      </c>
      <c r="E1874" s="16">
        <v>0</v>
      </c>
      <c r="F1874" s="16" t="s">
        <v>64</v>
      </c>
      <c r="G1874" s="16" t="s">
        <v>64</v>
      </c>
    </row>
    <row r="1875" spans="1:7" x14ac:dyDescent="0.2">
      <c r="A1875" t="s">
        <v>64</v>
      </c>
      <c r="B1875" t="s">
        <v>64</v>
      </c>
      <c r="C1875" s="3" t="s">
        <v>64</v>
      </c>
      <c r="D1875" s="16" t="s">
        <v>64</v>
      </c>
      <c r="E1875" s="16">
        <v>0</v>
      </c>
      <c r="F1875" s="16" t="s">
        <v>64</v>
      </c>
      <c r="G1875" s="16" t="s">
        <v>64</v>
      </c>
    </row>
    <row r="1876" spans="1:7" x14ac:dyDescent="0.2">
      <c r="A1876" t="s">
        <v>64</v>
      </c>
      <c r="B1876" t="s">
        <v>64</v>
      </c>
      <c r="C1876" s="3" t="s">
        <v>64</v>
      </c>
      <c r="D1876" s="16" t="s">
        <v>64</v>
      </c>
      <c r="E1876" s="16">
        <v>0</v>
      </c>
      <c r="F1876" s="16" t="s">
        <v>64</v>
      </c>
      <c r="G1876" s="16" t="s">
        <v>64</v>
      </c>
    </row>
    <row r="1877" spans="1:7" x14ac:dyDescent="0.2">
      <c r="A1877" t="s">
        <v>64</v>
      </c>
      <c r="B1877" t="s">
        <v>64</v>
      </c>
      <c r="C1877" s="3" t="s">
        <v>64</v>
      </c>
      <c r="D1877" s="16" t="s">
        <v>64</v>
      </c>
      <c r="E1877" s="16">
        <v>0</v>
      </c>
      <c r="F1877" s="16" t="s">
        <v>64</v>
      </c>
      <c r="G1877" s="16" t="s">
        <v>64</v>
      </c>
    </row>
    <row r="1878" spans="1:7" x14ac:dyDescent="0.2">
      <c r="A1878" t="s">
        <v>64</v>
      </c>
      <c r="B1878" t="s">
        <v>64</v>
      </c>
      <c r="C1878" s="3" t="s">
        <v>64</v>
      </c>
      <c r="D1878" s="16" t="s">
        <v>64</v>
      </c>
      <c r="E1878" s="16">
        <v>0</v>
      </c>
      <c r="F1878" s="16" t="s">
        <v>64</v>
      </c>
      <c r="G1878" s="16" t="s">
        <v>64</v>
      </c>
    </row>
    <row r="1879" spans="1:7" x14ac:dyDescent="0.2">
      <c r="A1879" t="s">
        <v>64</v>
      </c>
      <c r="B1879" t="s">
        <v>64</v>
      </c>
      <c r="C1879" s="3" t="s">
        <v>64</v>
      </c>
      <c r="D1879" s="16" t="s">
        <v>64</v>
      </c>
      <c r="E1879" s="16">
        <v>0</v>
      </c>
      <c r="F1879" s="16" t="s">
        <v>64</v>
      </c>
      <c r="G1879" s="16" t="s">
        <v>64</v>
      </c>
    </row>
    <row r="1880" spans="1:7" x14ac:dyDescent="0.2">
      <c r="A1880" t="s">
        <v>64</v>
      </c>
      <c r="B1880" t="s">
        <v>64</v>
      </c>
      <c r="C1880" s="3" t="s">
        <v>64</v>
      </c>
      <c r="D1880" s="16" t="s">
        <v>64</v>
      </c>
      <c r="E1880" s="16">
        <v>0</v>
      </c>
      <c r="F1880" s="16" t="s">
        <v>64</v>
      </c>
      <c r="G1880" s="16" t="s">
        <v>64</v>
      </c>
    </row>
    <row r="1881" spans="1:7" x14ac:dyDescent="0.2">
      <c r="A1881" t="s">
        <v>64</v>
      </c>
      <c r="B1881" t="s">
        <v>64</v>
      </c>
      <c r="C1881" s="3" t="s">
        <v>64</v>
      </c>
      <c r="D1881" s="16" t="s">
        <v>64</v>
      </c>
      <c r="E1881" s="16">
        <v>0</v>
      </c>
      <c r="F1881" s="16" t="s">
        <v>64</v>
      </c>
      <c r="G1881" s="16" t="s">
        <v>64</v>
      </c>
    </row>
    <row r="1882" spans="1:7" x14ac:dyDescent="0.2">
      <c r="A1882" t="s">
        <v>64</v>
      </c>
      <c r="B1882" t="s">
        <v>64</v>
      </c>
      <c r="C1882" s="3" t="s">
        <v>64</v>
      </c>
      <c r="D1882" s="16" t="s">
        <v>64</v>
      </c>
      <c r="E1882" s="16">
        <v>0</v>
      </c>
      <c r="F1882" s="16" t="s">
        <v>64</v>
      </c>
      <c r="G1882" s="16" t="s">
        <v>64</v>
      </c>
    </row>
    <row r="1883" spans="1:7" x14ac:dyDescent="0.2">
      <c r="A1883" t="s">
        <v>64</v>
      </c>
      <c r="B1883" t="s">
        <v>64</v>
      </c>
      <c r="C1883" s="3" t="s">
        <v>64</v>
      </c>
      <c r="D1883" s="16" t="s">
        <v>64</v>
      </c>
      <c r="E1883" s="16">
        <v>0</v>
      </c>
      <c r="F1883" s="16" t="s">
        <v>64</v>
      </c>
      <c r="G1883" s="16" t="s">
        <v>64</v>
      </c>
    </row>
    <row r="1884" spans="1:7" x14ac:dyDescent="0.2">
      <c r="A1884" t="s">
        <v>64</v>
      </c>
      <c r="B1884" t="s">
        <v>64</v>
      </c>
      <c r="C1884" s="3" t="s">
        <v>64</v>
      </c>
      <c r="D1884" s="16" t="s">
        <v>64</v>
      </c>
      <c r="E1884" s="16">
        <v>0</v>
      </c>
      <c r="F1884" s="16" t="s">
        <v>64</v>
      </c>
      <c r="G1884" s="16" t="s">
        <v>64</v>
      </c>
    </row>
    <row r="1885" spans="1:7" x14ac:dyDescent="0.2">
      <c r="A1885" t="s">
        <v>64</v>
      </c>
      <c r="B1885" t="s">
        <v>64</v>
      </c>
      <c r="C1885" s="3" t="s">
        <v>64</v>
      </c>
      <c r="D1885" s="16" t="s">
        <v>64</v>
      </c>
      <c r="E1885" s="16">
        <v>0</v>
      </c>
      <c r="F1885" s="16" t="s">
        <v>64</v>
      </c>
      <c r="G1885" s="16" t="s">
        <v>64</v>
      </c>
    </row>
    <row r="1886" spans="1:7" x14ac:dyDescent="0.2">
      <c r="A1886" t="s">
        <v>64</v>
      </c>
      <c r="B1886" t="s">
        <v>64</v>
      </c>
      <c r="C1886" s="3" t="s">
        <v>64</v>
      </c>
      <c r="D1886" s="16" t="s">
        <v>64</v>
      </c>
      <c r="E1886" s="16">
        <v>0</v>
      </c>
      <c r="F1886" s="16" t="s">
        <v>64</v>
      </c>
      <c r="G1886" s="16" t="s">
        <v>64</v>
      </c>
    </row>
    <row r="1887" spans="1:7" x14ac:dyDescent="0.2">
      <c r="A1887" t="s">
        <v>64</v>
      </c>
      <c r="B1887" t="s">
        <v>64</v>
      </c>
      <c r="C1887" s="3" t="s">
        <v>64</v>
      </c>
      <c r="D1887" s="16" t="s">
        <v>64</v>
      </c>
      <c r="E1887" s="16">
        <v>0</v>
      </c>
      <c r="F1887" s="16" t="s">
        <v>64</v>
      </c>
      <c r="G1887" s="16" t="s">
        <v>64</v>
      </c>
    </row>
    <row r="1888" spans="1:7" x14ac:dyDescent="0.2">
      <c r="A1888" t="s">
        <v>64</v>
      </c>
      <c r="B1888" t="s">
        <v>64</v>
      </c>
      <c r="C1888" s="3" t="s">
        <v>64</v>
      </c>
      <c r="D1888" s="16" t="s">
        <v>64</v>
      </c>
      <c r="E1888" s="16">
        <v>0</v>
      </c>
      <c r="F1888" s="16" t="s">
        <v>64</v>
      </c>
      <c r="G1888" s="16" t="s">
        <v>64</v>
      </c>
    </row>
    <row r="1889" spans="1:7" x14ac:dyDescent="0.2">
      <c r="A1889" t="s">
        <v>64</v>
      </c>
      <c r="B1889" t="s">
        <v>64</v>
      </c>
      <c r="C1889" s="3" t="s">
        <v>64</v>
      </c>
      <c r="D1889" s="16" t="s">
        <v>64</v>
      </c>
      <c r="E1889" s="16">
        <v>0</v>
      </c>
      <c r="F1889" s="16" t="s">
        <v>64</v>
      </c>
      <c r="G1889" s="16" t="s">
        <v>64</v>
      </c>
    </row>
    <row r="1890" spans="1:7" x14ac:dyDescent="0.2">
      <c r="A1890" t="s">
        <v>64</v>
      </c>
      <c r="B1890" t="s">
        <v>64</v>
      </c>
      <c r="C1890" s="3" t="s">
        <v>64</v>
      </c>
      <c r="D1890" s="16" t="s">
        <v>64</v>
      </c>
      <c r="E1890" s="16">
        <v>0</v>
      </c>
      <c r="F1890" s="16" t="s">
        <v>64</v>
      </c>
      <c r="G1890" s="16" t="s">
        <v>64</v>
      </c>
    </row>
    <row r="1891" spans="1:7" x14ac:dyDescent="0.2">
      <c r="A1891" t="s">
        <v>64</v>
      </c>
      <c r="B1891" t="s">
        <v>64</v>
      </c>
      <c r="C1891" s="3" t="s">
        <v>64</v>
      </c>
      <c r="D1891" s="16" t="s">
        <v>64</v>
      </c>
      <c r="E1891" s="16">
        <v>0</v>
      </c>
      <c r="F1891" s="16" t="s">
        <v>64</v>
      </c>
      <c r="G1891" s="16" t="s">
        <v>64</v>
      </c>
    </row>
    <row r="1892" spans="1:7" x14ac:dyDescent="0.2">
      <c r="A1892" t="s">
        <v>64</v>
      </c>
      <c r="B1892" t="s">
        <v>64</v>
      </c>
      <c r="C1892" s="3" t="s">
        <v>64</v>
      </c>
      <c r="D1892" s="16" t="s">
        <v>64</v>
      </c>
      <c r="E1892" s="16">
        <v>0</v>
      </c>
      <c r="F1892" s="16" t="s">
        <v>64</v>
      </c>
      <c r="G1892" s="16" t="s">
        <v>64</v>
      </c>
    </row>
    <row r="1893" spans="1:7" x14ac:dyDescent="0.2">
      <c r="A1893" t="s">
        <v>64</v>
      </c>
      <c r="B1893" t="s">
        <v>64</v>
      </c>
      <c r="C1893" s="3" t="s">
        <v>64</v>
      </c>
      <c r="D1893" s="16" t="s">
        <v>64</v>
      </c>
      <c r="E1893" s="16">
        <v>0</v>
      </c>
      <c r="F1893" s="16" t="s">
        <v>64</v>
      </c>
      <c r="G1893" s="16" t="s">
        <v>64</v>
      </c>
    </row>
    <row r="1894" spans="1:7" x14ac:dyDescent="0.2">
      <c r="A1894" t="s">
        <v>64</v>
      </c>
      <c r="B1894" t="s">
        <v>64</v>
      </c>
      <c r="C1894" s="3" t="s">
        <v>64</v>
      </c>
      <c r="D1894" s="16" t="s">
        <v>64</v>
      </c>
      <c r="E1894" s="16">
        <v>0</v>
      </c>
      <c r="F1894" s="16" t="s">
        <v>64</v>
      </c>
      <c r="G1894" s="16" t="s">
        <v>64</v>
      </c>
    </row>
    <row r="1895" spans="1:7" x14ac:dyDescent="0.2">
      <c r="A1895" t="s">
        <v>64</v>
      </c>
      <c r="B1895" t="s">
        <v>64</v>
      </c>
      <c r="C1895" s="3" t="s">
        <v>64</v>
      </c>
      <c r="D1895" s="16" t="s">
        <v>64</v>
      </c>
      <c r="E1895" s="16">
        <v>0</v>
      </c>
      <c r="F1895" s="16" t="s">
        <v>64</v>
      </c>
      <c r="G1895" s="16" t="s">
        <v>64</v>
      </c>
    </row>
    <row r="1896" spans="1:7" x14ac:dyDescent="0.2">
      <c r="A1896" t="s">
        <v>64</v>
      </c>
      <c r="B1896" t="s">
        <v>64</v>
      </c>
      <c r="C1896" s="3" t="s">
        <v>64</v>
      </c>
      <c r="D1896" s="16" t="s">
        <v>64</v>
      </c>
      <c r="E1896" s="16">
        <v>0</v>
      </c>
      <c r="F1896" s="16" t="s">
        <v>64</v>
      </c>
      <c r="G1896" s="16" t="s">
        <v>64</v>
      </c>
    </row>
    <row r="1897" spans="1:7" x14ac:dyDescent="0.2">
      <c r="A1897" t="s">
        <v>64</v>
      </c>
      <c r="B1897" t="s">
        <v>64</v>
      </c>
      <c r="C1897" s="3" t="s">
        <v>64</v>
      </c>
      <c r="D1897" s="16" t="s">
        <v>64</v>
      </c>
      <c r="E1897" s="16">
        <v>0</v>
      </c>
      <c r="F1897" s="16" t="s">
        <v>64</v>
      </c>
      <c r="G1897" s="16" t="s">
        <v>64</v>
      </c>
    </row>
    <row r="1898" spans="1:7" x14ac:dyDescent="0.2">
      <c r="A1898" t="s">
        <v>64</v>
      </c>
      <c r="B1898" t="s">
        <v>64</v>
      </c>
      <c r="C1898" s="3" t="s">
        <v>64</v>
      </c>
      <c r="D1898" s="16" t="s">
        <v>64</v>
      </c>
      <c r="E1898" s="16">
        <v>0</v>
      </c>
      <c r="F1898" s="16" t="s">
        <v>64</v>
      </c>
      <c r="G1898" s="16" t="s">
        <v>64</v>
      </c>
    </row>
    <row r="1899" spans="1:7" x14ac:dyDescent="0.2">
      <c r="A1899" t="s">
        <v>64</v>
      </c>
      <c r="B1899" t="s">
        <v>64</v>
      </c>
      <c r="C1899" s="3" t="s">
        <v>64</v>
      </c>
      <c r="D1899" s="16" t="s">
        <v>64</v>
      </c>
      <c r="E1899" s="16">
        <v>0</v>
      </c>
      <c r="F1899" s="16" t="s">
        <v>64</v>
      </c>
      <c r="G1899" s="16" t="s">
        <v>64</v>
      </c>
    </row>
    <row r="1900" spans="1:7" x14ac:dyDescent="0.2">
      <c r="A1900" t="s">
        <v>64</v>
      </c>
      <c r="B1900" t="s">
        <v>64</v>
      </c>
      <c r="C1900" s="3" t="s">
        <v>64</v>
      </c>
      <c r="D1900" s="16" t="s">
        <v>64</v>
      </c>
      <c r="E1900" s="16">
        <v>0</v>
      </c>
      <c r="F1900" s="16" t="s">
        <v>64</v>
      </c>
      <c r="G1900" s="16" t="s">
        <v>64</v>
      </c>
    </row>
    <row r="1901" spans="1:7" x14ac:dyDescent="0.2">
      <c r="A1901" t="s">
        <v>64</v>
      </c>
      <c r="B1901" t="s">
        <v>64</v>
      </c>
      <c r="C1901" s="3" t="s">
        <v>64</v>
      </c>
      <c r="D1901" s="16" t="s">
        <v>64</v>
      </c>
      <c r="E1901" s="16">
        <v>0</v>
      </c>
      <c r="F1901" s="16" t="s">
        <v>64</v>
      </c>
      <c r="G1901" s="16" t="s">
        <v>64</v>
      </c>
    </row>
    <row r="1902" spans="1:7" x14ac:dyDescent="0.2">
      <c r="A1902" t="s">
        <v>64</v>
      </c>
      <c r="B1902" t="s">
        <v>64</v>
      </c>
      <c r="C1902" s="3" t="s">
        <v>64</v>
      </c>
      <c r="D1902" s="16" t="s">
        <v>64</v>
      </c>
      <c r="E1902" s="16">
        <v>0</v>
      </c>
      <c r="F1902" s="16" t="s">
        <v>64</v>
      </c>
      <c r="G1902" s="16" t="s">
        <v>64</v>
      </c>
    </row>
    <row r="1903" spans="1:7" x14ac:dyDescent="0.2">
      <c r="A1903" t="s">
        <v>64</v>
      </c>
      <c r="B1903" t="s">
        <v>64</v>
      </c>
      <c r="C1903" s="3" t="s">
        <v>64</v>
      </c>
      <c r="D1903" s="16" t="s">
        <v>64</v>
      </c>
      <c r="E1903" s="16">
        <v>0</v>
      </c>
      <c r="F1903" s="16" t="s">
        <v>64</v>
      </c>
      <c r="G1903" s="16" t="s">
        <v>64</v>
      </c>
    </row>
    <row r="1904" spans="1:7" x14ac:dyDescent="0.2">
      <c r="A1904" t="s">
        <v>64</v>
      </c>
      <c r="B1904" t="s">
        <v>64</v>
      </c>
      <c r="C1904" s="3" t="s">
        <v>64</v>
      </c>
      <c r="D1904" s="16" t="s">
        <v>64</v>
      </c>
      <c r="E1904" s="16">
        <v>0</v>
      </c>
      <c r="F1904" s="16" t="s">
        <v>64</v>
      </c>
      <c r="G1904" s="16" t="s">
        <v>64</v>
      </c>
    </row>
    <row r="1905" spans="1:7" x14ac:dyDescent="0.2">
      <c r="A1905" t="s">
        <v>64</v>
      </c>
      <c r="B1905" t="s">
        <v>64</v>
      </c>
      <c r="C1905" s="3" t="s">
        <v>64</v>
      </c>
      <c r="D1905" s="16" t="s">
        <v>64</v>
      </c>
      <c r="E1905" s="16">
        <v>0</v>
      </c>
      <c r="F1905" s="16" t="s">
        <v>64</v>
      </c>
      <c r="G1905" s="16" t="s">
        <v>64</v>
      </c>
    </row>
    <row r="1906" spans="1:7" x14ac:dyDescent="0.2">
      <c r="A1906" t="s">
        <v>64</v>
      </c>
      <c r="B1906" t="s">
        <v>64</v>
      </c>
      <c r="C1906" s="3" t="s">
        <v>64</v>
      </c>
      <c r="D1906" s="16" t="s">
        <v>64</v>
      </c>
      <c r="E1906" s="16">
        <v>0</v>
      </c>
      <c r="F1906" s="16" t="s">
        <v>64</v>
      </c>
      <c r="G1906" s="16" t="s">
        <v>64</v>
      </c>
    </row>
    <row r="1907" spans="1:7" x14ac:dyDescent="0.2">
      <c r="A1907" t="s">
        <v>64</v>
      </c>
      <c r="B1907" t="s">
        <v>64</v>
      </c>
      <c r="C1907" s="3" t="s">
        <v>64</v>
      </c>
      <c r="D1907" s="16" t="s">
        <v>64</v>
      </c>
      <c r="E1907" s="16">
        <v>0</v>
      </c>
      <c r="F1907" s="16" t="s">
        <v>64</v>
      </c>
      <c r="G1907" s="16" t="s">
        <v>64</v>
      </c>
    </row>
    <row r="1908" spans="1:7" x14ac:dyDescent="0.2">
      <c r="A1908" t="s">
        <v>64</v>
      </c>
      <c r="B1908" t="s">
        <v>64</v>
      </c>
      <c r="C1908" s="3" t="s">
        <v>64</v>
      </c>
      <c r="D1908" s="16" t="s">
        <v>64</v>
      </c>
      <c r="E1908" s="16">
        <v>0</v>
      </c>
      <c r="F1908" s="16" t="s">
        <v>64</v>
      </c>
      <c r="G1908" s="16" t="s">
        <v>64</v>
      </c>
    </row>
    <row r="1909" spans="1:7" x14ac:dyDescent="0.2">
      <c r="A1909" t="s">
        <v>64</v>
      </c>
      <c r="B1909" t="s">
        <v>64</v>
      </c>
      <c r="C1909" s="3" t="s">
        <v>64</v>
      </c>
      <c r="D1909" s="16" t="s">
        <v>64</v>
      </c>
      <c r="E1909" s="16">
        <v>0</v>
      </c>
      <c r="F1909" s="16" t="s">
        <v>64</v>
      </c>
      <c r="G1909" s="16" t="s">
        <v>64</v>
      </c>
    </row>
    <row r="1910" spans="1:7" x14ac:dyDescent="0.2">
      <c r="A1910" t="s">
        <v>64</v>
      </c>
      <c r="B1910" t="s">
        <v>64</v>
      </c>
      <c r="C1910" s="3" t="s">
        <v>64</v>
      </c>
      <c r="D1910" s="16" t="s">
        <v>64</v>
      </c>
      <c r="E1910" s="16">
        <v>0</v>
      </c>
      <c r="F1910" s="16" t="s">
        <v>64</v>
      </c>
      <c r="G1910" s="16" t="s">
        <v>64</v>
      </c>
    </row>
    <row r="1911" spans="1:7" x14ac:dyDescent="0.2">
      <c r="A1911" t="s">
        <v>64</v>
      </c>
      <c r="B1911" t="s">
        <v>64</v>
      </c>
      <c r="C1911" s="3" t="s">
        <v>64</v>
      </c>
      <c r="D1911" s="16" t="s">
        <v>64</v>
      </c>
      <c r="E1911" s="16">
        <v>0</v>
      </c>
      <c r="F1911" s="16" t="s">
        <v>64</v>
      </c>
      <c r="G1911" s="16" t="s">
        <v>64</v>
      </c>
    </row>
    <row r="1912" spans="1:7" x14ac:dyDescent="0.2">
      <c r="A1912" t="s">
        <v>64</v>
      </c>
      <c r="B1912" t="s">
        <v>64</v>
      </c>
      <c r="C1912" s="3" t="s">
        <v>64</v>
      </c>
      <c r="D1912" s="16" t="s">
        <v>64</v>
      </c>
      <c r="E1912" s="16">
        <v>0</v>
      </c>
      <c r="F1912" s="16" t="s">
        <v>64</v>
      </c>
      <c r="G1912" s="16" t="s">
        <v>64</v>
      </c>
    </row>
    <row r="1913" spans="1:7" x14ac:dyDescent="0.2">
      <c r="A1913" t="s">
        <v>64</v>
      </c>
      <c r="B1913" t="s">
        <v>64</v>
      </c>
      <c r="C1913" s="3" t="s">
        <v>64</v>
      </c>
      <c r="D1913" s="16" t="s">
        <v>64</v>
      </c>
      <c r="E1913" s="16">
        <v>0</v>
      </c>
      <c r="F1913" s="16" t="s">
        <v>64</v>
      </c>
      <c r="G1913" s="16" t="s">
        <v>64</v>
      </c>
    </row>
    <row r="1914" spans="1:7" x14ac:dyDescent="0.2">
      <c r="A1914" t="s">
        <v>64</v>
      </c>
      <c r="B1914" t="s">
        <v>64</v>
      </c>
      <c r="C1914" s="3" t="s">
        <v>64</v>
      </c>
      <c r="D1914" s="16" t="s">
        <v>64</v>
      </c>
      <c r="E1914" s="16">
        <v>0</v>
      </c>
      <c r="F1914" s="16" t="s">
        <v>64</v>
      </c>
      <c r="G1914" s="16" t="s">
        <v>64</v>
      </c>
    </row>
    <row r="1915" spans="1:7" x14ac:dyDescent="0.2">
      <c r="A1915" t="s">
        <v>64</v>
      </c>
      <c r="B1915" t="s">
        <v>64</v>
      </c>
      <c r="C1915" s="3" t="s">
        <v>64</v>
      </c>
      <c r="D1915" s="16" t="s">
        <v>64</v>
      </c>
      <c r="E1915" s="16">
        <v>0</v>
      </c>
      <c r="F1915" s="16" t="s">
        <v>64</v>
      </c>
      <c r="G1915" s="16" t="s">
        <v>64</v>
      </c>
    </row>
    <row r="1916" spans="1:7" x14ac:dyDescent="0.2">
      <c r="A1916" t="s">
        <v>64</v>
      </c>
      <c r="B1916" t="s">
        <v>64</v>
      </c>
      <c r="C1916" s="3" t="s">
        <v>64</v>
      </c>
      <c r="D1916" s="16" t="s">
        <v>64</v>
      </c>
      <c r="E1916" s="16">
        <v>0</v>
      </c>
      <c r="F1916" s="16" t="s">
        <v>64</v>
      </c>
      <c r="G1916" s="16" t="s">
        <v>64</v>
      </c>
    </row>
    <row r="1917" spans="1:7" x14ac:dyDescent="0.2">
      <c r="A1917" t="s">
        <v>64</v>
      </c>
      <c r="B1917" t="s">
        <v>64</v>
      </c>
      <c r="C1917" s="3" t="s">
        <v>64</v>
      </c>
      <c r="D1917" s="16" t="s">
        <v>64</v>
      </c>
      <c r="E1917" s="16">
        <v>0</v>
      </c>
      <c r="F1917" s="16" t="s">
        <v>64</v>
      </c>
      <c r="G1917" s="16" t="s">
        <v>64</v>
      </c>
    </row>
    <row r="1918" spans="1:7" x14ac:dyDescent="0.2">
      <c r="A1918" t="s">
        <v>64</v>
      </c>
      <c r="B1918" t="s">
        <v>64</v>
      </c>
      <c r="C1918" s="3" t="s">
        <v>64</v>
      </c>
      <c r="D1918" s="16" t="s">
        <v>64</v>
      </c>
      <c r="E1918" s="16">
        <v>0</v>
      </c>
      <c r="F1918" s="16" t="s">
        <v>64</v>
      </c>
      <c r="G1918" s="16" t="s">
        <v>64</v>
      </c>
    </row>
    <row r="1919" spans="1:7" x14ac:dyDescent="0.2">
      <c r="A1919" t="s">
        <v>64</v>
      </c>
      <c r="B1919" t="s">
        <v>64</v>
      </c>
      <c r="C1919" s="3" t="s">
        <v>64</v>
      </c>
      <c r="D1919" s="16" t="s">
        <v>64</v>
      </c>
      <c r="E1919" s="16">
        <v>0</v>
      </c>
      <c r="F1919" s="16" t="s">
        <v>64</v>
      </c>
      <c r="G1919" s="16" t="s">
        <v>64</v>
      </c>
    </row>
    <row r="1920" spans="1:7" x14ac:dyDescent="0.2">
      <c r="A1920" t="s">
        <v>64</v>
      </c>
      <c r="B1920" t="s">
        <v>64</v>
      </c>
      <c r="C1920" s="3" t="s">
        <v>64</v>
      </c>
      <c r="D1920" s="16" t="s">
        <v>64</v>
      </c>
      <c r="E1920" s="16">
        <v>0</v>
      </c>
      <c r="F1920" s="16" t="s">
        <v>64</v>
      </c>
      <c r="G1920" s="16" t="s">
        <v>64</v>
      </c>
    </row>
    <row r="1921" spans="1:7" x14ac:dyDescent="0.2">
      <c r="A1921" t="s">
        <v>64</v>
      </c>
      <c r="B1921" t="s">
        <v>64</v>
      </c>
      <c r="C1921" s="3" t="s">
        <v>64</v>
      </c>
      <c r="D1921" s="16" t="s">
        <v>64</v>
      </c>
      <c r="E1921" s="16">
        <v>0</v>
      </c>
      <c r="F1921" s="16" t="s">
        <v>64</v>
      </c>
      <c r="G1921" s="16" t="s">
        <v>64</v>
      </c>
    </row>
    <row r="1922" spans="1:7" x14ac:dyDescent="0.2">
      <c r="A1922" t="s">
        <v>64</v>
      </c>
      <c r="B1922" t="s">
        <v>64</v>
      </c>
      <c r="C1922" s="3" t="s">
        <v>64</v>
      </c>
      <c r="D1922" s="16" t="s">
        <v>64</v>
      </c>
      <c r="E1922" s="16">
        <v>0</v>
      </c>
      <c r="F1922" s="16" t="s">
        <v>64</v>
      </c>
      <c r="G1922" s="16" t="s">
        <v>64</v>
      </c>
    </row>
    <row r="1923" spans="1:7" x14ac:dyDescent="0.2">
      <c r="A1923" t="s">
        <v>64</v>
      </c>
      <c r="B1923" t="s">
        <v>64</v>
      </c>
      <c r="C1923" s="3" t="s">
        <v>64</v>
      </c>
      <c r="D1923" s="16" t="s">
        <v>64</v>
      </c>
      <c r="E1923" s="16">
        <v>0</v>
      </c>
      <c r="F1923" s="16" t="s">
        <v>64</v>
      </c>
      <c r="G1923" s="16" t="s">
        <v>64</v>
      </c>
    </row>
    <row r="1924" spans="1:7" x14ac:dyDescent="0.2">
      <c r="A1924" t="s">
        <v>64</v>
      </c>
      <c r="B1924" t="s">
        <v>64</v>
      </c>
      <c r="C1924" s="3" t="s">
        <v>64</v>
      </c>
      <c r="D1924" s="16" t="s">
        <v>64</v>
      </c>
      <c r="E1924" s="16">
        <v>0</v>
      </c>
      <c r="F1924" s="16" t="s">
        <v>64</v>
      </c>
      <c r="G1924" s="16" t="s">
        <v>64</v>
      </c>
    </row>
    <row r="1925" spans="1:7" x14ac:dyDescent="0.2">
      <c r="A1925" t="s">
        <v>64</v>
      </c>
      <c r="B1925" t="s">
        <v>64</v>
      </c>
      <c r="C1925" s="3" t="s">
        <v>64</v>
      </c>
      <c r="D1925" s="16" t="s">
        <v>64</v>
      </c>
      <c r="E1925" s="16">
        <v>0</v>
      </c>
      <c r="F1925" s="16" t="s">
        <v>64</v>
      </c>
      <c r="G1925" s="16" t="s">
        <v>64</v>
      </c>
    </row>
    <row r="1926" spans="1:7" x14ac:dyDescent="0.2">
      <c r="A1926" t="s">
        <v>64</v>
      </c>
      <c r="B1926" t="s">
        <v>64</v>
      </c>
      <c r="C1926" s="3" t="s">
        <v>64</v>
      </c>
      <c r="D1926" s="16" t="s">
        <v>64</v>
      </c>
      <c r="E1926" s="16">
        <v>0</v>
      </c>
      <c r="F1926" s="16" t="s">
        <v>64</v>
      </c>
      <c r="G1926" s="16" t="s">
        <v>64</v>
      </c>
    </row>
    <row r="1927" spans="1:7" x14ac:dyDescent="0.2">
      <c r="A1927" t="s">
        <v>64</v>
      </c>
      <c r="B1927" t="s">
        <v>64</v>
      </c>
      <c r="C1927" s="3" t="s">
        <v>64</v>
      </c>
      <c r="D1927" s="16" t="s">
        <v>64</v>
      </c>
      <c r="E1927" s="16">
        <v>0</v>
      </c>
      <c r="F1927" s="16" t="s">
        <v>64</v>
      </c>
      <c r="G1927" s="16" t="s">
        <v>64</v>
      </c>
    </row>
    <row r="1928" spans="1:7" x14ac:dyDescent="0.2">
      <c r="A1928" t="s">
        <v>64</v>
      </c>
      <c r="B1928" t="s">
        <v>64</v>
      </c>
      <c r="C1928" s="3" t="s">
        <v>64</v>
      </c>
      <c r="D1928" s="16" t="s">
        <v>64</v>
      </c>
      <c r="E1928" s="16">
        <v>0</v>
      </c>
      <c r="F1928" s="16" t="s">
        <v>64</v>
      </c>
      <c r="G1928" s="16" t="s">
        <v>64</v>
      </c>
    </row>
    <row r="1929" spans="1:7" x14ac:dyDescent="0.2">
      <c r="A1929" t="s">
        <v>64</v>
      </c>
      <c r="B1929" t="s">
        <v>64</v>
      </c>
      <c r="C1929" s="3" t="s">
        <v>64</v>
      </c>
      <c r="D1929" s="16" t="s">
        <v>64</v>
      </c>
      <c r="E1929" s="16">
        <v>0</v>
      </c>
      <c r="F1929" s="16" t="s">
        <v>64</v>
      </c>
      <c r="G1929" s="16" t="s">
        <v>64</v>
      </c>
    </row>
    <row r="1930" spans="1:7" x14ac:dyDescent="0.2">
      <c r="A1930" t="s">
        <v>64</v>
      </c>
      <c r="B1930" t="s">
        <v>64</v>
      </c>
      <c r="C1930" s="3" t="s">
        <v>64</v>
      </c>
      <c r="D1930" s="16" t="s">
        <v>64</v>
      </c>
      <c r="E1930" s="16">
        <v>0</v>
      </c>
      <c r="F1930" s="16" t="s">
        <v>64</v>
      </c>
      <c r="G1930" s="16" t="s">
        <v>64</v>
      </c>
    </row>
    <row r="1931" spans="1:7" x14ac:dyDescent="0.2">
      <c r="A1931" t="s">
        <v>64</v>
      </c>
      <c r="B1931" t="s">
        <v>64</v>
      </c>
      <c r="C1931" s="3" t="s">
        <v>64</v>
      </c>
      <c r="D1931" s="16" t="s">
        <v>64</v>
      </c>
      <c r="E1931" s="16">
        <v>0</v>
      </c>
      <c r="F1931" s="16" t="s">
        <v>64</v>
      </c>
      <c r="G1931" s="16" t="s">
        <v>64</v>
      </c>
    </row>
    <row r="1932" spans="1:7" x14ac:dyDescent="0.2">
      <c r="A1932" t="s">
        <v>64</v>
      </c>
      <c r="B1932" t="s">
        <v>64</v>
      </c>
      <c r="C1932" s="3" t="s">
        <v>64</v>
      </c>
      <c r="D1932" s="16" t="s">
        <v>64</v>
      </c>
      <c r="E1932" s="16">
        <v>0</v>
      </c>
      <c r="F1932" s="16" t="s">
        <v>64</v>
      </c>
      <c r="G1932" s="16" t="s">
        <v>64</v>
      </c>
    </row>
    <row r="1933" spans="1:7" x14ac:dyDescent="0.2">
      <c r="A1933" t="s">
        <v>64</v>
      </c>
      <c r="B1933" t="s">
        <v>64</v>
      </c>
      <c r="C1933" s="3" t="s">
        <v>64</v>
      </c>
      <c r="D1933" s="16" t="s">
        <v>64</v>
      </c>
      <c r="E1933" s="16">
        <v>0</v>
      </c>
      <c r="F1933" s="16" t="s">
        <v>64</v>
      </c>
      <c r="G1933" s="16" t="s">
        <v>64</v>
      </c>
    </row>
    <row r="1934" spans="1:7" x14ac:dyDescent="0.2">
      <c r="A1934" t="s">
        <v>64</v>
      </c>
      <c r="B1934" t="s">
        <v>64</v>
      </c>
      <c r="C1934" s="3" t="s">
        <v>64</v>
      </c>
      <c r="D1934" s="16" t="s">
        <v>64</v>
      </c>
      <c r="E1934" s="16">
        <v>0</v>
      </c>
      <c r="F1934" s="16" t="s">
        <v>64</v>
      </c>
      <c r="G1934" s="16" t="s">
        <v>64</v>
      </c>
    </row>
    <row r="1935" spans="1:7" x14ac:dyDescent="0.2">
      <c r="A1935" t="s">
        <v>64</v>
      </c>
      <c r="B1935" t="s">
        <v>64</v>
      </c>
      <c r="C1935" s="3" t="s">
        <v>64</v>
      </c>
      <c r="D1935" s="16" t="s">
        <v>64</v>
      </c>
      <c r="E1935" s="16">
        <v>0</v>
      </c>
      <c r="F1935" s="16" t="s">
        <v>64</v>
      </c>
      <c r="G1935" s="16" t="s">
        <v>64</v>
      </c>
    </row>
    <row r="1936" spans="1:7" x14ac:dyDescent="0.2">
      <c r="A1936" t="s">
        <v>64</v>
      </c>
      <c r="B1936" t="s">
        <v>64</v>
      </c>
      <c r="C1936" s="3" t="s">
        <v>64</v>
      </c>
      <c r="D1936" s="16" t="s">
        <v>64</v>
      </c>
      <c r="E1936" s="16">
        <v>0</v>
      </c>
      <c r="F1936" s="16" t="s">
        <v>64</v>
      </c>
      <c r="G1936" s="16" t="s">
        <v>64</v>
      </c>
    </row>
    <row r="1937" spans="1:7" x14ac:dyDescent="0.2">
      <c r="A1937" t="s">
        <v>64</v>
      </c>
      <c r="B1937" t="s">
        <v>64</v>
      </c>
      <c r="C1937" s="3" t="s">
        <v>64</v>
      </c>
      <c r="D1937" s="16" t="s">
        <v>64</v>
      </c>
      <c r="E1937" s="16">
        <v>0</v>
      </c>
      <c r="F1937" s="16" t="s">
        <v>64</v>
      </c>
      <c r="G1937" s="16" t="s">
        <v>64</v>
      </c>
    </row>
    <row r="1938" spans="1:7" x14ac:dyDescent="0.2">
      <c r="A1938" t="s">
        <v>64</v>
      </c>
      <c r="B1938" t="s">
        <v>64</v>
      </c>
      <c r="C1938" s="3" t="s">
        <v>64</v>
      </c>
      <c r="D1938" s="16" t="s">
        <v>64</v>
      </c>
      <c r="E1938" s="16">
        <v>0</v>
      </c>
      <c r="F1938" s="16" t="s">
        <v>64</v>
      </c>
      <c r="G1938" s="16" t="s">
        <v>64</v>
      </c>
    </row>
    <row r="1939" spans="1:7" x14ac:dyDescent="0.2">
      <c r="A1939" t="s">
        <v>64</v>
      </c>
      <c r="B1939" t="s">
        <v>64</v>
      </c>
      <c r="C1939" s="3" t="s">
        <v>64</v>
      </c>
      <c r="D1939" s="16" t="s">
        <v>64</v>
      </c>
      <c r="E1939" s="16">
        <v>0</v>
      </c>
      <c r="F1939" s="16" t="s">
        <v>64</v>
      </c>
      <c r="G1939" s="16" t="s">
        <v>64</v>
      </c>
    </row>
    <row r="1940" spans="1:7" x14ac:dyDescent="0.2">
      <c r="A1940" t="s">
        <v>64</v>
      </c>
      <c r="B1940" t="s">
        <v>64</v>
      </c>
      <c r="C1940" s="3" t="s">
        <v>64</v>
      </c>
      <c r="D1940" s="16" t="s">
        <v>64</v>
      </c>
      <c r="E1940" s="16">
        <v>0</v>
      </c>
      <c r="F1940" s="16" t="s">
        <v>64</v>
      </c>
      <c r="G1940" s="16" t="s">
        <v>64</v>
      </c>
    </row>
    <row r="1941" spans="1:7" x14ac:dyDescent="0.2">
      <c r="A1941" t="s">
        <v>64</v>
      </c>
      <c r="B1941" t="s">
        <v>64</v>
      </c>
      <c r="C1941" s="3" t="s">
        <v>64</v>
      </c>
      <c r="D1941" s="16" t="s">
        <v>64</v>
      </c>
      <c r="E1941" s="16">
        <v>0</v>
      </c>
      <c r="F1941" s="16" t="s">
        <v>64</v>
      </c>
      <c r="G1941" s="16" t="s">
        <v>64</v>
      </c>
    </row>
    <row r="1942" spans="1:7" x14ac:dyDescent="0.2">
      <c r="A1942" t="s">
        <v>64</v>
      </c>
      <c r="B1942" t="s">
        <v>64</v>
      </c>
      <c r="C1942" s="3" t="s">
        <v>64</v>
      </c>
      <c r="D1942" s="16" t="s">
        <v>64</v>
      </c>
      <c r="E1942" s="16">
        <v>0</v>
      </c>
      <c r="F1942" s="16" t="s">
        <v>64</v>
      </c>
      <c r="G1942" s="16" t="s">
        <v>64</v>
      </c>
    </row>
    <row r="1943" spans="1:7" x14ac:dyDescent="0.2">
      <c r="A1943" t="s">
        <v>64</v>
      </c>
      <c r="B1943" t="s">
        <v>64</v>
      </c>
      <c r="C1943" s="3" t="s">
        <v>64</v>
      </c>
      <c r="D1943" s="16" t="s">
        <v>64</v>
      </c>
      <c r="E1943" s="16">
        <v>0</v>
      </c>
      <c r="F1943" s="16" t="s">
        <v>64</v>
      </c>
      <c r="G1943" s="16" t="s">
        <v>64</v>
      </c>
    </row>
    <row r="1944" spans="1:7" x14ac:dyDescent="0.2">
      <c r="A1944" t="s">
        <v>64</v>
      </c>
      <c r="B1944" t="s">
        <v>64</v>
      </c>
      <c r="C1944" s="3" t="s">
        <v>64</v>
      </c>
      <c r="D1944" s="16" t="s">
        <v>64</v>
      </c>
      <c r="E1944" s="16">
        <v>0</v>
      </c>
      <c r="F1944" s="16" t="s">
        <v>64</v>
      </c>
      <c r="G1944" s="16" t="s">
        <v>64</v>
      </c>
    </row>
    <row r="1945" spans="1:7" x14ac:dyDescent="0.2">
      <c r="A1945" t="s">
        <v>64</v>
      </c>
      <c r="B1945" t="s">
        <v>64</v>
      </c>
      <c r="C1945" s="3" t="s">
        <v>64</v>
      </c>
      <c r="D1945" s="16" t="s">
        <v>64</v>
      </c>
      <c r="E1945" s="16">
        <v>0</v>
      </c>
      <c r="F1945" s="16" t="s">
        <v>64</v>
      </c>
      <c r="G1945" s="16" t="s">
        <v>64</v>
      </c>
    </row>
    <row r="1946" spans="1:7" x14ac:dyDescent="0.2">
      <c r="A1946" t="s">
        <v>64</v>
      </c>
      <c r="B1946" t="s">
        <v>64</v>
      </c>
      <c r="C1946" s="3" t="s">
        <v>64</v>
      </c>
      <c r="D1946" s="16" t="s">
        <v>64</v>
      </c>
      <c r="E1946" s="16">
        <v>0</v>
      </c>
      <c r="F1946" s="16" t="s">
        <v>64</v>
      </c>
      <c r="G1946" s="16" t="s">
        <v>64</v>
      </c>
    </row>
    <row r="1947" spans="1:7" x14ac:dyDescent="0.2">
      <c r="A1947" t="s">
        <v>64</v>
      </c>
      <c r="B1947" t="s">
        <v>64</v>
      </c>
      <c r="C1947" s="3" t="s">
        <v>64</v>
      </c>
      <c r="D1947" s="16" t="s">
        <v>64</v>
      </c>
      <c r="E1947" s="16">
        <v>0</v>
      </c>
      <c r="F1947" s="16" t="s">
        <v>64</v>
      </c>
      <c r="G1947" s="16" t="s">
        <v>64</v>
      </c>
    </row>
    <row r="1948" spans="1:7" x14ac:dyDescent="0.2">
      <c r="A1948" t="s">
        <v>64</v>
      </c>
      <c r="B1948" t="s">
        <v>64</v>
      </c>
      <c r="C1948" s="3" t="s">
        <v>64</v>
      </c>
      <c r="D1948" s="16" t="s">
        <v>64</v>
      </c>
      <c r="E1948" s="16">
        <v>0</v>
      </c>
      <c r="F1948" s="16" t="s">
        <v>64</v>
      </c>
      <c r="G1948" s="16" t="s">
        <v>64</v>
      </c>
    </row>
    <row r="1949" spans="1:7" x14ac:dyDescent="0.2">
      <c r="A1949" t="s">
        <v>64</v>
      </c>
      <c r="B1949" t="s">
        <v>64</v>
      </c>
      <c r="C1949" s="3" t="s">
        <v>64</v>
      </c>
      <c r="D1949" s="16" t="s">
        <v>64</v>
      </c>
      <c r="E1949" s="16">
        <v>0</v>
      </c>
      <c r="F1949" s="16" t="s">
        <v>64</v>
      </c>
      <c r="G1949" s="16" t="s">
        <v>64</v>
      </c>
    </row>
    <row r="1950" spans="1:7" x14ac:dyDescent="0.2">
      <c r="A1950" t="s">
        <v>64</v>
      </c>
      <c r="B1950" t="s">
        <v>64</v>
      </c>
      <c r="C1950" s="3" t="s">
        <v>64</v>
      </c>
      <c r="D1950" s="16" t="s">
        <v>64</v>
      </c>
      <c r="E1950" s="16">
        <v>0</v>
      </c>
      <c r="F1950" s="16" t="s">
        <v>64</v>
      </c>
      <c r="G1950" s="16" t="s">
        <v>64</v>
      </c>
    </row>
    <row r="1951" spans="1:7" x14ac:dyDescent="0.2">
      <c r="A1951" t="s">
        <v>64</v>
      </c>
      <c r="B1951" t="s">
        <v>64</v>
      </c>
      <c r="C1951" s="3" t="s">
        <v>64</v>
      </c>
      <c r="D1951" s="16" t="s">
        <v>64</v>
      </c>
      <c r="E1951" s="16">
        <v>0</v>
      </c>
      <c r="F1951" s="16" t="s">
        <v>64</v>
      </c>
      <c r="G1951" s="16" t="s">
        <v>64</v>
      </c>
    </row>
    <row r="1952" spans="1:7" x14ac:dyDescent="0.2">
      <c r="A1952" t="s">
        <v>64</v>
      </c>
      <c r="B1952" t="s">
        <v>64</v>
      </c>
      <c r="C1952" s="3" t="s">
        <v>64</v>
      </c>
      <c r="D1952" s="16" t="s">
        <v>64</v>
      </c>
      <c r="E1952" s="16">
        <v>0</v>
      </c>
      <c r="F1952" s="16" t="s">
        <v>64</v>
      </c>
      <c r="G1952" s="16" t="s">
        <v>64</v>
      </c>
    </row>
    <row r="1953" spans="1:7" x14ac:dyDescent="0.2">
      <c r="A1953" t="s">
        <v>64</v>
      </c>
      <c r="B1953" t="s">
        <v>64</v>
      </c>
      <c r="C1953" s="3" t="s">
        <v>64</v>
      </c>
      <c r="D1953" s="16" t="s">
        <v>64</v>
      </c>
      <c r="E1953" s="16">
        <v>0</v>
      </c>
      <c r="F1953" s="16" t="s">
        <v>64</v>
      </c>
      <c r="G1953" s="16" t="s">
        <v>64</v>
      </c>
    </row>
    <row r="1954" spans="1:7" x14ac:dyDescent="0.2">
      <c r="A1954" t="s">
        <v>64</v>
      </c>
      <c r="B1954" t="s">
        <v>64</v>
      </c>
      <c r="C1954" s="3" t="s">
        <v>64</v>
      </c>
      <c r="D1954" s="16" t="s">
        <v>64</v>
      </c>
      <c r="E1954" s="16">
        <v>0</v>
      </c>
      <c r="F1954" s="16" t="s">
        <v>64</v>
      </c>
      <c r="G1954" s="16" t="s">
        <v>64</v>
      </c>
    </row>
    <row r="1955" spans="1:7" x14ac:dyDescent="0.2">
      <c r="A1955" t="s">
        <v>64</v>
      </c>
      <c r="B1955" t="s">
        <v>64</v>
      </c>
      <c r="C1955" s="3" t="s">
        <v>64</v>
      </c>
      <c r="D1955" s="16" t="s">
        <v>64</v>
      </c>
      <c r="E1955" s="16">
        <v>0</v>
      </c>
      <c r="F1955" s="16" t="s">
        <v>64</v>
      </c>
      <c r="G1955" s="16" t="s">
        <v>64</v>
      </c>
    </row>
    <row r="1956" spans="1:7" x14ac:dyDescent="0.2">
      <c r="A1956" t="s">
        <v>64</v>
      </c>
      <c r="B1956" t="s">
        <v>64</v>
      </c>
      <c r="C1956" s="3" t="s">
        <v>64</v>
      </c>
      <c r="D1956" s="16" t="s">
        <v>64</v>
      </c>
      <c r="E1956" s="16">
        <v>0</v>
      </c>
      <c r="F1956" s="16" t="s">
        <v>64</v>
      </c>
      <c r="G1956" s="16" t="s">
        <v>64</v>
      </c>
    </row>
    <row r="1957" spans="1:7" x14ac:dyDescent="0.2">
      <c r="A1957" t="s">
        <v>64</v>
      </c>
      <c r="B1957" t="s">
        <v>64</v>
      </c>
      <c r="C1957" s="3" t="s">
        <v>64</v>
      </c>
      <c r="D1957" s="16" t="s">
        <v>64</v>
      </c>
      <c r="E1957" s="16">
        <v>0</v>
      </c>
      <c r="F1957" s="16" t="s">
        <v>64</v>
      </c>
      <c r="G1957" s="16" t="s">
        <v>64</v>
      </c>
    </row>
    <row r="1958" spans="1:7" x14ac:dyDescent="0.2">
      <c r="A1958" t="s">
        <v>64</v>
      </c>
      <c r="B1958" t="s">
        <v>64</v>
      </c>
      <c r="C1958" s="3" t="s">
        <v>64</v>
      </c>
      <c r="D1958" s="16" t="s">
        <v>64</v>
      </c>
      <c r="E1958" s="16">
        <v>0</v>
      </c>
      <c r="F1958" s="16" t="s">
        <v>64</v>
      </c>
      <c r="G1958" s="16" t="s">
        <v>64</v>
      </c>
    </row>
    <row r="1959" spans="1:7" x14ac:dyDescent="0.2">
      <c r="A1959" t="s">
        <v>64</v>
      </c>
      <c r="B1959" t="s">
        <v>64</v>
      </c>
      <c r="C1959" s="3" t="s">
        <v>64</v>
      </c>
      <c r="D1959" s="16" t="s">
        <v>64</v>
      </c>
      <c r="E1959" s="16">
        <v>0</v>
      </c>
      <c r="F1959" s="16" t="s">
        <v>64</v>
      </c>
      <c r="G1959" s="16" t="s">
        <v>64</v>
      </c>
    </row>
    <row r="1960" spans="1:7" x14ac:dyDescent="0.2">
      <c r="A1960" t="s">
        <v>64</v>
      </c>
      <c r="B1960" t="s">
        <v>64</v>
      </c>
      <c r="C1960" s="3" t="s">
        <v>64</v>
      </c>
      <c r="D1960" s="16" t="s">
        <v>64</v>
      </c>
      <c r="E1960" s="16">
        <v>0</v>
      </c>
      <c r="F1960" s="16" t="s">
        <v>64</v>
      </c>
      <c r="G1960" s="16" t="s">
        <v>64</v>
      </c>
    </row>
    <row r="1961" spans="1:7" x14ac:dyDescent="0.2">
      <c r="A1961" t="s">
        <v>64</v>
      </c>
      <c r="B1961" t="s">
        <v>64</v>
      </c>
      <c r="C1961" s="3" t="s">
        <v>64</v>
      </c>
      <c r="D1961" s="16" t="s">
        <v>64</v>
      </c>
      <c r="E1961" s="16">
        <v>0</v>
      </c>
      <c r="F1961" s="16" t="s">
        <v>64</v>
      </c>
      <c r="G1961" s="16" t="s">
        <v>64</v>
      </c>
    </row>
    <row r="1962" spans="1:7" x14ac:dyDescent="0.2">
      <c r="A1962" t="s">
        <v>64</v>
      </c>
      <c r="B1962" t="s">
        <v>64</v>
      </c>
      <c r="C1962" s="3" t="s">
        <v>64</v>
      </c>
      <c r="D1962" s="16" t="s">
        <v>64</v>
      </c>
      <c r="E1962" s="16">
        <v>0</v>
      </c>
      <c r="F1962" s="16" t="s">
        <v>64</v>
      </c>
      <c r="G1962" s="16" t="s">
        <v>64</v>
      </c>
    </row>
    <row r="1963" spans="1:7" x14ac:dyDescent="0.2">
      <c r="A1963" t="s">
        <v>64</v>
      </c>
      <c r="B1963" t="s">
        <v>64</v>
      </c>
      <c r="C1963" s="3" t="s">
        <v>64</v>
      </c>
      <c r="D1963" s="16" t="s">
        <v>64</v>
      </c>
      <c r="E1963" s="16">
        <v>0</v>
      </c>
      <c r="F1963" s="16" t="s">
        <v>64</v>
      </c>
      <c r="G1963" s="16" t="s">
        <v>64</v>
      </c>
    </row>
    <row r="1964" spans="1:7" x14ac:dyDescent="0.2">
      <c r="A1964" t="s">
        <v>64</v>
      </c>
      <c r="B1964" t="s">
        <v>64</v>
      </c>
      <c r="C1964" s="3" t="s">
        <v>64</v>
      </c>
      <c r="D1964" s="16" t="s">
        <v>64</v>
      </c>
      <c r="E1964" s="16">
        <v>0</v>
      </c>
      <c r="F1964" s="16" t="s">
        <v>64</v>
      </c>
      <c r="G1964" s="16" t="s">
        <v>64</v>
      </c>
    </row>
    <row r="1965" spans="1:7" x14ac:dyDescent="0.2">
      <c r="A1965" t="s">
        <v>64</v>
      </c>
      <c r="B1965" t="s">
        <v>64</v>
      </c>
      <c r="C1965" s="3" t="s">
        <v>64</v>
      </c>
      <c r="D1965" s="16" t="s">
        <v>64</v>
      </c>
      <c r="E1965" s="16">
        <v>0</v>
      </c>
      <c r="F1965" s="16" t="s">
        <v>64</v>
      </c>
      <c r="G1965" s="16" t="s">
        <v>64</v>
      </c>
    </row>
    <row r="1966" spans="1:7" x14ac:dyDescent="0.2">
      <c r="A1966" t="s">
        <v>64</v>
      </c>
      <c r="B1966" t="s">
        <v>64</v>
      </c>
      <c r="C1966" s="3" t="s">
        <v>64</v>
      </c>
      <c r="D1966" s="16" t="s">
        <v>64</v>
      </c>
      <c r="E1966" s="16">
        <v>0</v>
      </c>
      <c r="F1966" s="16" t="s">
        <v>64</v>
      </c>
      <c r="G1966" s="16" t="s">
        <v>64</v>
      </c>
    </row>
    <row r="1967" spans="1:7" x14ac:dyDescent="0.2">
      <c r="A1967" t="s">
        <v>64</v>
      </c>
      <c r="B1967" t="s">
        <v>64</v>
      </c>
      <c r="C1967" s="3" t="s">
        <v>64</v>
      </c>
      <c r="D1967" s="16" t="s">
        <v>64</v>
      </c>
      <c r="E1967" s="16">
        <v>0</v>
      </c>
      <c r="F1967" s="16" t="s">
        <v>64</v>
      </c>
      <c r="G1967" s="16" t="s">
        <v>64</v>
      </c>
    </row>
    <row r="1968" spans="1:7" x14ac:dyDescent="0.2">
      <c r="A1968" t="s">
        <v>64</v>
      </c>
      <c r="B1968" t="s">
        <v>64</v>
      </c>
      <c r="C1968" s="3" t="s">
        <v>64</v>
      </c>
      <c r="D1968" s="16" t="s">
        <v>64</v>
      </c>
      <c r="E1968" s="16">
        <v>0</v>
      </c>
      <c r="F1968" s="16" t="s">
        <v>64</v>
      </c>
      <c r="G1968" s="16" t="s">
        <v>64</v>
      </c>
    </row>
    <row r="1969" spans="1:7" x14ac:dyDescent="0.2">
      <c r="A1969" t="s">
        <v>64</v>
      </c>
      <c r="B1969" t="s">
        <v>64</v>
      </c>
      <c r="C1969" s="3" t="s">
        <v>64</v>
      </c>
      <c r="D1969" s="16" t="s">
        <v>64</v>
      </c>
      <c r="E1969" s="16">
        <v>0</v>
      </c>
      <c r="F1969" s="16" t="s">
        <v>64</v>
      </c>
      <c r="G1969" s="16" t="s">
        <v>64</v>
      </c>
    </row>
    <row r="1970" spans="1:7" x14ac:dyDescent="0.2">
      <c r="A1970" t="s">
        <v>64</v>
      </c>
      <c r="B1970" t="s">
        <v>64</v>
      </c>
      <c r="C1970" s="3" t="s">
        <v>64</v>
      </c>
      <c r="D1970" s="16" t="s">
        <v>64</v>
      </c>
      <c r="E1970" s="16">
        <v>0</v>
      </c>
      <c r="F1970" s="16" t="s">
        <v>64</v>
      </c>
      <c r="G1970" s="16" t="s">
        <v>64</v>
      </c>
    </row>
    <row r="1971" spans="1:7" x14ac:dyDescent="0.2">
      <c r="A1971" t="s">
        <v>64</v>
      </c>
      <c r="B1971" t="s">
        <v>64</v>
      </c>
      <c r="C1971" s="3" t="s">
        <v>64</v>
      </c>
      <c r="D1971" s="16" t="s">
        <v>64</v>
      </c>
      <c r="E1971" s="16">
        <v>0</v>
      </c>
      <c r="F1971" s="16" t="s">
        <v>64</v>
      </c>
      <c r="G1971" s="16" t="s">
        <v>64</v>
      </c>
    </row>
    <row r="1972" spans="1:7" x14ac:dyDescent="0.2">
      <c r="A1972" t="s">
        <v>64</v>
      </c>
      <c r="B1972" t="s">
        <v>64</v>
      </c>
      <c r="C1972" s="3" t="s">
        <v>64</v>
      </c>
      <c r="D1972" s="16" t="s">
        <v>64</v>
      </c>
      <c r="E1972" s="16">
        <v>0</v>
      </c>
      <c r="F1972" s="16" t="s">
        <v>64</v>
      </c>
      <c r="G1972" s="16" t="s">
        <v>64</v>
      </c>
    </row>
    <row r="1973" spans="1:7" x14ac:dyDescent="0.2">
      <c r="A1973" t="s">
        <v>64</v>
      </c>
      <c r="B1973" t="s">
        <v>64</v>
      </c>
      <c r="C1973" s="3" t="s">
        <v>64</v>
      </c>
      <c r="D1973" s="16" t="s">
        <v>64</v>
      </c>
      <c r="E1973" s="16">
        <v>0</v>
      </c>
      <c r="F1973" s="16" t="s">
        <v>64</v>
      </c>
      <c r="G1973" s="16" t="s">
        <v>64</v>
      </c>
    </row>
    <row r="1974" spans="1:7" x14ac:dyDescent="0.2">
      <c r="A1974" t="s">
        <v>64</v>
      </c>
      <c r="B1974" t="s">
        <v>64</v>
      </c>
      <c r="C1974" s="3" t="s">
        <v>64</v>
      </c>
      <c r="D1974" s="16" t="s">
        <v>64</v>
      </c>
      <c r="E1974" s="16">
        <v>0</v>
      </c>
      <c r="F1974" s="16" t="s">
        <v>64</v>
      </c>
      <c r="G1974" s="16" t="s">
        <v>64</v>
      </c>
    </row>
    <row r="1975" spans="1:7" x14ac:dyDescent="0.2">
      <c r="A1975" t="s">
        <v>64</v>
      </c>
      <c r="B1975" t="s">
        <v>64</v>
      </c>
      <c r="C1975" s="3" t="s">
        <v>64</v>
      </c>
      <c r="D1975" s="16" t="s">
        <v>64</v>
      </c>
      <c r="E1975" s="16">
        <v>0</v>
      </c>
      <c r="F1975" s="16" t="s">
        <v>64</v>
      </c>
      <c r="G1975" s="16" t="s">
        <v>64</v>
      </c>
    </row>
    <row r="1976" spans="1:7" x14ac:dyDescent="0.2">
      <c r="A1976" t="s">
        <v>64</v>
      </c>
      <c r="B1976" t="s">
        <v>64</v>
      </c>
      <c r="C1976" s="3" t="s">
        <v>64</v>
      </c>
      <c r="D1976" s="16" t="s">
        <v>64</v>
      </c>
      <c r="E1976" s="16">
        <v>0</v>
      </c>
      <c r="F1976" s="16" t="s">
        <v>64</v>
      </c>
      <c r="G1976" s="16" t="s">
        <v>64</v>
      </c>
    </row>
    <row r="1977" spans="1:7" x14ac:dyDescent="0.2">
      <c r="A1977" t="s">
        <v>64</v>
      </c>
      <c r="B1977" t="s">
        <v>64</v>
      </c>
      <c r="C1977" s="3" t="s">
        <v>64</v>
      </c>
      <c r="D1977" s="16" t="s">
        <v>64</v>
      </c>
      <c r="E1977" s="16">
        <v>0</v>
      </c>
      <c r="F1977" s="16" t="s">
        <v>64</v>
      </c>
      <c r="G1977" s="16" t="s">
        <v>64</v>
      </c>
    </row>
    <row r="1978" spans="1:7" x14ac:dyDescent="0.2">
      <c r="A1978" t="s">
        <v>64</v>
      </c>
      <c r="B1978" t="s">
        <v>64</v>
      </c>
      <c r="C1978" s="3" t="s">
        <v>64</v>
      </c>
      <c r="D1978" s="16" t="s">
        <v>64</v>
      </c>
      <c r="E1978" s="16">
        <v>0</v>
      </c>
      <c r="F1978" s="16" t="s">
        <v>64</v>
      </c>
      <c r="G1978" s="16" t="s">
        <v>64</v>
      </c>
    </row>
    <row r="1979" spans="1:7" x14ac:dyDescent="0.2">
      <c r="A1979" t="s">
        <v>64</v>
      </c>
      <c r="B1979" t="s">
        <v>64</v>
      </c>
      <c r="C1979" s="3" t="s">
        <v>64</v>
      </c>
      <c r="D1979" s="16" t="s">
        <v>64</v>
      </c>
      <c r="E1979" s="16">
        <v>0</v>
      </c>
      <c r="F1979" s="16" t="s">
        <v>64</v>
      </c>
      <c r="G1979" s="16" t="s">
        <v>64</v>
      </c>
    </row>
    <row r="1980" spans="1:7" x14ac:dyDescent="0.2">
      <c r="A1980" t="s">
        <v>64</v>
      </c>
      <c r="B1980" t="s">
        <v>64</v>
      </c>
      <c r="C1980" s="3" t="s">
        <v>64</v>
      </c>
      <c r="D1980" s="16" t="s">
        <v>64</v>
      </c>
      <c r="E1980" s="16">
        <v>0</v>
      </c>
      <c r="F1980" s="16" t="s">
        <v>64</v>
      </c>
      <c r="G1980" s="16" t="s">
        <v>64</v>
      </c>
    </row>
    <row r="1981" spans="1:7" x14ac:dyDescent="0.2">
      <c r="A1981" t="s">
        <v>64</v>
      </c>
      <c r="B1981" t="s">
        <v>64</v>
      </c>
      <c r="C1981" s="3" t="s">
        <v>64</v>
      </c>
      <c r="D1981" s="16" t="s">
        <v>64</v>
      </c>
      <c r="E1981" s="16">
        <v>0</v>
      </c>
      <c r="F1981" s="16" t="s">
        <v>64</v>
      </c>
      <c r="G1981" s="16" t="s">
        <v>64</v>
      </c>
    </row>
    <row r="1982" spans="1:7" x14ac:dyDescent="0.2">
      <c r="A1982" t="s">
        <v>64</v>
      </c>
      <c r="B1982" t="s">
        <v>64</v>
      </c>
      <c r="C1982" s="3" t="s">
        <v>64</v>
      </c>
      <c r="D1982" s="16" t="s">
        <v>64</v>
      </c>
      <c r="E1982" s="16">
        <v>0</v>
      </c>
      <c r="F1982" s="16" t="s">
        <v>64</v>
      </c>
      <c r="G1982" s="16" t="s">
        <v>64</v>
      </c>
    </row>
    <row r="1983" spans="1:7" x14ac:dyDescent="0.2">
      <c r="A1983" t="s">
        <v>64</v>
      </c>
      <c r="B1983" t="s">
        <v>64</v>
      </c>
      <c r="C1983" s="3" t="s">
        <v>64</v>
      </c>
      <c r="D1983" s="16" t="s">
        <v>64</v>
      </c>
      <c r="E1983" s="16">
        <v>0</v>
      </c>
      <c r="F1983" s="16" t="s">
        <v>64</v>
      </c>
      <c r="G1983" s="16" t="s">
        <v>64</v>
      </c>
    </row>
    <row r="1984" spans="1:7" x14ac:dyDescent="0.2">
      <c r="A1984" t="s">
        <v>64</v>
      </c>
      <c r="B1984" t="s">
        <v>64</v>
      </c>
      <c r="C1984" s="3" t="s">
        <v>64</v>
      </c>
      <c r="D1984" s="16" t="s">
        <v>64</v>
      </c>
      <c r="E1984" s="16">
        <v>0</v>
      </c>
      <c r="F1984" s="16" t="s">
        <v>64</v>
      </c>
      <c r="G1984" s="16" t="s">
        <v>64</v>
      </c>
    </row>
    <row r="1985" spans="1:7" x14ac:dyDescent="0.2">
      <c r="A1985" t="s">
        <v>64</v>
      </c>
      <c r="B1985" t="s">
        <v>64</v>
      </c>
      <c r="C1985" s="3" t="s">
        <v>64</v>
      </c>
      <c r="D1985" s="16" t="s">
        <v>64</v>
      </c>
      <c r="E1985" s="16">
        <v>0</v>
      </c>
      <c r="F1985" s="16" t="s">
        <v>64</v>
      </c>
      <c r="G1985" s="16" t="s">
        <v>64</v>
      </c>
    </row>
    <row r="1986" spans="1:7" x14ac:dyDescent="0.2">
      <c r="A1986" t="s">
        <v>64</v>
      </c>
      <c r="B1986" t="s">
        <v>64</v>
      </c>
      <c r="C1986" s="3" t="s">
        <v>64</v>
      </c>
      <c r="D1986" s="16" t="s">
        <v>64</v>
      </c>
      <c r="E1986" s="16">
        <v>0</v>
      </c>
      <c r="F1986" s="16" t="s">
        <v>64</v>
      </c>
      <c r="G1986" s="16" t="s">
        <v>64</v>
      </c>
    </row>
    <row r="1987" spans="1:7" x14ac:dyDescent="0.2">
      <c r="A1987" t="s">
        <v>64</v>
      </c>
      <c r="B1987" t="s">
        <v>64</v>
      </c>
      <c r="C1987" s="3" t="s">
        <v>64</v>
      </c>
      <c r="D1987" s="16" t="s">
        <v>64</v>
      </c>
      <c r="E1987" s="16">
        <v>0</v>
      </c>
      <c r="F1987" s="16" t="s">
        <v>64</v>
      </c>
      <c r="G1987" s="16" t="s">
        <v>64</v>
      </c>
    </row>
    <row r="1988" spans="1:7" x14ac:dyDescent="0.2">
      <c r="A1988" t="s">
        <v>64</v>
      </c>
      <c r="B1988" t="s">
        <v>64</v>
      </c>
      <c r="C1988" s="3" t="s">
        <v>64</v>
      </c>
      <c r="D1988" s="16" t="s">
        <v>64</v>
      </c>
      <c r="E1988" s="16">
        <v>0</v>
      </c>
      <c r="F1988" s="16" t="s">
        <v>64</v>
      </c>
      <c r="G1988" s="16" t="s">
        <v>64</v>
      </c>
    </row>
    <row r="1989" spans="1:7" x14ac:dyDescent="0.2">
      <c r="A1989" t="s">
        <v>64</v>
      </c>
      <c r="B1989" t="s">
        <v>64</v>
      </c>
      <c r="C1989" s="3" t="s">
        <v>64</v>
      </c>
      <c r="D1989" s="16" t="s">
        <v>64</v>
      </c>
      <c r="E1989" s="16">
        <v>0</v>
      </c>
      <c r="F1989" s="16" t="s">
        <v>64</v>
      </c>
      <c r="G1989" s="16" t="s">
        <v>64</v>
      </c>
    </row>
    <row r="1990" spans="1:7" x14ac:dyDescent="0.2">
      <c r="A1990" t="s">
        <v>64</v>
      </c>
      <c r="B1990" t="s">
        <v>64</v>
      </c>
      <c r="C1990" s="3" t="s">
        <v>64</v>
      </c>
      <c r="D1990" s="16" t="s">
        <v>64</v>
      </c>
      <c r="E1990" s="16">
        <v>0</v>
      </c>
      <c r="F1990" s="16" t="s">
        <v>64</v>
      </c>
      <c r="G1990" s="16" t="s">
        <v>64</v>
      </c>
    </row>
    <row r="1991" spans="1:7" x14ac:dyDescent="0.2">
      <c r="A1991" t="s">
        <v>64</v>
      </c>
      <c r="B1991" t="s">
        <v>64</v>
      </c>
      <c r="C1991" s="3" t="s">
        <v>64</v>
      </c>
      <c r="D1991" s="16" t="s">
        <v>64</v>
      </c>
      <c r="E1991" s="16">
        <v>0</v>
      </c>
      <c r="F1991" s="16" t="s">
        <v>64</v>
      </c>
      <c r="G1991" s="16" t="s">
        <v>64</v>
      </c>
    </row>
    <row r="1992" spans="1:7" x14ac:dyDescent="0.2">
      <c r="A1992" t="s">
        <v>64</v>
      </c>
      <c r="B1992" t="s">
        <v>64</v>
      </c>
      <c r="C1992" s="3" t="s">
        <v>64</v>
      </c>
      <c r="D1992" s="16" t="s">
        <v>64</v>
      </c>
      <c r="E1992" s="16">
        <v>0</v>
      </c>
      <c r="F1992" s="16" t="s">
        <v>64</v>
      </c>
      <c r="G1992" s="16" t="s">
        <v>64</v>
      </c>
    </row>
    <row r="1993" spans="1:7" x14ac:dyDescent="0.2">
      <c r="A1993" t="s">
        <v>64</v>
      </c>
      <c r="B1993" t="s">
        <v>64</v>
      </c>
      <c r="C1993" s="3" t="s">
        <v>64</v>
      </c>
      <c r="D1993" s="16" t="s">
        <v>64</v>
      </c>
      <c r="E1993" s="16">
        <v>0</v>
      </c>
      <c r="F1993" s="16" t="s">
        <v>64</v>
      </c>
      <c r="G1993" s="16" t="s">
        <v>64</v>
      </c>
    </row>
    <row r="1994" spans="1:7" x14ac:dyDescent="0.2">
      <c r="A1994" t="s">
        <v>64</v>
      </c>
      <c r="B1994" t="s">
        <v>64</v>
      </c>
      <c r="C1994" s="3" t="s">
        <v>64</v>
      </c>
      <c r="D1994" s="16" t="s">
        <v>64</v>
      </c>
      <c r="E1994" s="16">
        <v>0</v>
      </c>
      <c r="F1994" s="16" t="s">
        <v>64</v>
      </c>
      <c r="G1994" s="16" t="s">
        <v>64</v>
      </c>
    </row>
    <row r="1995" spans="1:7" x14ac:dyDescent="0.2">
      <c r="A1995" t="s">
        <v>64</v>
      </c>
      <c r="B1995" t="s">
        <v>64</v>
      </c>
      <c r="C1995" s="3" t="s">
        <v>64</v>
      </c>
      <c r="D1995" s="16" t="s">
        <v>64</v>
      </c>
      <c r="E1995" s="16">
        <v>0</v>
      </c>
      <c r="F1995" s="16" t="s">
        <v>64</v>
      </c>
      <c r="G1995" s="16" t="s">
        <v>64</v>
      </c>
    </row>
    <row r="1996" spans="1:7" x14ac:dyDescent="0.2">
      <c r="A1996" t="s">
        <v>64</v>
      </c>
      <c r="B1996" t="s">
        <v>64</v>
      </c>
      <c r="C1996" s="3" t="s">
        <v>64</v>
      </c>
      <c r="D1996" s="16" t="s">
        <v>64</v>
      </c>
      <c r="E1996" s="16">
        <v>0</v>
      </c>
      <c r="F1996" s="16" t="s">
        <v>64</v>
      </c>
      <c r="G1996" s="16" t="s">
        <v>64</v>
      </c>
    </row>
    <row r="1997" spans="1:7" x14ac:dyDescent="0.2">
      <c r="A1997" t="s">
        <v>64</v>
      </c>
      <c r="B1997" t="s">
        <v>64</v>
      </c>
      <c r="C1997" s="3" t="s">
        <v>64</v>
      </c>
      <c r="D1997" s="16" t="s">
        <v>64</v>
      </c>
      <c r="E1997" s="16">
        <v>0</v>
      </c>
      <c r="F1997" s="16" t="s">
        <v>64</v>
      </c>
      <c r="G1997" s="16" t="s">
        <v>64</v>
      </c>
    </row>
    <row r="1998" spans="1:7" x14ac:dyDescent="0.2">
      <c r="A1998" t="s">
        <v>64</v>
      </c>
      <c r="B1998" t="s">
        <v>64</v>
      </c>
      <c r="C1998" s="3" t="s">
        <v>64</v>
      </c>
      <c r="D1998" s="16" t="s">
        <v>64</v>
      </c>
      <c r="E1998" s="16">
        <v>0</v>
      </c>
      <c r="F1998" s="16" t="s">
        <v>64</v>
      </c>
      <c r="G1998" s="16" t="s">
        <v>64</v>
      </c>
    </row>
    <row r="1999" spans="1:7" x14ac:dyDescent="0.2">
      <c r="A1999" t="s">
        <v>64</v>
      </c>
      <c r="B1999" t="s">
        <v>64</v>
      </c>
      <c r="C1999" s="3" t="s">
        <v>64</v>
      </c>
      <c r="D1999" s="16" t="s">
        <v>64</v>
      </c>
      <c r="E1999" s="16">
        <v>0</v>
      </c>
      <c r="F1999" s="16" t="s">
        <v>64</v>
      </c>
      <c r="G1999" s="16" t="s">
        <v>64</v>
      </c>
    </row>
    <row r="2000" spans="1:7" x14ac:dyDescent="0.2">
      <c r="A2000" t="s">
        <v>64</v>
      </c>
      <c r="B2000" t="s">
        <v>64</v>
      </c>
      <c r="C2000" s="3" t="s">
        <v>64</v>
      </c>
      <c r="D2000" s="16" t="s">
        <v>64</v>
      </c>
      <c r="E2000" s="16">
        <v>0</v>
      </c>
      <c r="F2000" s="16" t="s">
        <v>64</v>
      </c>
      <c r="G2000" s="16" t="s">
        <v>64</v>
      </c>
    </row>
    <row r="2001" spans="1:7" x14ac:dyDescent="0.2">
      <c r="A2001" t="s">
        <v>64</v>
      </c>
      <c r="B2001" t="s">
        <v>64</v>
      </c>
      <c r="C2001" s="3" t="s">
        <v>64</v>
      </c>
      <c r="D2001" s="16" t="s">
        <v>64</v>
      </c>
      <c r="E2001" s="16">
        <v>0</v>
      </c>
      <c r="F2001" s="16" t="s">
        <v>64</v>
      </c>
      <c r="G2001" s="16" t="s">
        <v>64</v>
      </c>
    </row>
    <row r="2002" spans="1:7" x14ac:dyDescent="0.2">
      <c r="A2002" t="s">
        <v>64</v>
      </c>
      <c r="B2002" t="s">
        <v>64</v>
      </c>
      <c r="C2002" s="3" t="s">
        <v>64</v>
      </c>
      <c r="D2002" s="16" t="s">
        <v>64</v>
      </c>
      <c r="E2002" s="16">
        <v>0</v>
      </c>
      <c r="F2002" s="16" t="s">
        <v>64</v>
      </c>
      <c r="G2002" s="16" t="s">
        <v>64</v>
      </c>
    </row>
    <row r="2003" spans="1:7" x14ac:dyDescent="0.2">
      <c r="A2003" t="s">
        <v>64</v>
      </c>
      <c r="B2003" t="s">
        <v>64</v>
      </c>
      <c r="C2003" s="3" t="s">
        <v>64</v>
      </c>
      <c r="D2003" s="16" t="s">
        <v>64</v>
      </c>
      <c r="E2003" s="16">
        <v>0</v>
      </c>
      <c r="F2003" s="16" t="s">
        <v>64</v>
      </c>
      <c r="G2003" s="16" t="s">
        <v>64</v>
      </c>
    </row>
    <row r="2004" spans="1:7" x14ac:dyDescent="0.2">
      <c r="A2004" t="s">
        <v>64</v>
      </c>
      <c r="B2004" t="s">
        <v>64</v>
      </c>
      <c r="C2004" s="3" t="s">
        <v>64</v>
      </c>
      <c r="D2004" s="16" t="s">
        <v>64</v>
      </c>
      <c r="E2004" s="16">
        <v>0</v>
      </c>
      <c r="F2004" s="16" t="s">
        <v>64</v>
      </c>
      <c r="G2004" s="16" t="s">
        <v>64</v>
      </c>
    </row>
    <row r="2005" spans="1:7" x14ac:dyDescent="0.2">
      <c r="A2005" t="s">
        <v>64</v>
      </c>
      <c r="B2005" t="s">
        <v>64</v>
      </c>
      <c r="C2005" s="3" t="s">
        <v>64</v>
      </c>
      <c r="D2005" s="16" t="s">
        <v>64</v>
      </c>
      <c r="E2005" s="16">
        <v>0</v>
      </c>
      <c r="F2005" s="16" t="s">
        <v>64</v>
      </c>
      <c r="G2005" s="16" t="s">
        <v>64</v>
      </c>
    </row>
    <row r="2006" spans="1:7" x14ac:dyDescent="0.2">
      <c r="A2006" t="s">
        <v>64</v>
      </c>
      <c r="B2006" t="s">
        <v>64</v>
      </c>
      <c r="C2006" s="3" t="s">
        <v>64</v>
      </c>
      <c r="D2006" s="16" t="s">
        <v>64</v>
      </c>
      <c r="E2006" s="16">
        <v>0</v>
      </c>
      <c r="F2006" s="16" t="s">
        <v>64</v>
      </c>
      <c r="G2006" s="16" t="s">
        <v>64</v>
      </c>
    </row>
    <row r="2007" spans="1:7" x14ac:dyDescent="0.2">
      <c r="A2007" t="s">
        <v>64</v>
      </c>
      <c r="B2007" t="s">
        <v>64</v>
      </c>
      <c r="C2007" s="3" t="s">
        <v>64</v>
      </c>
      <c r="D2007" s="16" t="s">
        <v>64</v>
      </c>
      <c r="E2007" s="16">
        <v>0</v>
      </c>
      <c r="F2007" s="16" t="s">
        <v>64</v>
      </c>
      <c r="G2007" s="16" t="s">
        <v>64</v>
      </c>
    </row>
    <row r="2008" spans="1:7" x14ac:dyDescent="0.2">
      <c r="A2008" t="s">
        <v>64</v>
      </c>
      <c r="B2008" t="s">
        <v>64</v>
      </c>
      <c r="C2008" s="3" t="s">
        <v>64</v>
      </c>
      <c r="D2008" s="16" t="s">
        <v>64</v>
      </c>
      <c r="E2008" s="16">
        <v>0</v>
      </c>
      <c r="F2008" s="16" t="s">
        <v>64</v>
      </c>
      <c r="G2008" s="16" t="s">
        <v>64</v>
      </c>
    </row>
    <row r="2009" spans="1:7" x14ac:dyDescent="0.2">
      <c r="A2009" t="s">
        <v>64</v>
      </c>
      <c r="B2009" t="s">
        <v>64</v>
      </c>
      <c r="C2009" s="3" t="s">
        <v>64</v>
      </c>
      <c r="D2009" s="16" t="s">
        <v>64</v>
      </c>
      <c r="E2009" s="16">
        <v>0</v>
      </c>
      <c r="F2009" s="16" t="s">
        <v>64</v>
      </c>
      <c r="G2009" s="16" t="s">
        <v>64</v>
      </c>
    </row>
    <row r="2010" spans="1:7" x14ac:dyDescent="0.2">
      <c r="A2010" t="s">
        <v>64</v>
      </c>
      <c r="B2010" t="s">
        <v>64</v>
      </c>
      <c r="C2010" s="3" t="s">
        <v>64</v>
      </c>
      <c r="D2010" s="16" t="s">
        <v>64</v>
      </c>
      <c r="E2010" s="16">
        <v>0</v>
      </c>
      <c r="F2010" s="16" t="s">
        <v>64</v>
      </c>
      <c r="G2010" s="16" t="s">
        <v>64</v>
      </c>
    </row>
    <row r="2011" spans="1:7" x14ac:dyDescent="0.2">
      <c r="A2011" t="s">
        <v>64</v>
      </c>
      <c r="B2011" t="s">
        <v>64</v>
      </c>
      <c r="C2011" s="3" t="s">
        <v>64</v>
      </c>
      <c r="D2011" s="16" t="s">
        <v>64</v>
      </c>
      <c r="E2011" s="16">
        <v>0</v>
      </c>
      <c r="F2011" s="16" t="s">
        <v>64</v>
      </c>
      <c r="G2011" s="16" t="s">
        <v>64</v>
      </c>
    </row>
    <row r="2012" spans="1:7" x14ac:dyDescent="0.2">
      <c r="A2012" t="s">
        <v>64</v>
      </c>
      <c r="B2012" t="s">
        <v>64</v>
      </c>
      <c r="C2012" s="3" t="s">
        <v>64</v>
      </c>
      <c r="D2012" s="16" t="s">
        <v>64</v>
      </c>
      <c r="E2012" s="16">
        <v>0</v>
      </c>
      <c r="F2012" s="16" t="s">
        <v>64</v>
      </c>
      <c r="G2012" s="16" t="s">
        <v>64</v>
      </c>
    </row>
    <row r="2013" spans="1:7" x14ac:dyDescent="0.2">
      <c r="A2013" t="s">
        <v>64</v>
      </c>
      <c r="B2013" t="s">
        <v>64</v>
      </c>
      <c r="C2013" s="3" t="s">
        <v>64</v>
      </c>
      <c r="D2013" s="16" t="s">
        <v>64</v>
      </c>
      <c r="E2013" s="16">
        <v>0</v>
      </c>
      <c r="F2013" s="16" t="s">
        <v>64</v>
      </c>
      <c r="G2013" s="16" t="s">
        <v>64</v>
      </c>
    </row>
    <row r="2014" spans="1:7" x14ac:dyDescent="0.2">
      <c r="A2014" t="s">
        <v>64</v>
      </c>
      <c r="B2014" t="s">
        <v>64</v>
      </c>
      <c r="C2014" s="3" t="s">
        <v>64</v>
      </c>
      <c r="D2014" s="16" t="s">
        <v>64</v>
      </c>
      <c r="E2014" s="16">
        <v>0</v>
      </c>
      <c r="F2014" s="16" t="s">
        <v>64</v>
      </c>
      <c r="G2014" s="16" t="s">
        <v>64</v>
      </c>
    </row>
    <row r="2015" spans="1:7" x14ac:dyDescent="0.2">
      <c r="A2015" t="s">
        <v>64</v>
      </c>
      <c r="B2015" t="s">
        <v>64</v>
      </c>
      <c r="C2015" s="3" t="s">
        <v>64</v>
      </c>
      <c r="D2015" s="16" t="s">
        <v>64</v>
      </c>
      <c r="E2015" s="16">
        <v>0</v>
      </c>
      <c r="F2015" s="16" t="s">
        <v>64</v>
      </c>
      <c r="G2015" s="16" t="s">
        <v>64</v>
      </c>
    </row>
    <row r="2016" spans="1:7" x14ac:dyDescent="0.2">
      <c r="A2016" t="s">
        <v>64</v>
      </c>
      <c r="B2016" t="s">
        <v>64</v>
      </c>
      <c r="C2016" s="3" t="s">
        <v>64</v>
      </c>
      <c r="D2016" s="16" t="s">
        <v>64</v>
      </c>
      <c r="E2016" s="16">
        <v>0</v>
      </c>
      <c r="F2016" s="16" t="s">
        <v>64</v>
      </c>
      <c r="G2016" s="16" t="s">
        <v>64</v>
      </c>
    </row>
    <row r="2017" spans="1:7" x14ac:dyDescent="0.2">
      <c r="A2017" t="s">
        <v>64</v>
      </c>
      <c r="B2017" t="s">
        <v>64</v>
      </c>
      <c r="C2017" s="3" t="s">
        <v>64</v>
      </c>
      <c r="D2017" s="16" t="s">
        <v>64</v>
      </c>
      <c r="E2017" s="16">
        <v>0</v>
      </c>
      <c r="F2017" s="16" t="s">
        <v>64</v>
      </c>
      <c r="G2017" s="16" t="s">
        <v>64</v>
      </c>
    </row>
    <row r="2018" spans="1:7" x14ac:dyDescent="0.2">
      <c r="A2018" t="s">
        <v>64</v>
      </c>
      <c r="B2018" t="s">
        <v>64</v>
      </c>
      <c r="C2018" s="3" t="s">
        <v>64</v>
      </c>
      <c r="D2018" s="16" t="s">
        <v>64</v>
      </c>
      <c r="E2018" s="16">
        <v>0</v>
      </c>
      <c r="F2018" s="16" t="s">
        <v>64</v>
      </c>
      <c r="G2018" s="16" t="s">
        <v>64</v>
      </c>
    </row>
    <row r="2019" spans="1:7" x14ac:dyDescent="0.2">
      <c r="A2019" t="s">
        <v>64</v>
      </c>
      <c r="B2019" t="s">
        <v>64</v>
      </c>
      <c r="C2019" s="3" t="s">
        <v>64</v>
      </c>
      <c r="D2019" s="16" t="s">
        <v>64</v>
      </c>
      <c r="E2019" s="16">
        <v>0</v>
      </c>
      <c r="F2019" s="16" t="s">
        <v>64</v>
      </c>
      <c r="G2019" s="16" t="s">
        <v>64</v>
      </c>
    </row>
    <row r="2020" spans="1:7" x14ac:dyDescent="0.2">
      <c r="A2020" t="s">
        <v>64</v>
      </c>
      <c r="B2020" t="s">
        <v>64</v>
      </c>
      <c r="C2020" s="3" t="s">
        <v>64</v>
      </c>
      <c r="D2020" s="16" t="s">
        <v>64</v>
      </c>
      <c r="E2020" s="16">
        <v>0</v>
      </c>
      <c r="F2020" s="16" t="s">
        <v>64</v>
      </c>
      <c r="G2020" s="16" t="s">
        <v>64</v>
      </c>
    </row>
    <row r="2021" spans="1:7" x14ac:dyDescent="0.2">
      <c r="A2021" t="s">
        <v>64</v>
      </c>
      <c r="B2021" t="s">
        <v>64</v>
      </c>
      <c r="C2021" s="3" t="s">
        <v>64</v>
      </c>
      <c r="D2021" s="16" t="s">
        <v>64</v>
      </c>
      <c r="E2021" s="16">
        <v>0</v>
      </c>
      <c r="F2021" s="16" t="s">
        <v>64</v>
      </c>
      <c r="G2021" s="16" t="s">
        <v>64</v>
      </c>
    </row>
    <row r="2022" spans="1:7" x14ac:dyDescent="0.2">
      <c r="A2022" t="s">
        <v>64</v>
      </c>
      <c r="B2022" t="s">
        <v>64</v>
      </c>
      <c r="C2022" s="3" t="s">
        <v>64</v>
      </c>
      <c r="D2022" s="16" t="s">
        <v>64</v>
      </c>
      <c r="E2022" s="16">
        <v>0</v>
      </c>
      <c r="F2022" s="16" t="s">
        <v>64</v>
      </c>
      <c r="G2022" s="16" t="s">
        <v>64</v>
      </c>
    </row>
    <row r="2023" spans="1:7" x14ac:dyDescent="0.2">
      <c r="A2023" t="s">
        <v>64</v>
      </c>
      <c r="B2023" t="s">
        <v>64</v>
      </c>
      <c r="C2023" s="3" t="s">
        <v>64</v>
      </c>
      <c r="D2023" s="16" t="s">
        <v>64</v>
      </c>
      <c r="E2023" s="16">
        <v>0</v>
      </c>
      <c r="F2023" s="16" t="s">
        <v>64</v>
      </c>
      <c r="G2023" s="16" t="s">
        <v>64</v>
      </c>
    </row>
    <row r="2024" spans="1:7" x14ac:dyDescent="0.2">
      <c r="A2024" t="s">
        <v>64</v>
      </c>
      <c r="B2024" t="s">
        <v>64</v>
      </c>
      <c r="C2024" s="3" t="s">
        <v>64</v>
      </c>
      <c r="D2024" s="16" t="s">
        <v>64</v>
      </c>
      <c r="E2024" s="16">
        <v>0</v>
      </c>
      <c r="F2024" s="16" t="s">
        <v>64</v>
      </c>
      <c r="G2024" s="16" t="s">
        <v>64</v>
      </c>
    </row>
    <row r="2025" spans="1:7" x14ac:dyDescent="0.2">
      <c r="A2025" t="s">
        <v>64</v>
      </c>
      <c r="B2025" t="s">
        <v>64</v>
      </c>
      <c r="C2025" s="3" t="s">
        <v>64</v>
      </c>
      <c r="D2025" s="16" t="s">
        <v>64</v>
      </c>
      <c r="E2025" s="16">
        <v>0</v>
      </c>
      <c r="F2025" s="16" t="s">
        <v>64</v>
      </c>
      <c r="G2025" s="16" t="s">
        <v>64</v>
      </c>
    </row>
    <row r="2026" spans="1:7" x14ac:dyDescent="0.2">
      <c r="A2026" t="s">
        <v>64</v>
      </c>
      <c r="B2026" t="s">
        <v>64</v>
      </c>
      <c r="C2026" s="3" t="s">
        <v>64</v>
      </c>
      <c r="D2026" s="16" t="s">
        <v>64</v>
      </c>
      <c r="E2026" s="16">
        <v>0</v>
      </c>
      <c r="F2026" s="16" t="s">
        <v>64</v>
      </c>
      <c r="G2026" s="16" t="s">
        <v>64</v>
      </c>
    </row>
    <row r="2027" spans="1:7" x14ac:dyDescent="0.2">
      <c r="A2027" t="s">
        <v>64</v>
      </c>
      <c r="B2027" t="s">
        <v>64</v>
      </c>
      <c r="C2027" s="3" t="s">
        <v>64</v>
      </c>
      <c r="D2027" s="16" t="s">
        <v>64</v>
      </c>
      <c r="E2027" s="16">
        <v>0</v>
      </c>
      <c r="F2027" s="16" t="s">
        <v>64</v>
      </c>
      <c r="G2027" s="16" t="s">
        <v>64</v>
      </c>
    </row>
    <row r="2028" spans="1:7" x14ac:dyDescent="0.2">
      <c r="A2028" t="s">
        <v>64</v>
      </c>
      <c r="B2028" t="s">
        <v>64</v>
      </c>
      <c r="C2028" s="3" t="s">
        <v>64</v>
      </c>
      <c r="D2028" s="16" t="s">
        <v>64</v>
      </c>
      <c r="E2028" s="16">
        <v>0</v>
      </c>
      <c r="F2028" s="16" t="s">
        <v>64</v>
      </c>
      <c r="G2028" s="16" t="s">
        <v>64</v>
      </c>
    </row>
    <row r="2029" spans="1:7" x14ac:dyDescent="0.2">
      <c r="A2029" t="s">
        <v>64</v>
      </c>
      <c r="B2029" t="s">
        <v>64</v>
      </c>
      <c r="C2029" s="3" t="s">
        <v>64</v>
      </c>
      <c r="D2029" s="16" t="s">
        <v>64</v>
      </c>
      <c r="E2029" s="16">
        <v>0</v>
      </c>
      <c r="F2029" s="16" t="s">
        <v>64</v>
      </c>
      <c r="G2029" s="16" t="s">
        <v>64</v>
      </c>
    </row>
    <row r="2030" spans="1:7" x14ac:dyDescent="0.2">
      <c r="A2030" t="s">
        <v>64</v>
      </c>
      <c r="B2030" t="s">
        <v>64</v>
      </c>
      <c r="C2030" s="3" t="s">
        <v>64</v>
      </c>
      <c r="D2030" s="16" t="s">
        <v>64</v>
      </c>
      <c r="E2030" s="16">
        <v>0</v>
      </c>
      <c r="F2030" s="16" t="s">
        <v>64</v>
      </c>
      <c r="G2030" s="16" t="s">
        <v>64</v>
      </c>
    </row>
    <row r="2031" spans="1:7" x14ac:dyDescent="0.2">
      <c r="A2031" t="s">
        <v>64</v>
      </c>
      <c r="B2031" t="s">
        <v>64</v>
      </c>
      <c r="C2031" s="3" t="s">
        <v>64</v>
      </c>
      <c r="D2031" s="16" t="s">
        <v>64</v>
      </c>
      <c r="E2031" s="16">
        <v>0</v>
      </c>
      <c r="F2031" s="16" t="s">
        <v>64</v>
      </c>
      <c r="G2031" s="16" t="s">
        <v>64</v>
      </c>
    </row>
    <row r="2032" spans="1:7" x14ac:dyDescent="0.2">
      <c r="A2032" t="s">
        <v>64</v>
      </c>
      <c r="B2032" t="s">
        <v>64</v>
      </c>
      <c r="C2032" s="3" t="s">
        <v>64</v>
      </c>
      <c r="D2032" s="16" t="s">
        <v>64</v>
      </c>
      <c r="E2032" s="16">
        <v>0</v>
      </c>
      <c r="F2032" s="16" t="s">
        <v>64</v>
      </c>
      <c r="G2032" s="16" t="s">
        <v>64</v>
      </c>
    </row>
    <row r="2033" spans="1:7" x14ac:dyDescent="0.2">
      <c r="A2033" t="s">
        <v>64</v>
      </c>
      <c r="B2033" t="s">
        <v>64</v>
      </c>
      <c r="C2033" s="3" t="s">
        <v>64</v>
      </c>
      <c r="D2033" s="16" t="s">
        <v>64</v>
      </c>
      <c r="E2033" s="16">
        <v>0</v>
      </c>
      <c r="F2033" s="16" t="s">
        <v>64</v>
      </c>
      <c r="G2033" s="16" t="s">
        <v>64</v>
      </c>
    </row>
    <row r="2034" spans="1:7" x14ac:dyDescent="0.2">
      <c r="A2034" t="s">
        <v>64</v>
      </c>
      <c r="B2034" t="s">
        <v>64</v>
      </c>
      <c r="C2034" s="3" t="s">
        <v>64</v>
      </c>
      <c r="D2034" s="16" t="s">
        <v>64</v>
      </c>
      <c r="E2034" s="16">
        <v>0</v>
      </c>
      <c r="F2034" s="16" t="s">
        <v>64</v>
      </c>
      <c r="G2034" s="16" t="s">
        <v>64</v>
      </c>
    </row>
    <row r="2035" spans="1:7" x14ac:dyDescent="0.2">
      <c r="A2035" t="s">
        <v>64</v>
      </c>
      <c r="B2035" t="s">
        <v>64</v>
      </c>
      <c r="C2035" s="3" t="s">
        <v>64</v>
      </c>
      <c r="D2035" s="16" t="s">
        <v>64</v>
      </c>
      <c r="E2035" s="16">
        <v>0</v>
      </c>
      <c r="F2035" s="16" t="s">
        <v>64</v>
      </c>
      <c r="G2035" s="16" t="s">
        <v>64</v>
      </c>
    </row>
    <row r="2036" spans="1:7" x14ac:dyDescent="0.2">
      <c r="A2036" t="s">
        <v>64</v>
      </c>
      <c r="B2036" t="s">
        <v>64</v>
      </c>
      <c r="C2036" s="3" t="s">
        <v>64</v>
      </c>
      <c r="D2036" s="16" t="s">
        <v>64</v>
      </c>
      <c r="E2036" s="16">
        <v>0</v>
      </c>
      <c r="F2036" s="16" t="s">
        <v>64</v>
      </c>
      <c r="G2036" s="16" t="s">
        <v>64</v>
      </c>
    </row>
    <row r="2037" spans="1:7" x14ac:dyDescent="0.2">
      <c r="A2037" t="s">
        <v>64</v>
      </c>
      <c r="B2037" t="s">
        <v>64</v>
      </c>
      <c r="C2037" s="3" t="s">
        <v>64</v>
      </c>
      <c r="D2037" s="16" t="s">
        <v>64</v>
      </c>
      <c r="E2037" s="16">
        <v>0</v>
      </c>
      <c r="F2037" s="16" t="s">
        <v>64</v>
      </c>
      <c r="G2037" s="16" t="s">
        <v>64</v>
      </c>
    </row>
    <row r="2038" spans="1:7" x14ac:dyDescent="0.2">
      <c r="A2038" t="s">
        <v>64</v>
      </c>
      <c r="B2038" t="s">
        <v>64</v>
      </c>
      <c r="C2038" s="3" t="s">
        <v>64</v>
      </c>
      <c r="D2038" s="16" t="s">
        <v>64</v>
      </c>
      <c r="E2038" s="16">
        <v>0</v>
      </c>
      <c r="F2038" s="16" t="s">
        <v>64</v>
      </c>
      <c r="G2038" s="16" t="s">
        <v>64</v>
      </c>
    </row>
    <row r="2039" spans="1:7" x14ac:dyDescent="0.2">
      <c r="A2039" t="s">
        <v>64</v>
      </c>
      <c r="B2039" t="s">
        <v>64</v>
      </c>
      <c r="C2039" s="3" t="s">
        <v>64</v>
      </c>
      <c r="D2039" s="16" t="s">
        <v>64</v>
      </c>
      <c r="E2039" s="16">
        <v>0</v>
      </c>
      <c r="F2039" s="16" t="s">
        <v>64</v>
      </c>
      <c r="G2039" s="16" t="s">
        <v>64</v>
      </c>
    </row>
    <row r="2040" spans="1:7" x14ac:dyDescent="0.2">
      <c r="A2040" t="s">
        <v>64</v>
      </c>
      <c r="B2040" t="s">
        <v>64</v>
      </c>
      <c r="C2040" s="3" t="s">
        <v>64</v>
      </c>
      <c r="D2040" s="16" t="s">
        <v>64</v>
      </c>
      <c r="E2040" s="16">
        <v>0</v>
      </c>
      <c r="F2040" s="16" t="s">
        <v>64</v>
      </c>
      <c r="G2040" s="16" t="s">
        <v>64</v>
      </c>
    </row>
    <row r="2041" spans="1:7" x14ac:dyDescent="0.2">
      <c r="A2041" t="s">
        <v>64</v>
      </c>
      <c r="B2041" t="s">
        <v>64</v>
      </c>
      <c r="C2041" s="3" t="s">
        <v>64</v>
      </c>
      <c r="D2041" s="16" t="s">
        <v>64</v>
      </c>
      <c r="E2041" s="16">
        <v>0</v>
      </c>
      <c r="F2041" s="16" t="s">
        <v>64</v>
      </c>
      <c r="G2041" s="16" t="s">
        <v>64</v>
      </c>
    </row>
    <row r="2042" spans="1:7" x14ac:dyDescent="0.2">
      <c r="A2042" t="s">
        <v>64</v>
      </c>
      <c r="B2042" t="s">
        <v>64</v>
      </c>
      <c r="C2042" s="3" t="s">
        <v>64</v>
      </c>
      <c r="D2042" s="16" t="s">
        <v>64</v>
      </c>
      <c r="E2042" s="16">
        <v>0</v>
      </c>
      <c r="F2042" s="16" t="s">
        <v>64</v>
      </c>
      <c r="G2042" s="16" t="s">
        <v>64</v>
      </c>
    </row>
    <row r="2043" spans="1:7" x14ac:dyDescent="0.2">
      <c r="A2043" t="s">
        <v>64</v>
      </c>
      <c r="B2043" t="s">
        <v>64</v>
      </c>
      <c r="C2043" s="3" t="s">
        <v>64</v>
      </c>
      <c r="D2043" s="16" t="s">
        <v>64</v>
      </c>
      <c r="E2043" s="16">
        <v>0</v>
      </c>
      <c r="F2043" s="16" t="s">
        <v>64</v>
      </c>
      <c r="G2043" s="16" t="s">
        <v>64</v>
      </c>
    </row>
    <row r="2044" spans="1:7" x14ac:dyDescent="0.2">
      <c r="A2044" t="s">
        <v>64</v>
      </c>
      <c r="B2044" t="s">
        <v>64</v>
      </c>
      <c r="C2044" s="3" t="s">
        <v>64</v>
      </c>
      <c r="D2044" s="16" t="s">
        <v>64</v>
      </c>
      <c r="E2044" s="16">
        <v>0</v>
      </c>
      <c r="F2044" s="16" t="s">
        <v>64</v>
      </c>
      <c r="G2044" s="16" t="s">
        <v>64</v>
      </c>
    </row>
    <row r="2045" spans="1:7" x14ac:dyDescent="0.2">
      <c r="A2045" t="s">
        <v>64</v>
      </c>
      <c r="B2045" t="s">
        <v>64</v>
      </c>
      <c r="C2045" s="3" t="s">
        <v>64</v>
      </c>
      <c r="D2045" s="16" t="s">
        <v>64</v>
      </c>
      <c r="E2045" s="16">
        <v>0</v>
      </c>
      <c r="F2045" s="16" t="s">
        <v>64</v>
      </c>
      <c r="G2045" s="16" t="s">
        <v>64</v>
      </c>
    </row>
    <row r="2046" spans="1:7" x14ac:dyDescent="0.2">
      <c r="A2046" t="s">
        <v>64</v>
      </c>
      <c r="B2046" t="s">
        <v>64</v>
      </c>
      <c r="C2046" s="3" t="s">
        <v>64</v>
      </c>
      <c r="D2046" s="16" t="s">
        <v>64</v>
      </c>
      <c r="E2046" s="16">
        <v>0</v>
      </c>
      <c r="F2046" s="16" t="s">
        <v>64</v>
      </c>
      <c r="G2046" s="16" t="s">
        <v>64</v>
      </c>
    </row>
    <row r="2047" spans="1:7" x14ac:dyDescent="0.2">
      <c r="A2047" t="s">
        <v>64</v>
      </c>
      <c r="B2047" t="s">
        <v>64</v>
      </c>
      <c r="C2047" s="3" t="s">
        <v>64</v>
      </c>
      <c r="D2047" s="16" t="s">
        <v>64</v>
      </c>
      <c r="E2047" s="16">
        <v>0</v>
      </c>
      <c r="F2047" s="16" t="s">
        <v>64</v>
      </c>
      <c r="G2047" s="16" t="s">
        <v>64</v>
      </c>
    </row>
    <row r="2048" spans="1:7" x14ac:dyDescent="0.2">
      <c r="A2048" t="s">
        <v>64</v>
      </c>
      <c r="B2048" t="s">
        <v>64</v>
      </c>
      <c r="C2048" s="3" t="s">
        <v>64</v>
      </c>
      <c r="D2048" s="16" t="s">
        <v>64</v>
      </c>
      <c r="E2048" s="16">
        <v>0</v>
      </c>
      <c r="F2048" s="16" t="s">
        <v>64</v>
      </c>
      <c r="G2048" s="16" t="s">
        <v>64</v>
      </c>
    </row>
    <row r="2049" spans="1:7" x14ac:dyDescent="0.2">
      <c r="A2049" t="s">
        <v>64</v>
      </c>
      <c r="B2049" t="s">
        <v>64</v>
      </c>
      <c r="C2049" s="3" t="s">
        <v>64</v>
      </c>
      <c r="D2049" s="16" t="s">
        <v>64</v>
      </c>
      <c r="E2049" s="16">
        <v>0</v>
      </c>
      <c r="F2049" s="16" t="s">
        <v>64</v>
      </c>
      <c r="G2049" s="16" t="s">
        <v>64</v>
      </c>
    </row>
    <row r="2050" spans="1:7" x14ac:dyDescent="0.2">
      <c r="A2050" t="s">
        <v>64</v>
      </c>
      <c r="B2050" t="s">
        <v>64</v>
      </c>
      <c r="C2050" s="3" t="s">
        <v>64</v>
      </c>
      <c r="D2050" s="16" t="s">
        <v>64</v>
      </c>
      <c r="E2050" s="16">
        <v>0</v>
      </c>
      <c r="F2050" s="16" t="s">
        <v>64</v>
      </c>
      <c r="G2050" s="16" t="s">
        <v>64</v>
      </c>
    </row>
    <row r="2051" spans="1:7" x14ac:dyDescent="0.2">
      <c r="A2051" t="s">
        <v>64</v>
      </c>
      <c r="B2051" t="s">
        <v>64</v>
      </c>
      <c r="C2051" s="3" t="s">
        <v>64</v>
      </c>
      <c r="D2051" s="16" t="s">
        <v>64</v>
      </c>
      <c r="E2051" s="16">
        <v>0</v>
      </c>
      <c r="F2051" s="16" t="s">
        <v>64</v>
      </c>
      <c r="G2051" s="16" t="s">
        <v>64</v>
      </c>
    </row>
    <row r="2052" spans="1:7" x14ac:dyDescent="0.2">
      <c r="A2052" t="s">
        <v>64</v>
      </c>
      <c r="B2052" t="s">
        <v>64</v>
      </c>
      <c r="C2052" s="3" t="s">
        <v>64</v>
      </c>
      <c r="D2052" s="16" t="s">
        <v>64</v>
      </c>
      <c r="E2052" s="16">
        <v>0</v>
      </c>
      <c r="F2052" s="16" t="s">
        <v>64</v>
      </c>
      <c r="G2052" s="16" t="s">
        <v>64</v>
      </c>
    </row>
    <row r="2053" spans="1:7" x14ac:dyDescent="0.2">
      <c r="A2053" t="s">
        <v>64</v>
      </c>
      <c r="B2053" t="s">
        <v>64</v>
      </c>
      <c r="C2053" s="3" t="s">
        <v>64</v>
      </c>
      <c r="D2053" s="16" t="s">
        <v>64</v>
      </c>
      <c r="E2053" s="16">
        <v>0</v>
      </c>
      <c r="F2053" s="16" t="s">
        <v>64</v>
      </c>
      <c r="G2053" s="16" t="s">
        <v>64</v>
      </c>
    </row>
    <row r="2054" spans="1:7" x14ac:dyDescent="0.2">
      <c r="A2054" t="s">
        <v>64</v>
      </c>
      <c r="B2054" t="s">
        <v>64</v>
      </c>
      <c r="C2054" s="3" t="s">
        <v>64</v>
      </c>
      <c r="D2054" s="16" t="s">
        <v>64</v>
      </c>
      <c r="E2054" s="16">
        <v>0</v>
      </c>
      <c r="F2054" s="16" t="s">
        <v>64</v>
      </c>
      <c r="G2054" s="16" t="s">
        <v>64</v>
      </c>
    </row>
    <row r="2055" spans="1:7" x14ac:dyDescent="0.2">
      <c r="A2055" t="s">
        <v>64</v>
      </c>
      <c r="B2055" t="s">
        <v>64</v>
      </c>
      <c r="C2055" s="3" t="s">
        <v>64</v>
      </c>
      <c r="D2055" s="16" t="s">
        <v>64</v>
      </c>
      <c r="E2055" s="16">
        <v>0</v>
      </c>
      <c r="F2055" s="16" t="s">
        <v>64</v>
      </c>
      <c r="G2055" s="16" t="s">
        <v>64</v>
      </c>
    </row>
    <row r="2056" spans="1:7" x14ac:dyDescent="0.2">
      <c r="A2056" t="s">
        <v>64</v>
      </c>
      <c r="B2056" t="s">
        <v>64</v>
      </c>
      <c r="C2056" s="3" t="s">
        <v>64</v>
      </c>
      <c r="D2056" s="16" t="s">
        <v>64</v>
      </c>
      <c r="E2056" s="16">
        <v>0</v>
      </c>
      <c r="F2056" s="16" t="s">
        <v>64</v>
      </c>
      <c r="G2056" s="16" t="s">
        <v>64</v>
      </c>
    </row>
    <row r="2057" spans="1:7" x14ac:dyDescent="0.2">
      <c r="A2057" t="s">
        <v>64</v>
      </c>
      <c r="B2057" t="s">
        <v>64</v>
      </c>
      <c r="C2057" s="3" t="s">
        <v>64</v>
      </c>
      <c r="D2057" s="16" t="s">
        <v>64</v>
      </c>
      <c r="E2057" s="16">
        <v>0</v>
      </c>
      <c r="F2057" s="16" t="s">
        <v>64</v>
      </c>
      <c r="G2057" s="16" t="s">
        <v>64</v>
      </c>
    </row>
    <row r="2058" spans="1:7" x14ac:dyDescent="0.2">
      <c r="A2058" t="s">
        <v>64</v>
      </c>
      <c r="B2058" t="s">
        <v>64</v>
      </c>
      <c r="C2058" s="3" t="s">
        <v>64</v>
      </c>
      <c r="D2058" s="16" t="s">
        <v>64</v>
      </c>
      <c r="E2058" s="16">
        <v>0</v>
      </c>
      <c r="F2058" s="16" t="s">
        <v>64</v>
      </c>
      <c r="G2058" s="16" t="s">
        <v>64</v>
      </c>
    </row>
    <row r="2059" spans="1:7" x14ac:dyDescent="0.2">
      <c r="A2059" t="s">
        <v>64</v>
      </c>
      <c r="B2059" t="s">
        <v>64</v>
      </c>
      <c r="C2059" s="3" t="s">
        <v>64</v>
      </c>
      <c r="D2059" s="16" t="s">
        <v>64</v>
      </c>
      <c r="E2059" s="16">
        <v>0</v>
      </c>
      <c r="F2059" s="16" t="s">
        <v>64</v>
      </c>
      <c r="G2059" s="16" t="s">
        <v>64</v>
      </c>
    </row>
    <row r="2060" spans="1:7" x14ac:dyDescent="0.2">
      <c r="A2060" t="s">
        <v>64</v>
      </c>
      <c r="B2060" t="s">
        <v>64</v>
      </c>
      <c r="C2060" s="3" t="s">
        <v>64</v>
      </c>
      <c r="D2060" s="16" t="s">
        <v>64</v>
      </c>
      <c r="E2060" s="16">
        <v>0</v>
      </c>
      <c r="F2060" s="16" t="s">
        <v>64</v>
      </c>
      <c r="G2060" s="16" t="s">
        <v>64</v>
      </c>
    </row>
    <row r="2061" spans="1:7" x14ac:dyDescent="0.2">
      <c r="A2061" t="s">
        <v>64</v>
      </c>
      <c r="B2061" t="s">
        <v>64</v>
      </c>
      <c r="C2061" s="3" t="s">
        <v>64</v>
      </c>
      <c r="D2061" s="16" t="s">
        <v>64</v>
      </c>
      <c r="E2061" s="16">
        <v>0</v>
      </c>
      <c r="F2061" s="16" t="s">
        <v>64</v>
      </c>
      <c r="G2061" s="16" t="s">
        <v>64</v>
      </c>
    </row>
    <row r="2062" spans="1:7" x14ac:dyDescent="0.2">
      <c r="A2062" t="s">
        <v>64</v>
      </c>
      <c r="B2062" t="s">
        <v>64</v>
      </c>
      <c r="C2062" s="3" t="s">
        <v>64</v>
      </c>
      <c r="D2062" s="16" t="s">
        <v>64</v>
      </c>
      <c r="E2062" s="16">
        <v>0</v>
      </c>
      <c r="F2062" s="16" t="s">
        <v>64</v>
      </c>
      <c r="G2062" s="16" t="s">
        <v>64</v>
      </c>
    </row>
    <row r="2063" spans="1:7" x14ac:dyDescent="0.2">
      <c r="A2063" t="s">
        <v>64</v>
      </c>
      <c r="B2063" t="s">
        <v>64</v>
      </c>
      <c r="C2063" s="3" t="s">
        <v>64</v>
      </c>
      <c r="D2063" s="16" t="s">
        <v>64</v>
      </c>
      <c r="E2063" s="16">
        <v>0</v>
      </c>
      <c r="F2063" s="16" t="s">
        <v>64</v>
      </c>
      <c r="G2063" s="16" t="s">
        <v>64</v>
      </c>
    </row>
    <row r="2064" spans="1:7" x14ac:dyDescent="0.2">
      <c r="A2064" t="s">
        <v>64</v>
      </c>
      <c r="B2064" t="s">
        <v>64</v>
      </c>
      <c r="C2064" s="3" t="s">
        <v>64</v>
      </c>
      <c r="D2064" s="16" t="s">
        <v>64</v>
      </c>
      <c r="E2064" s="16">
        <v>0</v>
      </c>
      <c r="F2064" s="16" t="s">
        <v>64</v>
      </c>
      <c r="G2064" s="16" t="s">
        <v>64</v>
      </c>
    </row>
    <row r="2065" spans="1:7" x14ac:dyDescent="0.2">
      <c r="A2065" t="s">
        <v>64</v>
      </c>
      <c r="B2065" t="s">
        <v>64</v>
      </c>
      <c r="C2065" s="3" t="s">
        <v>64</v>
      </c>
      <c r="D2065" s="16" t="s">
        <v>64</v>
      </c>
      <c r="E2065" s="16">
        <v>0</v>
      </c>
      <c r="F2065" s="16" t="s">
        <v>64</v>
      </c>
      <c r="G2065" s="16" t="s">
        <v>64</v>
      </c>
    </row>
    <row r="2066" spans="1:7" x14ac:dyDescent="0.2">
      <c r="A2066" t="s">
        <v>64</v>
      </c>
      <c r="B2066" t="s">
        <v>64</v>
      </c>
      <c r="C2066" s="3" t="s">
        <v>64</v>
      </c>
      <c r="D2066" s="16" t="s">
        <v>64</v>
      </c>
      <c r="E2066" s="16">
        <v>0</v>
      </c>
      <c r="F2066" s="16" t="s">
        <v>64</v>
      </c>
      <c r="G2066" s="16" t="s">
        <v>64</v>
      </c>
    </row>
    <row r="2067" spans="1:7" x14ac:dyDescent="0.2">
      <c r="A2067" t="s">
        <v>64</v>
      </c>
      <c r="B2067" t="s">
        <v>64</v>
      </c>
      <c r="C2067" s="3" t="s">
        <v>64</v>
      </c>
      <c r="D2067" s="16" t="s">
        <v>64</v>
      </c>
      <c r="E2067" s="16">
        <v>0</v>
      </c>
      <c r="F2067" s="16" t="s">
        <v>64</v>
      </c>
      <c r="G2067" s="16" t="s">
        <v>64</v>
      </c>
    </row>
    <row r="2068" spans="1:7" x14ac:dyDescent="0.2">
      <c r="A2068" t="s">
        <v>64</v>
      </c>
      <c r="B2068" t="s">
        <v>64</v>
      </c>
      <c r="C2068" s="3" t="s">
        <v>64</v>
      </c>
      <c r="D2068" s="16" t="s">
        <v>64</v>
      </c>
      <c r="E2068" s="16">
        <v>0</v>
      </c>
      <c r="F2068" s="16" t="s">
        <v>64</v>
      </c>
      <c r="G2068" s="16" t="s">
        <v>64</v>
      </c>
    </row>
    <row r="2069" spans="1:7" x14ac:dyDescent="0.2">
      <c r="A2069" t="s">
        <v>64</v>
      </c>
      <c r="B2069" t="s">
        <v>64</v>
      </c>
      <c r="C2069" s="3" t="s">
        <v>64</v>
      </c>
      <c r="D2069" s="16" t="s">
        <v>64</v>
      </c>
      <c r="E2069" s="16">
        <v>0</v>
      </c>
      <c r="F2069" s="16" t="s">
        <v>64</v>
      </c>
      <c r="G2069" s="16" t="s">
        <v>64</v>
      </c>
    </row>
    <row r="2070" spans="1:7" x14ac:dyDescent="0.2">
      <c r="A2070" t="s">
        <v>64</v>
      </c>
      <c r="B2070" t="s">
        <v>64</v>
      </c>
      <c r="C2070" s="3" t="s">
        <v>64</v>
      </c>
      <c r="D2070" s="16" t="s">
        <v>64</v>
      </c>
      <c r="E2070" s="16">
        <v>0</v>
      </c>
      <c r="F2070" s="16" t="s">
        <v>64</v>
      </c>
      <c r="G2070" s="16" t="s">
        <v>64</v>
      </c>
    </row>
    <row r="2071" spans="1:7" x14ac:dyDescent="0.2">
      <c r="A2071" t="s">
        <v>64</v>
      </c>
      <c r="B2071" t="s">
        <v>64</v>
      </c>
      <c r="C2071" s="3" t="s">
        <v>64</v>
      </c>
      <c r="D2071" s="16" t="s">
        <v>64</v>
      </c>
      <c r="E2071" s="16">
        <v>0</v>
      </c>
      <c r="F2071" s="16" t="s">
        <v>64</v>
      </c>
      <c r="G2071" s="16" t="s">
        <v>64</v>
      </c>
    </row>
    <row r="2072" spans="1:7" x14ac:dyDescent="0.2">
      <c r="A2072" t="s">
        <v>64</v>
      </c>
      <c r="B2072" t="s">
        <v>64</v>
      </c>
      <c r="C2072" s="3" t="s">
        <v>64</v>
      </c>
      <c r="D2072" s="16" t="s">
        <v>64</v>
      </c>
      <c r="E2072" s="16">
        <v>0</v>
      </c>
      <c r="F2072" s="16" t="s">
        <v>64</v>
      </c>
      <c r="G2072" s="16" t="s">
        <v>64</v>
      </c>
    </row>
    <row r="2073" spans="1:7" x14ac:dyDescent="0.2">
      <c r="A2073" t="s">
        <v>64</v>
      </c>
      <c r="B2073" t="s">
        <v>64</v>
      </c>
      <c r="C2073" s="3" t="s">
        <v>64</v>
      </c>
      <c r="D2073" s="16" t="s">
        <v>64</v>
      </c>
      <c r="E2073" s="16">
        <v>0</v>
      </c>
      <c r="F2073" s="16" t="s">
        <v>64</v>
      </c>
      <c r="G2073" s="16" t="s">
        <v>64</v>
      </c>
    </row>
    <row r="2074" spans="1:7" x14ac:dyDescent="0.2">
      <c r="A2074" t="s">
        <v>64</v>
      </c>
      <c r="B2074" t="s">
        <v>64</v>
      </c>
      <c r="C2074" s="3" t="s">
        <v>64</v>
      </c>
      <c r="D2074" s="16" t="s">
        <v>64</v>
      </c>
      <c r="E2074" s="16">
        <v>0</v>
      </c>
      <c r="F2074" s="16" t="s">
        <v>64</v>
      </c>
      <c r="G2074" s="16" t="s">
        <v>64</v>
      </c>
    </row>
    <row r="2075" spans="1:7" x14ac:dyDescent="0.2">
      <c r="A2075" t="s">
        <v>64</v>
      </c>
      <c r="B2075" t="s">
        <v>64</v>
      </c>
      <c r="C2075" s="3" t="s">
        <v>64</v>
      </c>
      <c r="D2075" s="16" t="s">
        <v>64</v>
      </c>
      <c r="E2075" s="16">
        <v>0</v>
      </c>
      <c r="F2075" s="16" t="s">
        <v>64</v>
      </c>
      <c r="G2075" s="16" t="s">
        <v>64</v>
      </c>
    </row>
    <row r="2076" spans="1:7" x14ac:dyDescent="0.2">
      <c r="A2076" t="s">
        <v>64</v>
      </c>
      <c r="B2076" t="s">
        <v>64</v>
      </c>
      <c r="C2076" s="3" t="s">
        <v>64</v>
      </c>
      <c r="D2076" s="16" t="s">
        <v>64</v>
      </c>
      <c r="E2076" s="16">
        <v>0</v>
      </c>
      <c r="F2076" s="16" t="s">
        <v>64</v>
      </c>
      <c r="G2076" s="16" t="s">
        <v>64</v>
      </c>
    </row>
    <row r="2077" spans="1:7" x14ac:dyDescent="0.2">
      <c r="A2077" t="s">
        <v>64</v>
      </c>
      <c r="B2077" t="s">
        <v>64</v>
      </c>
      <c r="C2077" s="3" t="s">
        <v>64</v>
      </c>
      <c r="D2077" s="16" t="s">
        <v>64</v>
      </c>
      <c r="E2077" s="16">
        <v>0</v>
      </c>
      <c r="F2077" s="16" t="s">
        <v>64</v>
      </c>
      <c r="G2077" s="16" t="s">
        <v>64</v>
      </c>
    </row>
    <row r="2078" spans="1:7" x14ac:dyDescent="0.2">
      <c r="A2078" t="s">
        <v>64</v>
      </c>
      <c r="B2078" t="s">
        <v>64</v>
      </c>
      <c r="C2078" s="3" t="s">
        <v>64</v>
      </c>
      <c r="D2078" s="16" t="s">
        <v>64</v>
      </c>
      <c r="E2078" s="16">
        <v>0</v>
      </c>
      <c r="F2078" s="16" t="s">
        <v>64</v>
      </c>
      <c r="G2078" s="16" t="s">
        <v>64</v>
      </c>
    </row>
    <row r="2079" spans="1:7" x14ac:dyDescent="0.2">
      <c r="A2079" t="s">
        <v>64</v>
      </c>
      <c r="B2079" t="s">
        <v>64</v>
      </c>
      <c r="C2079" s="3" t="s">
        <v>64</v>
      </c>
      <c r="D2079" s="16" t="s">
        <v>64</v>
      </c>
      <c r="E2079" s="16">
        <v>0</v>
      </c>
      <c r="F2079" s="16" t="s">
        <v>64</v>
      </c>
      <c r="G2079" s="16" t="s">
        <v>64</v>
      </c>
    </row>
    <row r="2080" spans="1:7" x14ac:dyDescent="0.2">
      <c r="A2080" t="s">
        <v>64</v>
      </c>
      <c r="B2080" t="s">
        <v>64</v>
      </c>
      <c r="C2080" s="3" t="s">
        <v>64</v>
      </c>
      <c r="D2080" s="16" t="s">
        <v>64</v>
      </c>
      <c r="E2080" s="16">
        <v>0</v>
      </c>
      <c r="F2080" s="16" t="s">
        <v>64</v>
      </c>
      <c r="G2080" s="16" t="s">
        <v>64</v>
      </c>
    </row>
    <row r="2081" spans="1:7" x14ac:dyDescent="0.2">
      <c r="A2081" t="s">
        <v>64</v>
      </c>
      <c r="B2081" t="s">
        <v>64</v>
      </c>
      <c r="C2081" s="3" t="s">
        <v>64</v>
      </c>
      <c r="D2081" s="16" t="s">
        <v>64</v>
      </c>
      <c r="E2081" s="16">
        <v>0</v>
      </c>
      <c r="F2081" s="16" t="s">
        <v>64</v>
      </c>
      <c r="G2081" s="16" t="s">
        <v>64</v>
      </c>
    </row>
    <row r="2082" spans="1:7" x14ac:dyDescent="0.2">
      <c r="A2082" t="s">
        <v>64</v>
      </c>
      <c r="B2082" t="s">
        <v>64</v>
      </c>
      <c r="C2082" s="3" t="s">
        <v>64</v>
      </c>
      <c r="D2082" s="16" t="s">
        <v>64</v>
      </c>
      <c r="E2082" s="16">
        <v>0</v>
      </c>
      <c r="F2082" s="16" t="s">
        <v>64</v>
      </c>
      <c r="G2082" s="16" t="s">
        <v>64</v>
      </c>
    </row>
    <row r="2083" spans="1:7" x14ac:dyDescent="0.2">
      <c r="A2083" t="s">
        <v>64</v>
      </c>
      <c r="B2083" t="s">
        <v>64</v>
      </c>
      <c r="C2083" s="3" t="s">
        <v>64</v>
      </c>
      <c r="D2083" s="16" t="s">
        <v>64</v>
      </c>
      <c r="E2083" s="16">
        <v>0</v>
      </c>
      <c r="F2083" s="16" t="s">
        <v>64</v>
      </c>
      <c r="G2083" s="16" t="s">
        <v>64</v>
      </c>
    </row>
    <row r="2084" spans="1:7" x14ac:dyDescent="0.2">
      <c r="A2084" t="s">
        <v>64</v>
      </c>
      <c r="B2084" t="s">
        <v>64</v>
      </c>
      <c r="C2084" s="3" t="s">
        <v>64</v>
      </c>
      <c r="D2084" s="16" t="s">
        <v>64</v>
      </c>
      <c r="E2084" s="16">
        <v>0</v>
      </c>
      <c r="F2084" s="16" t="s">
        <v>64</v>
      </c>
      <c r="G2084" s="16" t="s">
        <v>64</v>
      </c>
    </row>
    <row r="2085" spans="1:7" x14ac:dyDescent="0.2">
      <c r="A2085" t="s">
        <v>64</v>
      </c>
      <c r="B2085" t="s">
        <v>64</v>
      </c>
      <c r="C2085" s="3" t="s">
        <v>64</v>
      </c>
      <c r="D2085" s="16" t="s">
        <v>64</v>
      </c>
      <c r="E2085" s="16">
        <v>0</v>
      </c>
      <c r="F2085" s="16" t="s">
        <v>64</v>
      </c>
      <c r="G2085" s="16" t="s">
        <v>64</v>
      </c>
    </row>
    <row r="2086" spans="1:7" x14ac:dyDescent="0.2">
      <c r="A2086" t="s">
        <v>64</v>
      </c>
      <c r="B2086" t="s">
        <v>64</v>
      </c>
      <c r="C2086" s="3" t="s">
        <v>64</v>
      </c>
      <c r="D2086" s="16" t="s">
        <v>64</v>
      </c>
      <c r="E2086" s="16">
        <v>0</v>
      </c>
      <c r="F2086" s="16" t="s">
        <v>64</v>
      </c>
      <c r="G2086" s="16" t="s">
        <v>64</v>
      </c>
    </row>
    <row r="2087" spans="1:7" x14ac:dyDescent="0.2">
      <c r="A2087" t="s">
        <v>64</v>
      </c>
      <c r="B2087" t="s">
        <v>64</v>
      </c>
      <c r="C2087" s="3" t="s">
        <v>64</v>
      </c>
      <c r="D2087" s="16" t="s">
        <v>64</v>
      </c>
      <c r="E2087" s="16">
        <v>0</v>
      </c>
      <c r="F2087" s="16" t="s">
        <v>64</v>
      </c>
      <c r="G2087" s="16" t="s">
        <v>64</v>
      </c>
    </row>
    <row r="2088" spans="1:7" x14ac:dyDescent="0.2">
      <c r="A2088" t="s">
        <v>64</v>
      </c>
      <c r="B2088" t="s">
        <v>64</v>
      </c>
      <c r="C2088" s="3" t="s">
        <v>64</v>
      </c>
      <c r="D2088" s="16" t="s">
        <v>64</v>
      </c>
      <c r="E2088" s="16">
        <v>0</v>
      </c>
      <c r="F2088" s="16" t="s">
        <v>64</v>
      </c>
      <c r="G2088" s="16" t="s">
        <v>64</v>
      </c>
    </row>
    <row r="2089" spans="1:7" x14ac:dyDescent="0.2">
      <c r="A2089" t="s">
        <v>64</v>
      </c>
      <c r="B2089" t="s">
        <v>64</v>
      </c>
      <c r="C2089" s="3" t="s">
        <v>64</v>
      </c>
      <c r="D2089" s="16" t="s">
        <v>64</v>
      </c>
      <c r="E2089" s="16">
        <v>0</v>
      </c>
      <c r="F2089" s="16" t="s">
        <v>64</v>
      </c>
      <c r="G2089" s="16" t="s">
        <v>64</v>
      </c>
    </row>
    <row r="2090" spans="1:7" x14ac:dyDescent="0.2">
      <c r="A2090" t="s">
        <v>64</v>
      </c>
      <c r="B2090" t="s">
        <v>64</v>
      </c>
      <c r="C2090" s="3" t="s">
        <v>64</v>
      </c>
      <c r="D2090" s="16" t="s">
        <v>64</v>
      </c>
      <c r="E2090" s="16">
        <v>0</v>
      </c>
      <c r="F2090" s="16" t="s">
        <v>64</v>
      </c>
      <c r="G2090" s="16" t="s">
        <v>64</v>
      </c>
    </row>
    <row r="2091" spans="1:7" x14ac:dyDescent="0.2">
      <c r="A2091" t="s">
        <v>64</v>
      </c>
      <c r="B2091" t="s">
        <v>64</v>
      </c>
      <c r="C2091" s="3" t="s">
        <v>64</v>
      </c>
      <c r="D2091" s="16" t="s">
        <v>64</v>
      </c>
      <c r="E2091" s="16">
        <v>0</v>
      </c>
      <c r="F2091" s="16" t="s">
        <v>64</v>
      </c>
      <c r="G2091" s="16" t="s">
        <v>64</v>
      </c>
    </row>
    <row r="2092" spans="1:7" x14ac:dyDescent="0.2">
      <c r="A2092" t="s">
        <v>64</v>
      </c>
      <c r="B2092" t="s">
        <v>64</v>
      </c>
      <c r="C2092" s="3" t="s">
        <v>64</v>
      </c>
      <c r="D2092" s="16" t="s">
        <v>64</v>
      </c>
      <c r="E2092" s="16">
        <v>0</v>
      </c>
      <c r="F2092" s="16" t="s">
        <v>64</v>
      </c>
      <c r="G2092" s="16" t="s">
        <v>64</v>
      </c>
    </row>
    <row r="2093" spans="1:7" x14ac:dyDescent="0.2">
      <c r="A2093" t="s">
        <v>64</v>
      </c>
      <c r="B2093" t="s">
        <v>64</v>
      </c>
      <c r="C2093" s="3" t="s">
        <v>64</v>
      </c>
      <c r="D2093" s="16" t="s">
        <v>64</v>
      </c>
      <c r="E2093" s="16">
        <v>0</v>
      </c>
      <c r="F2093" s="16" t="s">
        <v>64</v>
      </c>
      <c r="G2093" s="16" t="s">
        <v>64</v>
      </c>
    </row>
    <row r="2094" spans="1:7" x14ac:dyDescent="0.2">
      <c r="A2094" t="s">
        <v>64</v>
      </c>
      <c r="B2094" t="s">
        <v>64</v>
      </c>
      <c r="C2094" s="3" t="s">
        <v>64</v>
      </c>
      <c r="D2094" s="16" t="s">
        <v>64</v>
      </c>
      <c r="E2094" s="16">
        <v>0</v>
      </c>
      <c r="F2094" s="16" t="s">
        <v>64</v>
      </c>
      <c r="G2094" s="16" t="s">
        <v>64</v>
      </c>
    </row>
    <row r="2095" spans="1:7" x14ac:dyDescent="0.2">
      <c r="A2095" t="s">
        <v>64</v>
      </c>
      <c r="B2095" t="s">
        <v>64</v>
      </c>
      <c r="C2095" s="3" t="s">
        <v>64</v>
      </c>
      <c r="D2095" s="16" t="s">
        <v>64</v>
      </c>
      <c r="E2095" s="16">
        <v>0</v>
      </c>
      <c r="F2095" s="16" t="s">
        <v>64</v>
      </c>
      <c r="G2095" s="16" t="s">
        <v>64</v>
      </c>
    </row>
    <row r="2096" spans="1:7" x14ac:dyDescent="0.2">
      <c r="A2096" t="s">
        <v>64</v>
      </c>
      <c r="B2096" t="s">
        <v>64</v>
      </c>
      <c r="C2096" s="3" t="s">
        <v>64</v>
      </c>
      <c r="D2096" s="16" t="s">
        <v>64</v>
      </c>
      <c r="E2096" s="16">
        <v>0</v>
      </c>
      <c r="F2096" s="16" t="s">
        <v>64</v>
      </c>
      <c r="G2096" s="16" t="s">
        <v>64</v>
      </c>
    </row>
    <row r="2097" spans="1:7" x14ac:dyDescent="0.2">
      <c r="A2097" t="s">
        <v>64</v>
      </c>
      <c r="B2097" t="s">
        <v>64</v>
      </c>
      <c r="C2097" s="3" t="s">
        <v>64</v>
      </c>
      <c r="D2097" s="16" t="s">
        <v>64</v>
      </c>
      <c r="E2097" s="16">
        <v>0</v>
      </c>
      <c r="F2097" s="16" t="s">
        <v>64</v>
      </c>
      <c r="G2097" s="16" t="s">
        <v>64</v>
      </c>
    </row>
    <row r="2098" spans="1:7" x14ac:dyDescent="0.2">
      <c r="A2098" t="s">
        <v>64</v>
      </c>
      <c r="B2098" t="s">
        <v>64</v>
      </c>
      <c r="C2098" s="3" t="s">
        <v>64</v>
      </c>
      <c r="D2098" s="16" t="s">
        <v>64</v>
      </c>
      <c r="E2098" s="16">
        <v>0</v>
      </c>
      <c r="F2098" s="16" t="s">
        <v>64</v>
      </c>
      <c r="G2098" s="16" t="s">
        <v>64</v>
      </c>
    </row>
    <row r="2099" spans="1:7" x14ac:dyDescent="0.2">
      <c r="A2099" t="s">
        <v>64</v>
      </c>
      <c r="B2099" t="s">
        <v>64</v>
      </c>
      <c r="C2099" s="3" t="s">
        <v>64</v>
      </c>
      <c r="D2099" s="16" t="s">
        <v>64</v>
      </c>
      <c r="E2099" s="16">
        <v>0</v>
      </c>
      <c r="F2099" s="16" t="s">
        <v>64</v>
      </c>
      <c r="G2099" s="16" t="s">
        <v>64</v>
      </c>
    </row>
    <row r="2100" spans="1:7" x14ac:dyDescent="0.2">
      <c r="A2100" t="s">
        <v>64</v>
      </c>
      <c r="B2100" t="s">
        <v>64</v>
      </c>
      <c r="C2100" s="3" t="s">
        <v>64</v>
      </c>
      <c r="D2100" s="16" t="s">
        <v>64</v>
      </c>
      <c r="E2100" s="16">
        <v>0</v>
      </c>
      <c r="F2100" s="16" t="s">
        <v>64</v>
      </c>
      <c r="G2100" s="16" t="s">
        <v>64</v>
      </c>
    </row>
    <row r="2101" spans="1:7" x14ac:dyDescent="0.2">
      <c r="A2101" t="s">
        <v>64</v>
      </c>
      <c r="B2101" t="s">
        <v>64</v>
      </c>
      <c r="C2101" s="3" t="s">
        <v>64</v>
      </c>
      <c r="D2101" s="16" t="s">
        <v>64</v>
      </c>
      <c r="E2101" s="16">
        <v>0</v>
      </c>
      <c r="F2101" s="16" t="s">
        <v>64</v>
      </c>
      <c r="G2101" s="16" t="s">
        <v>64</v>
      </c>
    </row>
    <row r="2102" spans="1:7" x14ac:dyDescent="0.2">
      <c r="A2102" t="s">
        <v>64</v>
      </c>
      <c r="B2102" t="s">
        <v>64</v>
      </c>
      <c r="C2102" s="3" t="s">
        <v>64</v>
      </c>
      <c r="D2102" s="16" t="s">
        <v>64</v>
      </c>
      <c r="E2102" s="16">
        <v>0</v>
      </c>
      <c r="F2102" s="16" t="s">
        <v>64</v>
      </c>
      <c r="G2102" s="16" t="s">
        <v>64</v>
      </c>
    </row>
    <row r="2103" spans="1:7" x14ac:dyDescent="0.2">
      <c r="A2103" t="s">
        <v>64</v>
      </c>
      <c r="B2103" t="s">
        <v>64</v>
      </c>
      <c r="C2103" s="3" t="s">
        <v>64</v>
      </c>
      <c r="D2103" s="16" t="s">
        <v>64</v>
      </c>
      <c r="E2103" s="16">
        <v>0</v>
      </c>
      <c r="F2103" s="16" t="s">
        <v>64</v>
      </c>
      <c r="G2103" s="16" t="s">
        <v>64</v>
      </c>
    </row>
    <row r="2104" spans="1:7" x14ac:dyDescent="0.2">
      <c r="A2104" t="s">
        <v>64</v>
      </c>
      <c r="B2104" t="s">
        <v>64</v>
      </c>
      <c r="C2104" s="3" t="s">
        <v>64</v>
      </c>
      <c r="D2104" s="16" t="s">
        <v>64</v>
      </c>
      <c r="E2104" s="16">
        <v>0</v>
      </c>
      <c r="F2104" s="16" t="s">
        <v>64</v>
      </c>
      <c r="G2104" s="16" t="s">
        <v>64</v>
      </c>
    </row>
    <row r="2105" spans="1:7" x14ac:dyDescent="0.2">
      <c r="A2105" t="s">
        <v>64</v>
      </c>
      <c r="B2105" t="s">
        <v>64</v>
      </c>
      <c r="C2105" s="3" t="s">
        <v>64</v>
      </c>
      <c r="D2105" s="16" t="s">
        <v>64</v>
      </c>
      <c r="E2105" s="16">
        <v>0</v>
      </c>
      <c r="F2105" s="16" t="s">
        <v>64</v>
      </c>
      <c r="G2105" s="16" t="s">
        <v>64</v>
      </c>
    </row>
    <row r="2106" spans="1:7" x14ac:dyDescent="0.2">
      <c r="A2106" t="s">
        <v>64</v>
      </c>
      <c r="B2106" t="s">
        <v>64</v>
      </c>
      <c r="C2106" s="3" t="s">
        <v>64</v>
      </c>
      <c r="D2106" s="16" t="s">
        <v>64</v>
      </c>
      <c r="E2106" s="16">
        <v>0</v>
      </c>
      <c r="F2106" s="16" t="s">
        <v>64</v>
      </c>
      <c r="G2106" s="16" t="s">
        <v>64</v>
      </c>
    </row>
    <row r="2107" spans="1:7" x14ac:dyDescent="0.2">
      <c r="A2107" t="s">
        <v>64</v>
      </c>
      <c r="B2107" t="s">
        <v>64</v>
      </c>
      <c r="C2107" s="3" t="s">
        <v>64</v>
      </c>
      <c r="D2107" s="16" t="s">
        <v>64</v>
      </c>
      <c r="E2107" s="16">
        <v>0</v>
      </c>
      <c r="F2107" s="16" t="s">
        <v>64</v>
      </c>
      <c r="G2107" s="16" t="s">
        <v>64</v>
      </c>
    </row>
    <row r="2108" spans="1:7" x14ac:dyDescent="0.2">
      <c r="A2108" t="s">
        <v>64</v>
      </c>
      <c r="B2108" t="s">
        <v>64</v>
      </c>
      <c r="C2108" s="3" t="s">
        <v>64</v>
      </c>
      <c r="D2108" s="16" t="s">
        <v>64</v>
      </c>
      <c r="E2108" s="16">
        <v>0</v>
      </c>
      <c r="F2108" s="16" t="s">
        <v>64</v>
      </c>
      <c r="G2108" s="16" t="s">
        <v>64</v>
      </c>
    </row>
    <row r="2109" spans="1:7" x14ac:dyDescent="0.2">
      <c r="A2109" t="s">
        <v>64</v>
      </c>
      <c r="B2109" t="s">
        <v>64</v>
      </c>
      <c r="C2109" s="3" t="s">
        <v>64</v>
      </c>
      <c r="D2109" s="16" t="s">
        <v>64</v>
      </c>
      <c r="E2109" s="16">
        <v>0</v>
      </c>
      <c r="F2109" s="16" t="s">
        <v>64</v>
      </c>
      <c r="G2109" s="16" t="s">
        <v>64</v>
      </c>
    </row>
    <row r="2110" spans="1:7" x14ac:dyDescent="0.2">
      <c r="A2110" t="s">
        <v>64</v>
      </c>
      <c r="B2110" t="s">
        <v>64</v>
      </c>
      <c r="C2110" s="3" t="s">
        <v>64</v>
      </c>
      <c r="D2110" s="16" t="s">
        <v>64</v>
      </c>
      <c r="E2110" s="16">
        <v>0</v>
      </c>
      <c r="F2110" s="16" t="s">
        <v>64</v>
      </c>
      <c r="G2110" s="16" t="s">
        <v>64</v>
      </c>
    </row>
    <row r="2111" spans="1:7" x14ac:dyDescent="0.2">
      <c r="A2111" t="s">
        <v>64</v>
      </c>
      <c r="B2111" t="s">
        <v>64</v>
      </c>
      <c r="C2111" s="3" t="s">
        <v>64</v>
      </c>
      <c r="D2111" s="16" t="s">
        <v>64</v>
      </c>
      <c r="E2111" s="16">
        <v>0</v>
      </c>
      <c r="F2111" s="16" t="s">
        <v>64</v>
      </c>
      <c r="G2111" s="16" t="s">
        <v>64</v>
      </c>
    </row>
    <row r="2112" spans="1:7" x14ac:dyDescent="0.2">
      <c r="A2112" t="s">
        <v>64</v>
      </c>
      <c r="B2112" t="s">
        <v>64</v>
      </c>
      <c r="C2112" s="3" t="s">
        <v>64</v>
      </c>
      <c r="D2112" s="16" t="s">
        <v>64</v>
      </c>
      <c r="E2112" s="16">
        <v>0</v>
      </c>
      <c r="F2112" s="16" t="s">
        <v>64</v>
      </c>
      <c r="G2112" s="16" t="s">
        <v>64</v>
      </c>
    </row>
    <row r="2113" spans="1:7" x14ac:dyDescent="0.2">
      <c r="A2113" t="s">
        <v>64</v>
      </c>
      <c r="B2113" t="s">
        <v>64</v>
      </c>
      <c r="C2113" s="3" t="s">
        <v>64</v>
      </c>
      <c r="D2113" s="16" t="s">
        <v>64</v>
      </c>
      <c r="E2113" s="16">
        <v>0</v>
      </c>
      <c r="F2113" s="16" t="s">
        <v>64</v>
      </c>
      <c r="G2113" s="16" t="s">
        <v>64</v>
      </c>
    </row>
    <row r="2114" spans="1:7" x14ac:dyDescent="0.2">
      <c r="A2114" t="s">
        <v>64</v>
      </c>
      <c r="B2114" t="s">
        <v>64</v>
      </c>
      <c r="C2114" s="3" t="s">
        <v>64</v>
      </c>
      <c r="D2114" s="16" t="s">
        <v>64</v>
      </c>
      <c r="E2114" s="16">
        <v>0</v>
      </c>
      <c r="F2114" s="16" t="s">
        <v>64</v>
      </c>
      <c r="G2114" s="16" t="s">
        <v>64</v>
      </c>
    </row>
    <row r="2115" spans="1:7" x14ac:dyDescent="0.2">
      <c r="A2115" t="s">
        <v>64</v>
      </c>
      <c r="B2115" t="s">
        <v>64</v>
      </c>
      <c r="C2115" s="3" t="s">
        <v>64</v>
      </c>
      <c r="D2115" s="16" t="s">
        <v>64</v>
      </c>
      <c r="E2115" s="16">
        <v>0</v>
      </c>
      <c r="F2115" s="16" t="s">
        <v>64</v>
      </c>
      <c r="G2115" s="16" t="s">
        <v>64</v>
      </c>
    </row>
    <row r="2116" spans="1:7" x14ac:dyDescent="0.2">
      <c r="A2116" t="s">
        <v>64</v>
      </c>
      <c r="B2116" t="s">
        <v>64</v>
      </c>
      <c r="C2116" s="3" t="s">
        <v>64</v>
      </c>
      <c r="D2116" s="16" t="s">
        <v>64</v>
      </c>
      <c r="E2116" s="16">
        <v>0</v>
      </c>
      <c r="F2116" s="16" t="s">
        <v>64</v>
      </c>
      <c r="G2116" s="16" t="s">
        <v>64</v>
      </c>
    </row>
    <row r="2117" spans="1:7" x14ac:dyDescent="0.2">
      <c r="A2117" t="s">
        <v>64</v>
      </c>
      <c r="B2117" t="s">
        <v>64</v>
      </c>
      <c r="C2117" s="3" t="s">
        <v>64</v>
      </c>
      <c r="D2117" s="16" t="s">
        <v>64</v>
      </c>
      <c r="E2117" s="16">
        <v>0</v>
      </c>
      <c r="F2117" s="16" t="s">
        <v>64</v>
      </c>
      <c r="G2117" s="16" t="s">
        <v>64</v>
      </c>
    </row>
    <row r="2118" spans="1:7" x14ac:dyDescent="0.2">
      <c r="A2118" t="s">
        <v>64</v>
      </c>
      <c r="B2118" t="s">
        <v>64</v>
      </c>
      <c r="C2118" s="3" t="s">
        <v>64</v>
      </c>
      <c r="D2118" s="16" t="s">
        <v>64</v>
      </c>
      <c r="E2118" s="16">
        <v>0</v>
      </c>
      <c r="F2118" s="16" t="s">
        <v>64</v>
      </c>
      <c r="G2118" s="16" t="s">
        <v>64</v>
      </c>
    </row>
    <row r="2119" spans="1:7" x14ac:dyDescent="0.2">
      <c r="A2119" t="s">
        <v>64</v>
      </c>
      <c r="B2119" t="s">
        <v>64</v>
      </c>
      <c r="C2119" s="3" t="s">
        <v>64</v>
      </c>
      <c r="D2119" s="16" t="s">
        <v>64</v>
      </c>
      <c r="E2119" s="16">
        <v>0</v>
      </c>
      <c r="F2119" s="16" t="s">
        <v>64</v>
      </c>
      <c r="G2119" s="16" t="s">
        <v>64</v>
      </c>
    </row>
    <row r="2120" spans="1:7" x14ac:dyDescent="0.2">
      <c r="A2120" t="s">
        <v>64</v>
      </c>
      <c r="B2120" t="s">
        <v>64</v>
      </c>
      <c r="C2120" s="3" t="s">
        <v>64</v>
      </c>
      <c r="D2120" s="16" t="s">
        <v>64</v>
      </c>
      <c r="E2120" s="16">
        <v>0</v>
      </c>
      <c r="F2120" s="16" t="s">
        <v>64</v>
      </c>
      <c r="G2120" s="16" t="s">
        <v>64</v>
      </c>
    </row>
    <row r="2121" spans="1:7" x14ac:dyDescent="0.2">
      <c r="A2121" t="s">
        <v>64</v>
      </c>
      <c r="B2121" t="s">
        <v>64</v>
      </c>
      <c r="C2121" s="3" t="s">
        <v>64</v>
      </c>
      <c r="D2121" s="16" t="s">
        <v>64</v>
      </c>
      <c r="E2121" s="16">
        <v>0</v>
      </c>
      <c r="F2121" s="16" t="s">
        <v>64</v>
      </c>
      <c r="G2121" s="16" t="s">
        <v>64</v>
      </c>
    </row>
    <row r="2122" spans="1:7" x14ac:dyDescent="0.2">
      <c r="A2122" t="s">
        <v>64</v>
      </c>
      <c r="B2122" t="s">
        <v>64</v>
      </c>
      <c r="C2122" s="3" t="s">
        <v>64</v>
      </c>
      <c r="D2122" s="16" t="s">
        <v>64</v>
      </c>
      <c r="E2122" s="16">
        <v>0</v>
      </c>
      <c r="F2122" s="16" t="s">
        <v>64</v>
      </c>
      <c r="G2122" s="16" t="s">
        <v>64</v>
      </c>
    </row>
    <row r="2123" spans="1:7" x14ac:dyDescent="0.2">
      <c r="A2123" t="s">
        <v>64</v>
      </c>
      <c r="B2123" t="s">
        <v>64</v>
      </c>
      <c r="C2123" s="3" t="s">
        <v>64</v>
      </c>
      <c r="D2123" s="16" t="s">
        <v>64</v>
      </c>
      <c r="E2123" s="16">
        <v>0</v>
      </c>
      <c r="F2123" s="16" t="s">
        <v>64</v>
      </c>
      <c r="G2123" s="16" t="s">
        <v>64</v>
      </c>
    </row>
    <row r="2124" spans="1:7" x14ac:dyDescent="0.2">
      <c r="A2124" t="s">
        <v>64</v>
      </c>
      <c r="B2124" t="s">
        <v>64</v>
      </c>
      <c r="C2124" s="3" t="s">
        <v>64</v>
      </c>
      <c r="D2124" s="16" t="s">
        <v>64</v>
      </c>
      <c r="E2124" s="16">
        <v>0</v>
      </c>
      <c r="F2124" s="16" t="s">
        <v>64</v>
      </c>
      <c r="G2124" s="16" t="s">
        <v>64</v>
      </c>
    </row>
    <row r="2125" spans="1:7" x14ac:dyDescent="0.2">
      <c r="A2125" t="s">
        <v>64</v>
      </c>
      <c r="B2125" t="s">
        <v>64</v>
      </c>
      <c r="C2125" s="3" t="s">
        <v>64</v>
      </c>
      <c r="D2125" s="16" t="s">
        <v>64</v>
      </c>
      <c r="E2125" s="16">
        <v>0</v>
      </c>
      <c r="F2125" s="16" t="s">
        <v>64</v>
      </c>
      <c r="G2125" s="16" t="s">
        <v>64</v>
      </c>
    </row>
    <row r="2126" spans="1:7" x14ac:dyDescent="0.2">
      <c r="A2126" t="s">
        <v>64</v>
      </c>
      <c r="B2126" t="s">
        <v>64</v>
      </c>
      <c r="C2126" s="3" t="s">
        <v>64</v>
      </c>
      <c r="D2126" s="16" t="s">
        <v>64</v>
      </c>
      <c r="E2126" s="16">
        <v>0</v>
      </c>
      <c r="F2126" s="16" t="s">
        <v>64</v>
      </c>
      <c r="G2126" s="16" t="s">
        <v>64</v>
      </c>
    </row>
    <row r="2127" spans="1:7" x14ac:dyDescent="0.2">
      <c r="A2127" t="s">
        <v>64</v>
      </c>
      <c r="B2127" t="s">
        <v>64</v>
      </c>
      <c r="C2127" s="3" t="s">
        <v>64</v>
      </c>
      <c r="D2127" s="16" t="s">
        <v>64</v>
      </c>
      <c r="E2127" s="16">
        <v>0</v>
      </c>
      <c r="F2127" s="16" t="s">
        <v>64</v>
      </c>
      <c r="G2127" s="16" t="s">
        <v>64</v>
      </c>
    </row>
    <row r="2128" spans="1:7" x14ac:dyDescent="0.2">
      <c r="A2128" t="s">
        <v>64</v>
      </c>
      <c r="B2128" t="s">
        <v>64</v>
      </c>
      <c r="C2128" s="3" t="s">
        <v>64</v>
      </c>
      <c r="D2128" s="16" t="s">
        <v>64</v>
      </c>
      <c r="E2128" s="16">
        <v>0</v>
      </c>
      <c r="F2128" s="16" t="s">
        <v>64</v>
      </c>
      <c r="G2128" s="16" t="s">
        <v>64</v>
      </c>
    </row>
    <row r="2129" spans="1:7" x14ac:dyDescent="0.2">
      <c r="A2129" t="s">
        <v>64</v>
      </c>
      <c r="B2129" t="s">
        <v>64</v>
      </c>
      <c r="C2129" s="3" t="s">
        <v>64</v>
      </c>
      <c r="D2129" s="16" t="s">
        <v>64</v>
      </c>
      <c r="E2129" s="16">
        <v>0</v>
      </c>
      <c r="F2129" s="16" t="s">
        <v>64</v>
      </c>
      <c r="G2129" s="16" t="s">
        <v>64</v>
      </c>
    </row>
    <row r="2130" spans="1:7" x14ac:dyDescent="0.2">
      <c r="A2130" t="s">
        <v>64</v>
      </c>
      <c r="B2130" t="s">
        <v>64</v>
      </c>
      <c r="C2130" s="3" t="s">
        <v>64</v>
      </c>
      <c r="D2130" s="16" t="s">
        <v>64</v>
      </c>
      <c r="E2130" s="16">
        <v>0</v>
      </c>
      <c r="F2130" s="16" t="s">
        <v>64</v>
      </c>
      <c r="G2130" s="16" t="s">
        <v>64</v>
      </c>
    </row>
    <row r="2131" spans="1:7" x14ac:dyDescent="0.2">
      <c r="A2131" t="s">
        <v>64</v>
      </c>
      <c r="B2131" t="s">
        <v>64</v>
      </c>
      <c r="C2131" s="3" t="s">
        <v>64</v>
      </c>
      <c r="D2131" s="16" t="s">
        <v>64</v>
      </c>
      <c r="E2131" s="16">
        <v>0</v>
      </c>
      <c r="F2131" s="16" t="s">
        <v>64</v>
      </c>
      <c r="G2131" s="16" t="s">
        <v>64</v>
      </c>
    </row>
    <row r="2132" spans="1:7" x14ac:dyDescent="0.2">
      <c r="A2132" t="s">
        <v>64</v>
      </c>
      <c r="B2132" t="s">
        <v>64</v>
      </c>
      <c r="C2132" s="3" t="s">
        <v>64</v>
      </c>
      <c r="D2132" s="16" t="s">
        <v>64</v>
      </c>
      <c r="E2132" s="16">
        <v>0</v>
      </c>
      <c r="F2132" s="16" t="s">
        <v>64</v>
      </c>
      <c r="G2132" s="16" t="s">
        <v>64</v>
      </c>
    </row>
    <row r="2133" spans="1:7" x14ac:dyDescent="0.2">
      <c r="A2133" t="s">
        <v>64</v>
      </c>
      <c r="B2133" t="s">
        <v>64</v>
      </c>
      <c r="C2133" s="3" t="s">
        <v>64</v>
      </c>
      <c r="D2133" s="16" t="s">
        <v>64</v>
      </c>
      <c r="E2133" s="16">
        <v>0</v>
      </c>
      <c r="F2133" s="16" t="s">
        <v>64</v>
      </c>
      <c r="G2133" s="16" t="s">
        <v>64</v>
      </c>
    </row>
    <row r="2134" spans="1:7" x14ac:dyDescent="0.2">
      <c r="A2134" t="s">
        <v>64</v>
      </c>
      <c r="B2134" t="s">
        <v>64</v>
      </c>
      <c r="C2134" s="3" t="s">
        <v>64</v>
      </c>
      <c r="D2134" s="16" t="s">
        <v>64</v>
      </c>
      <c r="E2134" s="16">
        <v>0</v>
      </c>
      <c r="F2134" s="16" t="s">
        <v>64</v>
      </c>
      <c r="G2134" s="16" t="s">
        <v>64</v>
      </c>
    </row>
    <row r="2135" spans="1:7" x14ac:dyDescent="0.2">
      <c r="A2135" t="s">
        <v>64</v>
      </c>
      <c r="B2135" t="s">
        <v>64</v>
      </c>
      <c r="C2135" s="3" t="s">
        <v>64</v>
      </c>
      <c r="D2135" s="16" t="s">
        <v>64</v>
      </c>
      <c r="E2135" s="16">
        <v>0</v>
      </c>
      <c r="F2135" s="16" t="s">
        <v>64</v>
      </c>
      <c r="G2135" s="16" t="s">
        <v>64</v>
      </c>
    </row>
    <row r="2136" spans="1:7" x14ac:dyDescent="0.2">
      <c r="A2136" t="s">
        <v>64</v>
      </c>
      <c r="B2136" t="s">
        <v>64</v>
      </c>
      <c r="C2136" s="3" t="s">
        <v>64</v>
      </c>
      <c r="D2136" s="16" t="s">
        <v>64</v>
      </c>
      <c r="E2136" s="16">
        <v>0</v>
      </c>
      <c r="F2136" s="16" t="s">
        <v>64</v>
      </c>
      <c r="G2136" s="16" t="s">
        <v>64</v>
      </c>
    </row>
    <row r="2137" spans="1:7" x14ac:dyDescent="0.2">
      <c r="A2137" t="s">
        <v>64</v>
      </c>
      <c r="B2137" t="s">
        <v>64</v>
      </c>
      <c r="C2137" s="3" t="s">
        <v>64</v>
      </c>
      <c r="D2137" s="16" t="s">
        <v>64</v>
      </c>
      <c r="E2137" s="16">
        <v>0</v>
      </c>
      <c r="F2137" s="16" t="s">
        <v>64</v>
      </c>
      <c r="G2137" s="16" t="s">
        <v>64</v>
      </c>
    </row>
    <row r="2138" spans="1:7" x14ac:dyDescent="0.2">
      <c r="A2138" t="s">
        <v>64</v>
      </c>
      <c r="B2138" t="s">
        <v>64</v>
      </c>
      <c r="C2138" s="3" t="s">
        <v>64</v>
      </c>
      <c r="D2138" s="16" t="s">
        <v>64</v>
      </c>
      <c r="E2138" s="16">
        <v>0</v>
      </c>
      <c r="F2138" s="16" t="s">
        <v>64</v>
      </c>
      <c r="G2138" s="16" t="s">
        <v>64</v>
      </c>
    </row>
    <row r="2139" spans="1:7" x14ac:dyDescent="0.2">
      <c r="A2139" t="s">
        <v>64</v>
      </c>
      <c r="B2139" t="s">
        <v>64</v>
      </c>
      <c r="C2139" s="3" t="s">
        <v>64</v>
      </c>
      <c r="D2139" s="16" t="s">
        <v>64</v>
      </c>
      <c r="E2139" s="16">
        <v>0</v>
      </c>
      <c r="F2139" s="16" t="s">
        <v>64</v>
      </c>
      <c r="G2139" s="16" t="s">
        <v>64</v>
      </c>
    </row>
    <row r="2140" spans="1:7" x14ac:dyDescent="0.2">
      <c r="A2140" t="s">
        <v>64</v>
      </c>
      <c r="B2140" t="s">
        <v>64</v>
      </c>
      <c r="C2140" s="3" t="s">
        <v>64</v>
      </c>
      <c r="D2140" s="16" t="s">
        <v>64</v>
      </c>
      <c r="E2140" s="16">
        <v>0</v>
      </c>
      <c r="F2140" s="16" t="s">
        <v>64</v>
      </c>
      <c r="G2140" s="16" t="s">
        <v>64</v>
      </c>
    </row>
    <row r="2141" spans="1:7" x14ac:dyDescent="0.2">
      <c r="A2141" t="s">
        <v>64</v>
      </c>
      <c r="B2141" t="s">
        <v>64</v>
      </c>
      <c r="C2141" s="3" t="s">
        <v>64</v>
      </c>
      <c r="D2141" s="16" t="s">
        <v>64</v>
      </c>
      <c r="E2141" s="16">
        <v>0</v>
      </c>
      <c r="F2141" s="16" t="s">
        <v>64</v>
      </c>
      <c r="G2141" s="16" t="s">
        <v>64</v>
      </c>
    </row>
    <row r="2142" spans="1:7" x14ac:dyDescent="0.2">
      <c r="A2142" t="s">
        <v>64</v>
      </c>
      <c r="B2142" t="s">
        <v>64</v>
      </c>
      <c r="C2142" s="3" t="s">
        <v>64</v>
      </c>
      <c r="D2142" s="16" t="s">
        <v>64</v>
      </c>
      <c r="E2142" s="16">
        <v>0</v>
      </c>
      <c r="F2142" s="16" t="s">
        <v>64</v>
      </c>
      <c r="G2142" s="16" t="s">
        <v>64</v>
      </c>
    </row>
    <row r="2143" spans="1:7" x14ac:dyDescent="0.2">
      <c r="A2143" t="s">
        <v>64</v>
      </c>
      <c r="B2143" t="s">
        <v>64</v>
      </c>
      <c r="C2143" s="3" t="s">
        <v>64</v>
      </c>
      <c r="D2143" s="16" t="s">
        <v>64</v>
      </c>
      <c r="E2143" s="16">
        <v>0</v>
      </c>
      <c r="F2143" s="16" t="s">
        <v>64</v>
      </c>
      <c r="G2143" s="16" t="s">
        <v>64</v>
      </c>
    </row>
    <row r="2144" spans="1:7" x14ac:dyDescent="0.2">
      <c r="A2144" t="s">
        <v>64</v>
      </c>
      <c r="B2144" t="s">
        <v>64</v>
      </c>
      <c r="C2144" s="3" t="s">
        <v>64</v>
      </c>
      <c r="D2144" s="16" t="s">
        <v>64</v>
      </c>
      <c r="E2144" s="16">
        <v>0</v>
      </c>
      <c r="F2144" s="16" t="s">
        <v>64</v>
      </c>
      <c r="G2144" s="16" t="s">
        <v>64</v>
      </c>
    </row>
    <row r="2145" spans="1:7" x14ac:dyDescent="0.2">
      <c r="A2145" t="s">
        <v>64</v>
      </c>
      <c r="B2145" t="s">
        <v>64</v>
      </c>
      <c r="C2145" s="3" t="s">
        <v>64</v>
      </c>
      <c r="D2145" s="16" t="s">
        <v>64</v>
      </c>
      <c r="E2145" s="16">
        <v>0</v>
      </c>
      <c r="F2145" s="16" t="s">
        <v>64</v>
      </c>
      <c r="G2145" s="16" t="s">
        <v>64</v>
      </c>
    </row>
    <row r="2146" spans="1:7" x14ac:dyDescent="0.2">
      <c r="A2146" t="s">
        <v>64</v>
      </c>
      <c r="B2146" t="s">
        <v>64</v>
      </c>
      <c r="C2146" s="3" t="s">
        <v>64</v>
      </c>
      <c r="D2146" s="16" t="s">
        <v>64</v>
      </c>
      <c r="E2146" s="16">
        <v>0</v>
      </c>
      <c r="F2146" s="16" t="s">
        <v>64</v>
      </c>
      <c r="G2146" s="16" t="s">
        <v>64</v>
      </c>
    </row>
    <row r="2147" spans="1:7" x14ac:dyDescent="0.2">
      <c r="A2147" t="s">
        <v>64</v>
      </c>
      <c r="B2147" t="s">
        <v>64</v>
      </c>
      <c r="C2147" s="3" t="s">
        <v>64</v>
      </c>
      <c r="D2147" s="16" t="s">
        <v>64</v>
      </c>
      <c r="E2147" s="16">
        <v>0</v>
      </c>
      <c r="F2147" s="16" t="s">
        <v>64</v>
      </c>
      <c r="G2147" s="16" t="s">
        <v>64</v>
      </c>
    </row>
    <row r="2148" spans="1:7" x14ac:dyDescent="0.2">
      <c r="A2148" t="s">
        <v>64</v>
      </c>
      <c r="B2148" t="s">
        <v>64</v>
      </c>
      <c r="C2148" s="3" t="s">
        <v>64</v>
      </c>
      <c r="D2148" s="16" t="s">
        <v>64</v>
      </c>
      <c r="E2148" s="16">
        <v>0</v>
      </c>
      <c r="F2148" s="16" t="s">
        <v>64</v>
      </c>
      <c r="G2148" s="16" t="s">
        <v>64</v>
      </c>
    </row>
    <row r="2149" spans="1:7" x14ac:dyDescent="0.2">
      <c r="A2149" t="s">
        <v>64</v>
      </c>
      <c r="B2149" t="s">
        <v>64</v>
      </c>
      <c r="C2149" s="3" t="s">
        <v>64</v>
      </c>
      <c r="D2149" s="16" t="s">
        <v>64</v>
      </c>
      <c r="E2149" s="16">
        <v>0</v>
      </c>
      <c r="F2149" s="16" t="s">
        <v>64</v>
      </c>
      <c r="G2149" s="16" t="s">
        <v>64</v>
      </c>
    </row>
    <row r="2150" spans="1:7" x14ac:dyDescent="0.2">
      <c r="A2150" t="s">
        <v>64</v>
      </c>
      <c r="B2150" t="s">
        <v>64</v>
      </c>
      <c r="C2150" s="3" t="s">
        <v>64</v>
      </c>
      <c r="D2150" s="16" t="s">
        <v>64</v>
      </c>
      <c r="E2150" s="16">
        <v>0</v>
      </c>
      <c r="F2150" s="16" t="s">
        <v>64</v>
      </c>
      <c r="G2150" s="16" t="s">
        <v>64</v>
      </c>
    </row>
    <row r="2151" spans="1:7" x14ac:dyDescent="0.2">
      <c r="A2151" t="s">
        <v>64</v>
      </c>
      <c r="B2151" t="s">
        <v>64</v>
      </c>
      <c r="C2151" s="3" t="s">
        <v>64</v>
      </c>
      <c r="D2151" s="16" t="s">
        <v>64</v>
      </c>
      <c r="E2151" s="16">
        <v>0</v>
      </c>
      <c r="F2151" s="16" t="s">
        <v>64</v>
      </c>
      <c r="G2151" s="16" t="s">
        <v>64</v>
      </c>
    </row>
    <row r="2152" spans="1:7" x14ac:dyDescent="0.2">
      <c r="A2152" t="s">
        <v>64</v>
      </c>
      <c r="B2152" t="s">
        <v>64</v>
      </c>
      <c r="C2152" s="3" t="s">
        <v>64</v>
      </c>
      <c r="D2152" s="16" t="s">
        <v>64</v>
      </c>
      <c r="E2152" s="16">
        <v>0</v>
      </c>
      <c r="F2152" s="16" t="s">
        <v>64</v>
      </c>
      <c r="G2152" s="16" t="s">
        <v>64</v>
      </c>
    </row>
    <row r="2153" spans="1:7" x14ac:dyDescent="0.2">
      <c r="A2153" t="s">
        <v>64</v>
      </c>
      <c r="B2153" t="s">
        <v>64</v>
      </c>
      <c r="C2153" s="3" t="s">
        <v>64</v>
      </c>
      <c r="D2153" s="16" t="s">
        <v>64</v>
      </c>
      <c r="E2153" s="16">
        <v>0</v>
      </c>
      <c r="F2153" s="16" t="s">
        <v>64</v>
      </c>
      <c r="G2153" s="16" t="s">
        <v>64</v>
      </c>
    </row>
    <row r="2154" spans="1:7" x14ac:dyDescent="0.2">
      <c r="A2154" t="s">
        <v>64</v>
      </c>
      <c r="B2154" t="s">
        <v>64</v>
      </c>
      <c r="C2154" s="3" t="s">
        <v>64</v>
      </c>
      <c r="D2154" s="16" t="s">
        <v>64</v>
      </c>
      <c r="E2154" s="16">
        <v>0</v>
      </c>
      <c r="F2154" s="16" t="s">
        <v>64</v>
      </c>
      <c r="G2154" s="16" t="s">
        <v>64</v>
      </c>
    </row>
    <row r="2155" spans="1:7" x14ac:dyDescent="0.2">
      <c r="A2155" t="s">
        <v>64</v>
      </c>
      <c r="B2155" t="s">
        <v>64</v>
      </c>
      <c r="C2155" s="3" t="s">
        <v>64</v>
      </c>
      <c r="D2155" s="16" t="s">
        <v>64</v>
      </c>
      <c r="E2155" s="16">
        <v>0</v>
      </c>
      <c r="F2155" s="16" t="s">
        <v>64</v>
      </c>
      <c r="G2155" s="16" t="s">
        <v>64</v>
      </c>
    </row>
    <row r="2156" spans="1:7" x14ac:dyDescent="0.2">
      <c r="A2156" t="s">
        <v>64</v>
      </c>
      <c r="B2156" t="s">
        <v>64</v>
      </c>
      <c r="C2156" s="3" t="s">
        <v>64</v>
      </c>
      <c r="D2156" s="16" t="s">
        <v>64</v>
      </c>
      <c r="E2156" s="16">
        <v>0</v>
      </c>
      <c r="F2156" s="16" t="s">
        <v>64</v>
      </c>
      <c r="G2156" s="16" t="s">
        <v>64</v>
      </c>
    </row>
    <row r="2157" spans="1:7" x14ac:dyDescent="0.2">
      <c r="A2157" t="s">
        <v>64</v>
      </c>
      <c r="B2157" t="s">
        <v>64</v>
      </c>
      <c r="C2157" s="3" t="s">
        <v>64</v>
      </c>
      <c r="D2157" s="16" t="s">
        <v>64</v>
      </c>
      <c r="E2157" s="16">
        <v>0</v>
      </c>
      <c r="F2157" s="16" t="s">
        <v>64</v>
      </c>
      <c r="G2157" s="16" t="s">
        <v>64</v>
      </c>
    </row>
    <row r="2158" spans="1:7" x14ac:dyDescent="0.2">
      <c r="A2158" t="s">
        <v>64</v>
      </c>
      <c r="B2158" t="s">
        <v>64</v>
      </c>
      <c r="C2158" s="3" t="s">
        <v>64</v>
      </c>
      <c r="D2158" s="16" t="s">
        <v>64</v>
      </c>
      <c r="E2158" s="16">
        <v>0</v>
      </c>
      <c r="F2158" s="16" t="s">
        <v>64</v>
      </c>
      <c r="G2158" s="16" t="s">
        <v>64</v>
      </c>
    </row>
    <row r="2159" spans="1:7" x14ac:dyDescent="0.2">
      <c r="A2159" t="s">
        <v>64</v>
      </c>
      <c r="B2159" t="s">
        <v>64</v>
      </c>
      <c r="C2159" s="3" t="s">
        <v>64</v>
      </c>
      <c r="D2159" s="16" t="s">
        <v>64</v>
      </c>
      <c r="E2159" s="16">
        <v>0</v>
      </c>
      <c r="F2159" s="16" t="s">
        <v>64</v>
      </c>
      <c r="G2159" s="16" t="s">
        <v>64</v>
      </c>
    </row>
    <row r="2160" spans="1:7" x14ac:dyDescent="0.2">
      <c r="A2160" t="s">
        <v>64</v>
      </c>
      <c r="B2160" t="s">
        <v>64</v>
      </c>
      <c r="C2160" s="3" t="s">
        <v>64</v>
      </c>
      <c r="D2160" s="16" t="s">
        <v>64</v>
      </c>
      <c r="E2160" s="16">
        <v>0</v>
      </c>
      <c r="F2160" s="16" t="s">
        <v>64</v>
      </c>
      <c r="G2160" s="16" t="s">
        <v>64</v>
      </c>
    </row>
    <row r="2161" spans="1:7" x14ac:dyDescent="0.2">
      <c r="A2161" t="s">
        <v>64</v>
      </c>
      <c r="B2161" t="s">
        <v>64</v>
      </c>
      <c r="C2161" s="3" t="s">
        <v>64</v>
      </c>
      <c r="D2161" s="16" t="s">
        <v>64</v>
      </c>
      <c r="E2161" s="16">
        <v>0</v>
      </c>
      <c r="F2161" s="16" t="s">
        <v>64</v>
      </c>
      <c r="G2161" s="16" t="s">
        <v>64</v>
      </c>
    </row>
    <row r="2162" spans="1:7" x14ac:dyDescent="0.2">
      <c r="A2162" t="s">
        <v>64</v>
      </c>
      <c r="B2162" t="s">
        <v>64</v>
      </c>
      <c r="C2162" s="3" t="s">
        <v>64</v>
      </c>
      <c r="D2162" s="16" t="s">
        <v>64</v>
      </c>
      <c r="E2162" s="16">
        <v>0</v>
      </c>
      <c r="F2162" s="16" t="s">
        <v>64</v>
      </c>
      <c r="G2162" s="16" t="s">
        <v>64</v>
      </c>
    </row>
    <row r="2163" spans="1:7" x14ac:dyDescent="0.2">
      <c r="A2163" t="s">
        <v>64</v>
      </c>
      <c r="B2163" t="s">
        <v>64</v>
      </c>
      <c r="C2163" s="3" t="s">
        <v>64</v>
      </c>
      <c r="D2163" s="16" t="s">
        <v>64</v>
      </c>
      <c r="E2163" s="16">
        <v>0</v>
      </c>
      <c r="F2163" s="16" t="s">
        <v>64</v>
      </c>
      <c r="G2163" s="16" t="s">
        <v>64</v>
      </c>
    </row>
    <row r="2164" spans="1:7" x14ac:dyDescent="0.2">
      <c r="A2164" t="s">
        <v>64</v>
      </c>
      <c r="B2164" t="s">
        <v>64</v>
      </c>
      <c r="C2164" s="3" t="s">
        <v>64</v>
      </c>
      <c r="D2164" s="16" t="s">
        <v>64</v>
      </c>
      <c r="E2164" s="16">
        <v>0</v>
      </c>
      <c r="F2164" s="16" t="s">
        <v>64</v>
      </c>
      <c r="G2164" s="16" t="s">
        <v>64</v>
      </c>
    </row>
    <row r="2165" spans="1:7" x14ac:dyDescent="0.2">
      <c r="A2165" t="s">
        <v>64</v>
      </c>
      <c r="B2165" t="s">
        <v>64</v>
      </c>
      <c r="C2165" s="3" t="s">
        <v>64</v>
      </c>
      <c r="D2165" s="16" t="s">
        <v>64</v>
      </c>
      <c r="E2165" s="16">
        <v>0</v>
      </c>
      <c r="F2165" s="16" t="s">
        <v>64</v>
      </c>
      <c r="G2165" s="16" t="s">
        <v>64</v>
      </c>
    </row>
    <row r="2166" spans="1:7" x14ac:dyDescent="0.2">
      <c r="A2166" t="s">
        <v>64</v>
      </c>
      <c r="B2166" t="s">
        <v>64</v>
      </c>
      <c r="C2166" s="3" t="s">
        <v>64</v>
      </c>
      <c r="D2166" s="16" t="s">
        <v>64</v>
      </c>
      <c r="E2166" s="16">
        <v>0</v>
      </c>
      <c r="F2166" s="16" t="s">
        <v>64</v>
      </c>
      <c r="G2166" s="16" t="s">
        <v>64</v>
      </c>
    </row>
    <row r="2167" spans="1:7" x14ac:dyDescent="0.2">
      <c r="A2167" t="s">
        <v>64</v>
      </c>
      <c r="B2167" t="s">
        <v>64</v>
      </c>
      <c r="C2167" s="3" t="s">
        <v>64</v>
      </c>
      <c r="D2167" s="16" t="s">
        <v>64</v>
      </c>
      <c r="E2167" s="16">
        <v>0</v>
      </c>
      <c r="F2167" s="16" t="s">
        <v>64</v>
      </c>
      <c r="G2167" s="16" t="s">
        <v>64</v>
      </c>
    </row>
    <row r="2168" spans="1:7" x14ac:dyDescent="0.2">
      <c r="A2168" t="s">
        <v>64</v>
      </c>
      <c r="B2168" t="s">
        <v>64</v>
      </c>
      <c r="C2168" s="3" t="s">
        <v>64</v>
      </c>
      <c r="D2168" s="16" t="s">
        <v>64</v>
      </c>
      <c r="E2168" s="16">
        <v>0</v>
      </c>
      <c r="F2168" s="16" t="s">
        <v>64</v>
      </c>
      <c r="G2168" s="16" t="s">
        <v>64</v>
      </c>
    </row>
    <row r="2169" spans="1:7" x14ac:dyDescent="0.2">
      <c r="A2169" t="s">
        <v>64</v>
      </c>
      <c r="B2169" t="s">
        <v>64</v>
      </c>
      <c r="C2169" s="3" t="s">
        <v>64</v>
      </c>
      <c r="D2169" s="16" t="s">
        <v>64</v>
      </c>
      <c r="E2169" s="16">
        <v>0</v>
      </c>
      <c r="F2169" s="16" t="s">
        <v>64</v>
      </c>
      <c r="G2169" s="16" t="s">
        <v>64</v>
      </c>
    </row>
    <row r="2170" spans="1:7" x14ac:dyDescent="0.2">
      <c r="A2170" t="s">
        <v>64</v>
      </c>
      <c r="B2170" t="s">
        <v>64</v>
      </c>
      <c r="C2170" s="3" t="s">
        <v>64</v>
      </c>
      <c r="D2170" s="16" t="s">
        <v>64</v>
      </c>
      <c r="E2170" s="16">
        <v>0</v>
      </c>
      <c r="F2170" s="16" t="s">
        <v>64</v>
      </c>
      <c r="G2170" s="16" t="s">
        <v>64</v>
      </c>
    </row>
    <row r="2171" spans="1:7" x14ac:dyDescent="0.2">
      <c r="A2171" t="s">
        <v>64</v>
      </c>
      <c r="B2171" t="s">
        <v>64</v>
      </c>
      <c r="C2171" s="3" t="s">
        <v>64</v>
      </c>
      <c r="D2171" s="16" t="s">
        <v>64</v>
      </c>
      <c r="E2171" s="16">
        <v>0</v>
      </c>
      <c r="F2171" s="16" t="s">
        <v>64</v>
      </c>
      <c r="G2171" s="16" t="s">
        <v>64</v>
      </c>
    </row>
    <row r="2172" spans="1:7" x14ac:dyDescent="0.2">
      <c r="A2172" t="s">
        <v>64</v>
      </c>
      <c r="B2172" t="s">
        <v>64</v>
      </c>
      <c r="C2172" s="3" t="s">
        <v>64</v>
      </c>
      <c r="D2172" s="16" t="s">
        <v>64</v>
      </c>
      <c r="E2172" s="16">
        <v>0</v>
      </c>
      <c r="F2172" s="16" t="s">
        <v>64</v>
      </c>
      <c r="G2172" s="16" t="s">
        <v>64</v>
      </c>
    </row>
    <row r="2173" spans="1:7" x14ac:dyDescent="0.2">
      <c r="A2173" t="s">
        <v>64</v>
      </c>
      <c r="B2173" t="s">
        <v>64</v>
      </c>
      <c r="C2173" s="3" t="s">
        <v>64</v>
      </c>
      <c r="D2173" s="16" t="s">
        <v>64</v>
      </c>
      <c r="E2173" s="16">
        <v>0</v>
      </c>
      <c r="F2173" s="16" t="s">
        <v>64</v>
      </c>
      <c r="G2173" s="16" t="s">
        <v>64</v>
      </c>
    </row>
    <row r="2174" spans="1:7" x14ac:dyDescent="0.2">
      <c r="A2174" t="s">
        <v>64</v>
      </c>
      <c r="B2174" t="s">
        <v>64</v>
      </c>
      <c r="C2174" s="3" t="s">
        <v>64</v>
      </c>
      <c r="D2174" s="16" t="s">
        <v>64</v>
      </c>
      <c r="E2174" s="16">
        <v>0</v>
      </c>
      <c r="F2174" s="16" t="s">
        <v>64</v>
      </c>
      <c r="G2174" s="16" t="s">
        <v>64</v>
      </c>
    </row>
    <row r="2175" spans="1:7" x14ac:dyDescent="0.2">
      <c r="A2175" t="s">
        <v>64</v>
      </c>
      <c r="B2175" t="s">
        <v>64</v>
      </c>
      <c r="C2175" s="3" t="s">
        <v>64</v>
      </c>
      <c r="D2175" s="16" t="s">
        <v>64</v>
      </c>
      <c r="E2175" s="16">
        <v>0</v>
      </c>
      <c r="F2175" s="16" t="s">
        <v>64</v>
      </c>
      <c r="G2175" s="16" t="s">
        <v>64</v>
      </c>
    </row>
    <row r="2176" spans="1:7" x14ac:dyDescent="0.2">
      <c r="A2176" t="s">
        <v>64</v>
      </c>
      <c r="B2176" t="s">
        <v>64</v>
      </c>
      <c r="C2176" s="3" t="s">
        <v>64</v>
      </c>
      <c r="D2176" s="16" t="s">
        <v>64</v>
      </c>
      <c r="E2176" s="16">
        <v>0</v>
      </c>
      <c r="F2176" s="16" t="s">
        <v>64</v>
      </c>
      <c r="G2176" s="16" t="s">
        <v>64</v>
      </c>
    </row>
    <row r="2177" spans="1:7" x14ac:dyDescent="0.2">
      <c r="A2177" t="s">
        <v>64</v>
      </c>
      <c r="B2177" t="s">
        <v>64</v>
      </c>
      <c r="C2177" s="3" t="s">
        <v>64</v>
      </c>
      <c r="D2177" s="16" t="s">
        <v>64</v>
      </c>
      <c r="E2177" s="16">
        <v>0</v>
      </c>
      <c r="F2177" s="16" t="s">
        <v>64</v>
      </c>
      <c r="G2177" s="16" t="s">
        <v>64</v>
      </c>
    </row>
    <row r="2178" spans="1:7" x14ac:dyDescent="0.2">
      <c r="A2178" t="s">
        <v>64</v>
      </c>
      <c r="B2178" t="s">
        <v>64</v>
      </c>
      <c r="C2178" s="3" t="s">
        <v>64</v>
      </c>
      <c r="D2178" s="16" t="s">
        <v>64</v>
      </c>
      <c r="E2178" s="16">
        <v>0</v>
      </c>
      <c r="F2178" s="16" t="s">
        <v>64</v>
      </c>
      <c r="G2178" s="16" t="s">
        <v>64</v>
      </c>
    </row>
    <row r="2179" spans="1:7" x14ac:dyDescent="0.2">
      <c r="A2179" t="s">
        <v>64</v>
      </c>
      <c r="B2179" t="s">
        <v>64</v>
      </c>
      <c r="C2179" s="3" t="s">
        <v>64</v>
      </c>
      <c r="D2179" s="16" t="s">
        <v>64</v>
      </c>
      <c r="E2179" s="16">
        <v>0</v>
      </c>
      <c r="F2179" s="16" t="s">
        <v>64</v>
      </c>
      <c r="G2179" s="16" t="s">
        <v>64</v>
      </c>
    </row>
    <row r="2180" spans="1:7" x14ac:dyDescent="0.2">
      <c r="A2180" t="s">
        <v>64</v>
      </c>
      <c r="B2180" t="s">
        <v>64</v>
      </c>
      <c r="C2180" s="3" t="s">
        <v>64</v>
      </c>
      <c r="D2180" s="16" t="s">
        <v>64</v>
      </c>
      <c r="E2180" s="16">
        <v>0</v>
      </c>
      <c r="F2180" s="16" t="s">
        <v>64</v>
      </c>
      <c r="G2180" s="16" t="s">
        <v>64</v>
      </c>
    </row>
    <row r="2181" spans="1:7" x14ac:dyDescent="0.2">
      <c r="A2181" t="s">
        <v>64</v>
      </c>
      <c r="B2181" t="s">
        <v>64</v>
      </c>
      <c r="C2181" s="3" t="s">
        <v>64</v>
      </c>
      <c r="D2181" s="16" t="s">
        <v>64</v>
      </c>
      <c r="E2181" s="16">
        <v>0</v>
      </c>
      <c r="F2181" s="16" t="s">
        <v>64</v>
      </c>
      <c r="G2181" s="16" t="s">
        <v>64</v>
      </c>
    </row>
    <row r="2182" spans="1:7" x14ac:dyDescent="0.2">
      <c r="A2182" t="s">
        <v>64</v>
      </c>
      <c r="B2182" t="s">
        <v>64</v>
      </c>
      <c r="C2182" s="3" t="s">
        <v>64</v>
      </c>
      <c r="D2182" s="16" t="s">
        <v>64</v>
      </c>
      <c r="E2182" s="16">
        <v>0</v>
      </c>
      <c r="F2182" s="16" t="s">
        <v>64</v>
      </c>
      <c r="G2182" s="16" t="s">
        <v>64</v>
      </c>
    </row>
    <row r="2183" spans="1:7" x14ac:dyDescent="0.2">
      <c r="A2183" t="s">
        <v>64</v>
      </c>
      <c r="B2183" t="s">
        <v>64</v>
      </c>
      <c r="C2183" s="3" t="s">
        <v>64</v>
      </c>
      <c r="D2183" s="16" t="s">
        <v>64</v>
      </c>
      <c r="E2183" s="16">
        <v>0</v>
      </c>
      <c r="F2183" s="16" t="s">
        <v>64</v>
      </c>
      <c r="G2183" s="16" t="s">
        <v>64</v>
      </c>
    </row>
    <row r="2184" spans="1:7" x14ac:dyDescent="0.2">
      <c r="A2184" t="s">
        <v>64</v>
      </c>
      <c r="B2184" t="s">
        <v>64</v>
      </c>
      <c r="C2184" s="3" t="s">
        <v>64</v>
      </c>
      <c r="D2184" s="16" t="s">
        <v>64</v>
      </c>
      <c r="E2184" s="16">
        <v>0</v>
      </c>
      <c r="F2184" s="16" t="s">
        <v>64</v>
      </c>
      <c r="G2184" s="16" t="s">
        <v>64</v>
      </c>
    </row>
    <row r="2185" spans="1:7" x14ac:dyDescent="0.2">
      <c r="A2185" t="s">
        <v>64</v>
      </c>
      <c r="B2185" t="s">
        <v>64</v>
      </c>
      <c r="C2185" s="3" t="s">
        <v>64</v>
      </c>
      <c r="D2185" s="16" t="s">
        <v>64</v>
      </c>
      <c r="E2185" s="16">
        <v>0</v>
      </c>
      <c r="F2185" s="16" t="s">
        <v>64</v>
      </c>
      <c r="G2185" s="16" t="s">
        <v>64</v>
      </c>
    </row>
    <row r="2186" spans="1:7" x14ac:dyDescent="0.2">
      <c r="A2186" t="s">
        <v>64</v>
      </c>
      <c r="B2186" t="s">
        <v>64</v>
      </c>
      <c r="C2186" s="3" t="s">
        <v>64</v>
      </c>
      <c r="D2186" s="16" t="s">
        <v>64</v>
      </c>
      <c r="E2186" s="16">
        <v>0</v>
      </c>
      <c r="F2186" s="16" t="s">
        <v>64</v>
      </c>
      <c r="G2186" s="16" t="s">
        <v>64</v>
      </c>
    </row>
    <row r="2187" spans="1:7" x14ac:dyDescent="0.2">
      <c r="A2187" t="s">
        <v>64</v>
      </c>
      <c r="B2187" t="s">
        <v>64</v>
      </c>
      <c r="C2187" s="3" t="s">
        <v>64</v>
      </c>
      <c r="D2187" s="16" t="s">
        <v>64</v>
      </c>
      <c r="E2187" s="16">
        <v>0</v>
      </c>
      <c r="F2187" s="16" t="s">
        <v>64</v>
      </c>
      <c r="G2187" s="16" t="s">
        <v>64</v>
      </c>
    </row>
    <row r="2188" spans="1:7" x14ac:dyDescent="0.2">
      <c r="A2188" t="s">
        <v>64</v>
      </c>
      <c r="B2188" t="s">
        <v>64</v>
      </c>
      <c r="C2188" s="3" t="s">
        <v>64</v>
      </c>
      <c r="D2188" s="16" t="s">
        <v>64</v>
      </c>
      <c r="E2188" s="16">
        <v>0</v>
      </c>
      <c r="F2188" s="16" t="s">
        <v>64</v>
      </c>
      <c r="G2188" s="16" t="s">
        <v>64</v>
      </c>
    </row>
    <row r="2189" spans="1:7" x14ac:dyDescent="0.2">
      <c r="A2189" t="s">
        <v>64</v>
      </c>
      <c r="B2189" t="s">
        <v>64</v>
      </c>
      <c r="C2189" s="3" t="s">
        <v>64</v>
      </c>
      <c r="D2189" s="16" t="s">
        <v>64</v>
      </c>
      <c r="E2189" s="16">
        <v>0</v>
      </c>
      <c r="F2189" s="16" t="s">
        <v>64</v>
      </c>
      <c r="G2189" s="16" t="s">
        <v>64</v>
      </c>
    </row>
    <row r="2190" spans="1:7" x14ac:dyDescent="0.2">
      <c r="A2190" t="s">
        <v>64</v>
      </c>
      <c r="B2190" t="s">
        <v>64</v>
      </c>
      <c r="C2190" s="3" t="s">
        <v>64</v>
      </c>
      <c r="D2190" s="16" t="s">
        <v>64</v>
      </c>
      <c r="E2190" s="16">
        <v>0</v>
      </c>
      <c r="F2190" s="16" t="s">
        <v>64</v>
      </c>
      <c r="G2190" s="16" t="s">
        <v>64</v>
      </c>
    </row>
    <row r="2191" spans="1:7" x14ac:dyDescent="0.2">
      <c r="A2191" t="s">
        <v>64</v>
      </c>
      <c r="B2191" t="s">
        <v>64</v>
      </c>
      <c r="C2191" s="3" t="s">
        <v>64</v>
      </c>
      <c r="D2191" s="16" t="s">
        <v>64</v>
      </c>
      <c r="E2191" s="16">
        <v>0</v>
      </c>
      <c r="F2191" s="16" t="s">
        <v>64</v>
      </c>
      <c r="G2191" s="16" t="s">
        <v>64</v>
      </c>
    </row>
    <row r="2192" spans="1:7" x14ac:dyDescent="0.2">
      <c r="A2192" t="s">
        <v>64</v>
      </c>
      <c r="B2192" t="s">
        <v>64</v>
      </c>
      <c r="C2192" s="3" t="s">
        <v>64</v>
      </c>
      <c r="D2192" s="16" t="s">
        <v>64</v>
      </c>
      <c r="E2192" s="16">
        <v>0</v>
      </c>
      <c r="F2192" s="16" t="s">
        <v>64</v>
      </c>
      <c r="G2192" s="16" t="s">
        <v>64</v>
      </c>
    </row>
    <row r="2193" spans="1:7" x14ac:dyDescent="0.2">
      <c r="A2193" t="s">
        <v>64</v>
      </c>
      <c r="B2193" t="s">
        <v>64</v>
      </c>
      <c r="C2193" s="3" t="s">
        <v>64</v>
      </c>
      <c r="D2193" s="16" t="s">
        <v>64</v>
      </c>
      <c r="E2193" s="16">
        <v>0</v>
      </c>
      <c r="F2193" s="16" t="s">
        <v>64</v>
      </c>
      <c r="G2193" s="16" t="s">
        <v>64</v>
      </c>
    </row>
    <row r="2194" spans="1:7" x14ac:dyDescent="0.2">
      <c r="A2194" t="s">
        <v>64</v>
      </c>
      <c r="B2194" t="s">
        <v>64</v>
      </c>
      <c r="C2194" s="3" t="s">
        <v>64</v>
      </c>
      <c r="D2194" s="16" t="s">
        <v>64</v>
      </c>
      <c r="E2194" s="16">
        <v>0</v>
      </c>
      <c r="F2194" s="16" t="s">
        <v>64</v>
      </c>
      <c r="G2194" s="16" t="s">
        <v>64</v>
      </c>
    </row>
    <row r="2195" spans="1:7" x14ac:dyDescent="0.2">
      <c r="A2195" t="s">
        <v>64</v>
      </c>
      <c r="B2195" t="s">
        <v>64</v>
      </c>
      <c r="C2195" s="3" t="s">
        <v>64</v>
      </c>
      <c r="D2195" s="16" t="s">
        <v>64</v>
      </c>
      <c r="E2195" s="16">
        <v>0</v>
      </c>
      <c r="F2195" s="16" t="s">
        <v>64</v>
      </c>
      <c r="G2195" s="16" t="s">
        <v>64</v>
      </c>
    </row>
    <row r="2196" spans="1:7" x14ac:dyDescent="0.2">
      <c r="A2196" t="s">
        <v>64</v>
      </c>
      <c r="B2196" t="s">
        <v>64</v>
      </c>
      <c r="C2196" s="3" t="s">
        <v>64</v>
      </c>
      <c r="D2196" s="16" t="s">
        <v>64</v>
      </c>
      <c r="E2196" s="16">
        <v>0</v>
      </c>
      <c r="F2196" s="16" t="s">
        <v>64</v>
      </c>
      <c r="G2196" s="16" t="s">
        <v>64</v>
      </c>
    </row>
    <row r="2197" spans="1:7" x14ac:dyDescent="0.2">
      <c r="A2197" t="s">
        <v>64</v>
      </c>
      <c r="B2197" t="s">
        <v>64</v>
      </c>
      <c r="C2197" s="3" t="s">
        <v>64</v>
      </c>
      <c r="D2197" s="16" t="s">
        <v>64</v>
      </c>
      <c r="E2197" s="16">
        <v>0</v>
      </c>
      <c r="F2197" s="16" t="s">
        <v>64</v>
      </c>
      <c r="G2197" s="16" t="s">
        <v>64</v>
      </c>
    </row>
    <row r="2198" spans="1:7" x14ac:dyDescent="0.2">
      <c r="A2198" t="s">
        <v>64</v>
      </c>
      <c r="B2198" t="s">
        <v>64</v>
      </c>
      <c r="C2198" s="3" t="s">
        <v>64</v>
      </c>
      <c r="D2198" s="16" t="s">
        <v>64</v>
      </c>
      <c r="E2198" s="16">
        <v>0</v>
      </c>
      <c r="F2198" s="16" t="s">
        <v>64</v>
      </c>
      <c r="G2198" s="16" t="s">
        <v>64</v>
      </c>
    </row>
    <row r="2199" spans="1:7" x14ac:dyDescent="0.2">
      <c r="A2199" t="s">
        <v>64</v>
      </c>
      <c r="B2199" t="s">
        <v>64</v>
      </c>
      <c r="C2199" s="3" t="s">
        <v>64</v>
      </c>
      <c r="D2199" s="16" t="s">
        <v>64</v>
      </c>
      <c r="E2199" s="16">
        <v>0</v>
      </c>
      <c r="F2199" s="16" t="s">
        <v>64</v>
      </c>
      <c r="G2199" s="16" t="s">
        <v>64</v>
      </c>
    </row>
    <row r="2200" spans="1:7" x14ac:dyDescent="0.2">
      <c r="A2200" t="s">
        <v>64</v>
      </c>
      <c r="B2200" t="s">
        <v>64</v>
      </c>
      <c r="C2200" s="3" t="s">
        <v>64</v>
      </c>
      <c r="D2200" s="16" t="s">
        <v>64</v>
      </c>
      <c r="E2200" s="16">
        <v>0</v>
      </c>
      <c r="F2200" s="16" t="s">
        <v>64</v>
      </c>
      <c r="G2200" s="16" t="s">
        <v>64</v>
      </c>
    </row>
    <row r="2201" spans="1:7" x14ac:dyDescent="0.2">
      <c r="A2201" t="s">
        <v>64</v>
      </c>
      <c r="B2201" t="s">
        <v>64</v>
      </c>
      <c r="C2201" s="3" t="s">
        <v>64</v>
      </c>
      <c r="D2201" s="16" t="s">
        <v>64</v>
      </c>
      <c r="E2201" s="16">
        <v>0</v>
      </c>
      <c r="F2201" s="16" t="s">
        <v>64</v>
      </c>
      <c r="G2201" s="16" t="s">
        <v>64</v>
      </c>
    </row>
    <row r="2202" spans="1:7" x14ac:dyDescent="0.2">
      <c r="A2202" t="s">
        <v>64</v>
      </c>
      <c r="B2202" t="s">
        <v>64</v>
      </c>
      <c r="C2202" s="3" t="s">
        <v>64</v>
      </c>
      <c r="D2202" s="16" t="s">
        <v>64</v>
      </c>
      <c r="E2202" s="16">
        <v>0</v>
      </c>
      <c r="F2202" s="16" t="s">
        <v>64</v>
      </c>
      <c r="G2202" s="16" t="s">
        <v>64</v>
      </c>
    </row>
    <row r="2203" spans="1:7" x14ac:dyDescent="0.2">
      <c r="A2203" t="s">
        <v>64</v>
      </c>
      <c r="B2203" t="s">
        <v>64</v>
      </c>
      <c r="C2203" s="3" t="s">
        <v>64</v>
      </c>
      <c r="D2203" s="16" t="s">
        <v>64</v>
      </c>
      <c r="E2203" s="16">
        <v>0</v>
      </c>
      <c r="F2203" s="16" t="s">
        <v>64</v>
      </c>
      <c r="G2203" s="16" t="s">
        <v>64</v>
      </c>
    </row>
    <row r="2204" spans="1:7" x14ac:dyDescent="0.2">
      <c r="A2204" t="s">
        <v>64</v>
      </c>
      <c r="B2204" t="s">
        <v>64</v>
      </c>
      <c r="C2204" s="3" t="s">
        <v>64</v>
      </c>
      <c r="D2204" s="16" t="s">
        <v>64</v>
      </c>
      <c r="E2204" s="16">
        <v>0</v>
      </c>
      <c r="F2204" s="16" t="s">
        <v>64</v>
      </c>
      <c r="G2204" s="16" t="s">
        <v>64</v>
      </c>
    </row>
    <row r="2205" spans="1:7" x14ac:dyDescent="0.2">
      <c r="A2205" t="s">
        <v>64</v>
      </c>
      <c r="B2205" t="s">
        <v>64</v>
      </c>
      <c r="C2205" s="3" t="s">
        <v>64</v>
      </c>
      <c r="D2205" s="16" t="s">
        <v>64</v>
      </c>
      <c r="E2205" s="16">
        <v>0</v>
      </c>
      <c r="F2205" s="16" t="s">
        <v>64</v>
      </c>
      <c r="G2205" s="16" t="s">
        <v>64</v>
      </c>
    </row>
    <row r="2206" spans="1:7" x14ac:dyDescent="0.2">
      <c r="A2206" t="s">
        <v>64</v>
      </c>
      <c r="B2206" t="s">
        <v>64</v>
      </c>
      <c r="C2206" s="3" t="s">
        <v>64</v>
      </c>
      <c r="D2206" s="16" t="s">
        <v>64</v>
      </c>
      <c r="E2206" s="16">
        <v>0</v>
      </c>
      <c r="F2206" s="16" t="s">
        <v>64</v>
      </c>
      <c r="G2206" s="16" t="s">
        <v>64</v>
      </c>
    </row>
    <row r="2207" spans="1:7" x14ac:dyDescent="0.2">
      <c r="A2207" t="s">
        <v>64</v>
      </c>
      <c r="B2207" t="s">
        <v>64</v>
      </c>
      <c r="C2207" s="3" t="s">
        <v>64</v>
      </c>
      <c r="D2207" s="16" t="s">
        <v>64</v>
      </c>
      <c r="E2207" s="16">
        <v>0</v>
      </c>
      <c r="F2207" s="16" t="s">
        <v>64</v>
      </c>
      <c r="G2207" s="16" t="s">
        <v>64</v>
      </c>
    </row>
    <row r="2208" spans="1:7" x14ac:dyDescent="0.2">
      <c r="A2208" t="s">
        <v>64</v>
      </c>
      <c r="B2208" t="s">
        <v>64</v>
      </c>
      <c r="C2208" s="3" t="s">
        <v>64</v>
      </c>
      <c r="D2208" s="16" t="s">
        <v>64</v>
      </c>
      <c r="E2208" s="16">
        <v>0</v>
      </c>
      <c r="F2208" s="16" t="s">
        <v>64</v>
      </c>
      <c r="G2208" s="16" t="s">
        <v>64</v>
      </c>
    </row>
    <row r="2209" spans="1:7" x14ac:dyDescent="0.2">
      <c r="A2209" t="s">
        <v>64</v>
      </c>
      <c r="B2209" t="s">
        <v>64</v>
      </c>
      <c r="C2209" s="3" t="s">
        <v>64</v>
      </c>
      <c r="D2209" s="16" t="s">
        <v>64</v>
      </c>
      <c r="E2209" s="16">
        <v>0</v>
      </c>
      <c r="F2209" s="16" t="s">
        <v>64</v>
      </c>
      <c r="G2209" s="16" t="s">
        <v>64</v>
      </c>
    </row>
    <row r="2210" spans="1:7" x14ac:dyDescent="0.2">
      <c r="A2210" t="s">
        <v>64</v>
      </c>
      <c r="B2210" t="s">
        <v>64</v>
      </c>
      <c r="C2210" s="3" t="s">
        <v>64</v>
      </c>
      <c r="D2210" s="16" t="s">
        <v>64</v>
      </c>
      <c r="E2210" s="16">
        <v>0</v>
      </c>
      <c r="F2210" s="16" t="s">
        <v>64</v>
      </c>
      <c r="G2210" s="16" t="s">
        <v>64</v>
      </c>
    </row>
    <row r="2211" spans="1:7" x14ac:dyDescent="0.2">
      <c r="A2211" t="s">
        <v>64</v>
      </c>
      <c r="B2211" t="s">
        <v>64</v>
      </c>
      <c r="C2211" s="3" t="s">
        <v>64</v>
      </c>
      <c r="D2211" s="16" t="s">
        <v>64</v>
      </c>
      <c r="E2211" s="16">
        <v>0</v>
      </c>
      <c r="F2211" s="16" t="s">
        <v>64</v>
      </c>
      <c r="G2211" s="16" t="s">
        <v>64</v>
      </c>
    </row>
    <row r="2212" spans="1:7" x14ac:dyDescent="0.2">
      <c r="A2212" t="s">
        <v>64</v>
      </c>
      <c r="B2212" t="s">
        <v>64</v>
      </c>
      <c r="C2212" s="3" t="s">
        <v>64</v>
      </c>
      <c r="D2212" s="16" t="s">
        <v>64</v>
      </c>
      <c r="E2212" s="16">
        <v>0</v>
      </c>
      <c r="F2212" s="16" t="s">
        <v>64</v>
      </c>
      <c r="G2212" s="16" t="s">
        <v>64</v>
      </c>
    </row>
    <row r="2213" spans="1:7" x14ac:dyDescent="0.2">
      <c r="A2213" t="s">
        <v>64</v>
      </c>
      <c r="B2213" t="s">
        <v>64</v>
      </c>
      <c r="C2213" s="3" t="s">
        <v>64</v>
      </c>
      <c r="D2213" s="16" t="s">
        <v>64</v>
      </c>
      <c r="E2213" s="16">
        <v>0</v>
      </c>
      <c r="F2213" s="16" t="s">
        <v>64</v>
      </c>
      <c r="G2213" s="16" t="s">
        <v>64</v>
      </c>
    </row>
    <row r="2214" spans="1:7" x14ac:dyDescent="0.2">
      <c r="A2214" t="s">
        <v>64</v>
      </c>
      <c r="B2214" t="s">
        <v>64</v>
      </c>
      <c r="C2214" s="3" t="s">
        <v>64</v>
      </c>
      <c r="D2214" s="16" t="s">
        <v>64</v>
      </c>
      <c r="E2214" s="16">
        <v>0</v>
      </c>
      <c r="F2214" s="16" t="s">
        <v>64</v>
      </c>
      <c r="G2214" s="16" t="s">
        <v>64</v>
      </c>
    </row>
    <row r="2215" spans="1:7" x14ac:dyDescent="0.2">
      <c r="A2215" t="s">
        <v>64</v>
      </c>
      <c r="B2215" t="s">
        <v>64</v>
      </c>
      <c r="C2215" s="3" t="s">
        <v>64</v>
      </c>
      <c r="D2215" s="16" t="s">
        <v>64</v>
      </c>
      <c r="E2215" s="16">
        <v>0</v>
      </c>
      <c r="F2215" s="16" t="s">
        <v>64</v>
      </c>
      <c r="G2215" s="16" t="s">
        <v>64</v>
      </c>
    </row>
    <row r="2216" spans="1:7" x14ac:dyDescent="0.2">
      <c r="A2216" t="s">
        <v>64</v>
      </c>
      <c r="B2216" t="s">
        <v>64</v>
      </c>
      <c r="C2216" s="3" t="s">
        <v>64</v>
      </c>
      <c r="D2216" s="16" t="s">
        <v>64</v>
      </c>
      <c r="E2216" s="16">
        <v>0</v>
      </c>
      <c r="F2216" s="16" t="s">
        <v>64</v>
      </c>
      <c r="G2216" s="16" t="s">
        <v>64</v>
      </c>
    </row>
    <row r="2217" spans="1:7" x14ac:dyDescent="0.2">
      <c r="A2217" t="s">
        <v>64</v>
      </c>
      <c r="B2217" t="s">
        <v>64</v>
      </c>
      <c r="C2217" s="3" t="s">
        <v>64</v>
      </c>
      <c r="D2217" s="16" t="s">
        <v>64</v>
      </c>
      <c r="E2217" s="16">
        <v>0</v>
      </c>
      <c r="F2217" s="16" t="s">
        <v>64</v>
      </c>
      <c r="G2217" s="16" t="s">
        <v>64</v>
      </c>
    </row>
    <row r="2218" spans="1:7" x14ac:dyDescent="0.2">
      <c r="A2218" t="s">
        <v>64</v>
      </c>
      <c r="B2218" t="s">
        <v>64</v>
      </c>
      <c r="C2218" s="3" t="s">
        <v>64</v>
      </c>
      <c r="D2218" s="16" t="s">
        <v>64</v>
      </c>
      <c r="E2218" s="16">
        <v>0</v>
      </c>
      <c r="F2218" s="16" t="s">
        <v>64</v>
      </c>
      <c r="G2218" s="16" t="s">
        <v>64</v>
      </c>
    </row>
    <row r="2219" spans="1:7" x14ac:dyDescent="0.2">
      <c r="A2219" t="s">
        <v>64</v>
      </c>
      <c r="B2219" t="s">
        <v>64</v>
      </c>
      <c r="C2219" s="3" t="s">
        <v>64</v>
      </c>
      <c r="D2219" s="16" t="s">
        <v>64</v>
      </c>
      <c r="E2219" s="16">
        <v>0</v>
      </c>
      <c r="F2219" s="16" t="s">
        <v>64</v>
      </c>
      <c r="G2219" s="16" t="s">
        <v>64</v>
      </c>
    </row>
    <row r="2220" spans="1:7" x14ac:dyDescent="0.2">
      <c r="A2220" t="s">
        <v>64</v>
      </c>
      <c r="B2220" t="s">
        <v>64</v>
      </c>
      <c r="C2220" s="3" t="s">
        <v>64</v>
      </c>
      <c r="D2220" s="16" t="s">
        <v>64</v>
      </c>
      <c r="E2220" s="16">
        <v>0</v>
      </c>
      <c r="F2220" s="16" t="s">
        <v>64</v>
      </c>
      <c r="G2220" s="16" t="s">
        <v>64</v>
      </c>
    </row>
    <row r="2221" spans="1:7" x14ac:dyDescent="0.2">
      <c r="A2221" t="s">
        <v>64</v>
      </c>
      <c r="B2221" t="s">
        <v>64</v>
      </c>
      <c r="C2221" s="3" t="s">
        <v>64</v>
      </c>
      <c r="D2221" s="16" t="s">
        <v>64</v>
      </c>
      <c r="E2221" s="16">
        <v>0</v>
      </c>
      <c r="F2221" s="16" t="s">
        <v>64</v>
      </c>
      <c r="G2221" s="16" t="s">
        <v>64</v>
      </c>
    </row>
    <row r="2222" spans="1:7" x14ac:dyDescent="0.2">
      <c r="A2222" t="s">
        <v>64</v>
      </c>
      <c r="B2222" t="s">
        <v>64</v>
      </c>
      <c r="C2222" s="3" t="s">
        <v>64</v>
      </c>
      <c r="D2222" s="16" t="s">
        <v>64</v>
      </c>
      <c r="E2222" s="16">
        <v>0</v>
      </c>
      <c r="F2222" s="16" t="s">
        <v>64</v>
      </c>
      <c r="G2222" s="16" t="s">
        <v>64</v>
      </c>
    </row>
    <row r="2223" spans="1:7" x14ac:dyDescent="0.2">
      <c r="A2223" t="s">
        <v>64</v>
      </c>
      <c r="B2223" t="s">
        <v>64</v>
      </c>
      <c r="C2223" s="3" t="s">
        <v>64</v>
      </c>
      <c r="D2223" s="16" t="s">
        <v>64</v>
      </c>
      <c r="E2223" s="16">
        <v>0</v>
      </c>
      <c r="F2223" s="16" t="s">
        <v>64</v>
      </c>
      <c r="G2223" s="16" t="s">
        <v>64</v>
      </c>
    </row>
    <row r="2224" spans="1:7" x14ac:dyDescent="0.2">
      <c r="A2224" t="s">
        <v>64</v>
      </c>
      <c r="B2224" t="s">
        <v>64</v>
      </c>
      <c r="C2224" s="3" t="s">
        <v>64</v>
      </c>
      <c r="D2224" s="16" t="s">
        <v>64</v>
      </c>
      <c r="E2224" s="16">
        <v>0</v>
      </c>
      <c r="F2224" s="16" t="s">
        <v>64</v>
      </c>
      <c r="G2224" s="16" t="s">
        <v>64</v>
      </c>
    </row>
    <row r="2225" spans="1:7" x14ac:dyDescent="0.2">
      <c r="A2225" t="s">
        <v>64</v>
      </c>
      <c r="B2225" t="s">
        <v>64</v>
      </c>
      <c r="C2225" s="3" t="s">
        <v>64</v>
      </c>
      <c r="D2225" s="16" t="s">
        <v>64</v>
      </c>
      <c r="E2225" s="16">
        <v>0</v>
      </c>
      <c r="F2225" s="16" t="s">
        <v>64</v>
      </c>
      <c r="G2225" s="16" t="s">
        <v>64</v>
      </c>
    </row>
    <row r="2226" spans="1:7" x14ac:dyDescent="0.2">
      <c r="A2226" t="s">
        <v>64</v>
      </c>
      <c r="B2226" t="s">
        <v>64</v>
      </c>
      <c r="C2226" s="3" t="s">
        <v>64</v>
      </c>
      <c r="D2226" s="16" t="s">
        <v>64</v>
      </c>
      <c r="E2226" s="16">
        <v>0</v>
      </c>
      <c r="F2226" s="16" t="s">
        <v>64</v>
      </c>
      <c r="G2226" s="16" t="s">
        <v>64</v>
      </c>
    </row>
    <row r="2227" spans="1:7" x14ac:dyDescent="0.2">
      <c r="A2227" t="s">
        <v>64</v>
      </c>
      <c r="B2227" t="s">
        <v>64</v>
      </c>
      <c r="C2227" s="3" t="s">
        <v>64</v>
      </c>
      <c r="D2227" s="16" t="s">
        <v>64</v>
      </c>
      <c r="E2227" s="16">
        <v>0</v>
      </c>
      <c r="F2227" s="16" t="s">
        <v>64</v>
      </c>
      <c r="G2227" s="16" t="s">
        <v>64</v>
      </c>
    </row>
    <row r="2228" spans="1:7" x14ac:dyDescent="0.2">
      <c r="A2228" t="s">
        <v>64</v>
      </c>
      <c r="B2228" t="s">
        <v>64</v>
      </c>
      <c r="C2228" s="3" t="s">
        <v>64</v>
      </c>
      <c r="D2228" s="16" t="s">
        <v>64</v>
      </c>
      <c r="E2228" s="16">
        <v>0</v>
      </c>
      <c r="F2228" s="16" t="s">
        <v>64</v>
      </c>
      <c r="G2228" s="16" t="s">
        <v>64</v>
      </c>
    </row>
    <row r="2229" spans="1:7" x14ac:dyDescent="0.2">
      <c r="A2229" t="s">
        <v>64</v>
      </c>
      <c r="B2229" t="s">
        <v>64</v>
      </c>
      <c r="C2229" s="3" t="s">
        <v>64</v>
      </c>
      <c r="D2229" s="16" t="s">
        <v>64</v>
      </c>
      <c r="E2229" s="16">
        <v>0</v>
      </c>
      <c r="F2229" s="16" t="s">
        <v>64</v>
      </c>
      <c r="G2229" s="16" t="s">
        <v>64</v>
      </c>
    </row>
    <row r="2230" spans="1:7" x14ac:dyDescent="0.2">
      <c r="A2230" t="s">
        <v>64</v>
      </c>
      <c r="B2230" t="s">
        <v>64</v>
      </c>
      <c r="C2230" s="3" t="s">
        <v>64</v>
      </c>
      <c r="D2230" s="16" t="s">
        <v>64</v>
      </c>
      <c r="E2230" s="16">
        <v>0</v>
      </c>
      <c r="F2230" s="16" t="s">
        <v>64</v>
      </c>
      <c r="G2230" s="16" t="s">
        <v>64</v>
      </c>
    </row>
    <row r="2231" spans="1:7" x14ac:dyDescent="0.2">
      <c r="A2231" t="s">
        <v>64</v>
      </c>
      <c r="B2231" t="s">
        <v>64</v>
      </c>
      <c r="C2231" s="3" t="s">
        <v>64</v>
      </c>
      <c r="D2231" s="16" t="s">
        <v>64</v>
      </c>
      <c r="E2231" s="16">
        <v>0</v>
      </c>
      <c r="F2231" s="16" t="s">
        <v>64</v>
      </c>
      <c r="G2231" s="16" t="s">
        <v>64</v>
      </c>
    </row>
    <row r="2232" spans="1:7" x14ac:dyDescent="0.2">
      <c r="A2232" t="s">
        <v>64</v>
      </c>
      <c r="B2232" t="s">
        <v>64</v>
      </c>
      <c r="C2232" s="3" t="s">
        <v>64</v>
      </c>
      <c r="D2232" s="16" t="s">
        <v>64</v>
      </c>
      <c r="E2232" s="16">
        <v>0</v>
      </c>
      <c r="F2232" s="16" t="s">
        <v>64</v>
      </c>
      <c r="G2232" s="16" t="s">
        <v>64</v>
      </c>
    </row>
    <row r="2233" spans="1:7" x14ac:dyDescent="0.2">
      <c r="A2233" t="s">
        <v>64</v>
      </c>
      <c r="B2233" t="s">
        <v>64</v>
      </c>
      <c r="C2233" s="3" t="s">
        <v>64</v>
      </c>
      <c r="D2233" s="16" t="s">
        <v>64</v>
      </c>
      <c r="E2233" s="16">
        <v>0</v>
      </c>
      <c r="F2233" s="16" t="s">
        <v>64</v>
      </c>
      <c r="G2233" s="16" t="s">
        <v>64</v>
      </c>
    </row>
    <row r="2234" spans="1:7" x14ac:dyDescent="0.2">
      <c r="A2234" t="s">
        <v>64</v>
      </c>
      <c r="B2234" t="s">
        <v>64</v>
      </c>
      <c r="C2234" s="3" t="s">
        <v>64</v>
      </c>
      <c r="D2234" s="16" t="s">
        <v>64</v>
      </c>
      <c r="E2234" s="16">
        <v>0</v>
      </c>
      <c r="F2234" s="16" t="s">
        <v>64</v>
      </c>
      <c r="G2234" s="16" t="s">
        <v>64</v>
      </c>
    </row>
    <row r="2235" spans="1:7" x14ac:dyDescent="0.2">
      <c r="A2235" t="s">
        <v>64</v>
      </c>
      <c r="B2235" t="s">
        <v>64</v>
      </c>
      <c r="C2235" s="3" t="s">
        <v>64</v>
      </c>
      <c r="D2235" s="16" t="s">
        <v>64</v>
      </c>
      <c r="E2235" s="16">
        <v>0</v>
      </c>
      <c r="F2235" s="16" t="s">
        <v>64</v>
      </c>
      <c r="G2235" s="16" t="s">
        <v>64</v>
      </c>
    </row>
    <row r="2236" spans="1:7" x14ac:dyDescent="0.2">
      <c r="A2236" t="s">
        <v>64</v>
      </c>
      <c r="B2236" t="s">
        <v>64</v>
      </c>
      <c r="C2236" s="3" t="s">
        <v>64</v>
      </c>
      <c r="D2236" s="16" t="s">
        <v>64</v>
      </c>
      <c r="E2236" s="16">
        <v>0</v>
      </c>
      <c r="F2236" s="16" t="s">
        <v>64</v>
      </c>
      <c r="G2236" s="16" t="s">
        <v>64</v>
      </c>
    </row>
    <row r="2237" spans="1:7" x14ac:dyDescent="0.2">
      <c r="A2237" t="s">
        <v>64</v>
      </c>
      <c r="B2237" t="s">
        <v>64</v>
      </c>
      <c r="C2237" s="3" t="s">
        <v>64</v>
      </c>
      <c r="D2237" s="16" t="s">
        <v>64</v>
      </c>
      <c r="E2237" s="16">
        <v>0</v>
      </c>
      <c r="F2237" s="16" t="s">
        <v>64</v>
      </c>
      <c r="G2237" s="16" t="s">
        <v>64</v>
      </c>
    </row>
    <row r="2238" spans="1:7" x14ac:dyDescent="0.2">
      <c r="A2238" t="s">
        <v>64</v>
      </c>
      <c r="B2238" t="s">
        <v>64</v>
      </c>
      <c r="C2238" s="3" t="s">
        <v>64</v>
      </c>
      <c r="D2238" s="16" t="s">
        <v>64</v>
      </c>
      <c r="E2238" s="16">
        <v>0</v>
      </c>
      <c r="F2238" s="16" t="s">
        <v>64</v>
      </c>
      <c r="G2238" s="16" t="s">
        <v>64</v>
      </c>
    </row>
    <row r="2239" spans="1:7" x14ac:dyDescent="0.2">
      <c r="A2239" t="s">
        <v>64</v>
      </c>
      <c r="B2239" t="s">
        <v>64</v>
      </c>
      <c r="C2239" s="3" t="s">
        <v>64</v>
      </c>
      <c r="D2239" s="16" t="s">
        <v>64</v>
      </c>
      <c r="E2239" s="16">
        <v>0</v>
      </c>
      <c r="F2239" s="16" t="s">
        <v>64</v>
      </c>
      <c r="G2239" s="16" t="s">
        <v>64</v>
      </c>
    </row>
    <row r="2240" spans="1:7" x14ac:dyDescent="0.2">
      <c r="A2240" t="s">
        <v>64</v>
      </c>
      <c r="B2240" t="s">
        <v>64</v>
      </c>
      <c r="C2240" s="3" t="s">
        <v>64</v>
      </c>
      <c r="D2240" s="16" t="s">
        <v>64</v>
      </c>
      <c r="E2240" s="16">
        <v>0</v>
      </c>
      <c r="F2240" s="16" t="s">
        <v>64</v>
      </c>
      <c r="G2240" s="16" t="s">
        <v>64</v>
      </c>
    </row>
    <row r="2241" spans="1:7" x14ac:dyDescent="0.2">
      <c r="A2241" t="s">
        <v>64</v>
      </c>
      <c r="B2241" t="s">
        <v>64</v>
      </c>
      <c r="C2241" s="3" t="s">
        <v>64</v>
      </c>
      <c r="D2241" s="16" t="s">
        <v>64</v>
      </c>
      <c r="E2241" s="16">
        <v>0</v>
      </c>
      <c r="F2241" s="16" t="s">
        <v>64</v>
      </c>
      <c r="G2241" s="16" t="s">
        <v>64</v>
      </c>
    </row>
    <row r="2242" spans="1:7" x14ac:dyDescent="0.2">
      <c r="A2242" t="s">
        <v>64</v>
      </c>
      <c r="B2242" t="s">
        <v>64</v>
      </c>
      <c r="C2242" s="3" t="s">
        <v>64</v>
      </c>
      <c r="D2242" s="16" t="s">
        <v>64</v>
      </c>
      <c r="E2242" s="16">
        <v>0</v>
      </c>
      <c r="F2242" s="16" t="s">
        <v>64</v>
      </c>
      <c r="G2242" s="16" t="s">
        <v>64</v>
      </c>
    </row>
    <row r="2243" spans="1:7" x14ac:dyDescent="0.2">
      <c r="A2243" t="s">
        <v>64</v>
      </c>
      <c r="B2243" t="s">
        <v>64</v>
      </c>
      <c r="C2243" s="3" t="s">
        <v>64</v>
      </c>
      <c r="D2243" s="16" t="s">
        <v>64</v>
      </c>
      <c r="E2243" s="16">
        <v>0</v>
      </c>
      <c r="F2243" s="16" t="s">
        <v>64</v>
      </c>
      <c r="G2243" s="16" t="s">
        <v>64</v>
      </c>
    </row>
    <row r="2244" spans="1:7" x14ac:dyDescent="0.2">
      <c r="A2244" t="s">
        <v>64</v>
      </c>
      <c r="B2244" t="s">
        <v>64</v>
      </c>
      <c r="C2244" s="3" t="s">
        <v>64</v>
      </c>
      <c r="D2244" s="16" t="s">
        <v>64</v>
      </c>
      <c r="E2244" s="16">
        <v>0</v>
      </c>
      <c r="F2244" s="16" t="s">
        <v>64</v>
      </c>
      <c r="G2244" s="16" t="s">
        <v>64</v>
      </c>
    </row>
    <row r="2245" spans="1:7" x14ac:dyDescent="0.2">
      <c r="A2245" t="s">
        <v>64</v>
      </c>
      <c r="B2245" t="s">
        <v>64</v>
      </c>
      <c r="C2245" s="3" t="s">
        <v>64</v>
      </c>
      <c r="D2245" s="16" t="s">
        <v>64</v>
      </c>
      <c r="E2245" s="16">
        <v>0</v>
      </c>
      <c r="F2245" s="16" t="s">
        <v>64</v>
      </c>
      <c r="G2245" s="16" t="s">
        <v>64</v>
      </c>
    </row>
    <row r="2246" spans="1:7" x14ac:dyDescent="0.2">
      <c r="A2246" t="s">
        <v>64</v>
      </c>
      <c r="B2246" t="s">
        <v>64</v>
      </c>
      <c r="C2246" s="3" t="s">
        <v>64</v>
      </c>
      <c r="D2246" s="16" t="s">
        <v>64</v>
      </c>
      <c r="E2246" s="16">
        <v>0</v>
      </c>
      <c r="F2246" s="16" t="s">
        <v>64</v>
      </c>
      <c r="G2246" s="16" t="s">
        <v>64</v>
      </c>
    </row>
    <row r="2247" spans="1:7" x14ac:dyDescent="0.2">
      <c r="A2247" t="s">
        <v>64</v>
      </c>
      <c r="B2247" t="s">
        <v>64</v>
      </c>
      <c r="C2247" s="3" t="s">
        <v>64</v>
      </c>
      <c r="D2247" s="16" t="s">
        <v>64</v>
      </c>
      <c r="E2247" s="16">
        <v>0</v>
      </c>
      <c r="F2247" s="16" t="s">
        <v>64</v>
      </c>
      <c r="G2247" s="16" t="s">
        <v>64</v>
      </c>
    </row>
    <row r="2248" spans="1:7" x14ac:dyDescent="0.2">
      <c r="A2248" t="s">
        <v>64</v>
      </c>
      <c r="B2248" t="s">
        <v>64</v>
      </c>
      <c r="C2248" s="3" t="s">
        <v>64</v>
      </c>
      <c r="D2248" s="16" t="s">
        <v>64</v>
      </c>
      <c r="E2248" s="16">
        <v>0</v>
      </c>
      <c r="F2248" s="16" t="s">
        <v>64</v>
      </c>
      <c r="G2248" s="16" t="s">
        <v>64</v>
      </c>
    </row>
    <row r="2249" spans="1:7" x14ac:dyDescent="0.2">
      <c r="A2249" t="s">
        <v>64</v>
      </c>
      <c r="B2249" t="s">
        <v>64</v>
      </c>
      <c r="C2249" s="3" t="s">
        <v>64</v>
      </c>
      <c r="D2249" s="16" t="s">
        <v>64</v>
      </c>
      <c r="E2249" s="16">
        <v>0</v>
      </c>
      <c r="F2249" s="16" t="s">
        <v>64</v>
      </c>
      <c r="G2249" s="16" t="s">
        <v>64</v>
      </c>
    </row>
    <row r="2250" spans="1:7" x14ac:dyDescent="0.2">
      <c r="A2250" t="s">
        <v>64</v>
      </c>
      <c r="B2250" t="s">
        <v>64</v>
      </c>
      <c r="C2250" s="3" t="s">
        <v>64</v>
      </c>
      <c r="D2250" s="16" t="s">
        <v>64</v>
      </c>
      <c r="E2250" s="16">
        <v>0</v>
      </c>
      <c r="F2250" s="16" t="s">
        <v>64</v>
      </c>
      <c r="G2250" s="16" t="s">
        <v>64</v>
      </c>
    </row>
    <row r="2251" spans="1:7" x14ac:dyDescent="0.2">
      <c r="A2251" t="s">
        <v>64</v>
      </c>
      <c r="B2251" t="s">
        <v>64</v>
      </c>
      <c r="C2251" s="3" t="s">
        <v>64</v>
      </c>
      <c r="D2251" s="16" t="s">
        <v>64</v>
      </c>
      <c r="E2251" s="16">
        <v>0</v>
      </c>
      <c r="F2251" s="16" t="s">
        <v>64</v>
      </c>
      <c r="G2251" s="16" t="s">
        <v>64</v>
      </c>
    </row>
    <row r="2252" spans="1:7" x14ac:dyDescent="0.2">
      <c r="A2252" t="s">
        <v>64</v>
      </c>
      <c r="B2252" t="s">
        <v>64</v>
      </c>
      <c r="C2252" s="3" t="s">
        <v>64</v>
      </c>
      <c r="D2252" s="16" t="s">
        <v>64</v>
      </c>
      <c r="E2252" s="16">
        <v>0</v>
      </c>
      <c r="F2252" s="16" t="s">
        <v>64</v>
      </c>
      <c r="G2252" s="16" t="s">
        <v>64</v>
      </c>
    </row>
    <row r="2253" spans="1:7" x14ac:dyDescent="0.2">
      <c r="A2253" t="s">
        <v>64</v>
      </c>
      <c r="B2253" t="s">
        <v>64</v>
      </c>
      <c r="C2253" s="3" t="s">
        <v>64</v>
      </c>
      <c r="D2253" s="16" t="s">
        <v>64</v>
      </c>
      <c r="E2253" s="16">
        <v>0</v>
      </c>
      <c r="F2253" s="16" t="s">
        <v>64</v>
      </c>
      <c r="G2253" s="16" t="s">
        <v>64</v>
      </c>
    </row>
    <row r="2254" spans="1:7" x14ac:dyDescent="0.2">
      <c r="A2254" t="s">
        <v>64</v>
      </c>
      <c r="B2254" t="s">
        <v>64</v>
      </c>
      <c r="C2254" s="3" t="s">
        <v>64</v>
      </c>
      <c r="D2254" s="16" t="s">
        <v>64</v>
      </c>
      <c r="E2254" s="16">
        <v>0</v>
      </c>
      <c r="F2254" s="16" t="s">
        <v>64</v>
      </c>
      <c r="G2254" s="16" t="s">
        <v>64</v>
      </c>
    </row>
    <row r="2255" spans="1:7" x14ac:dyDescent="0.2">
      <c r="A2255" t="s">
        <v>64</v>
      </c>
      <c r="B2255" t="s">
        <v>64</v>
      </c>
      <c r="C2255" s="3" t="s">
        <v>64</v>
      </c>
      <c r="D2255" s="16" t="s">
        <v>64</v>
      </c>
      <c r="E2255" s="16">
        <v>0</v>
      </c>
      <c r="F2255" s="16" t="s">
        <v>64</v>
      </c>
      <c r="G2255" s="16" t="s">
        <v>64</v>
      </c>
    </row>
    <row r="2256" spans="1:7" x14ac:dyDescent="0.2">
      <c r="A2256" t="s">
        <v>64</v>
      </c>
      <c r="B2256" t="s">
        <v>64</v>
      </c>
      <c r="C2256" s="3" t="s">
        <v>64</v>
      </c>
      <c r="D2256" s="16" t="s">
        <v>64</v>
      </c>
      <c r="E2256" s="16">
        <v>0</v>
      </c>
      <c r="F2256" s="16" t="s">
        <v>64</v>
      </c>
      <c r="G2256" s="16" t="s">
        <v>64</v>
      </c>
    </row>
    <row r="2257" spans="1:7" x14ac:dyDescent="0.2">
      <c r="A2257" t="s">
        <v>64</v>
      </c>
      <c r="B2257" t="s">
        <v>64</v>
      </c>
      <c r="C2257" s="3" t="s">
        <v>64</v>
      </c>
      <c r="D2257" s="16" t="s">
        <v>64</v>
      </c>
      <c r="E2257" s="16">
        <v>0</v>
      </c>
      <c r="F2257" s="16" t="s">
        <v>64</v>
      </c>
      <c r="G2257" s="16" t="s">
        <v>64</v>
      </c>
    </row>
    <row r="2258" spans="1:7" x14ac:dyDescent="0.2">
      <c r="A2258" t="s">
        <v>64</v>
      </c>
      <c r="B2258" t="s">
        <v>64</v>
      </c>
      <c r="C2258" s="3" t="s">
        <v>64</v>
      </c>
      <c r="D2258" s="16" t="s">
        <v>64</v>
      </c>
      <c r="E2258" s="16">
        <v>0</v>
      </c>
      <c r="F2258" s="16" t="s">
        <v>64</v>
      </c>
      <c r="G2258" s="16" t="s">
        <v>64</v>
      </c>
    </row>
    <row r="2259" spans="1:7" x14ac:dyDescent="0.2">
      <c r="A2259" t="s">
        <v>64</v>
      </c>
      <c r="B2259" t="s">
        <v>64</v>
      </c>
      <c r="C2259" s="3" t="s">
        <v>64</v>
      </c>
      <c r="D2259" s="16" t="s">
        <v>64</v>
      </c>
      <c r="E2259" s="16">
        <v>0</v>
      </c>
      <c r="F2259" s="16" t="s">
        <v>64</v>
      </c>
      <c r="G2259" s="16" t="s">
        <v>64</v>
      </c>
    </row>
    <row r="2260" spans="1:7" x14ac:dyDescent="0.2">
      <c r="A2260" t="s">
        <v>64</v>
      </c>
      <c r="B2260" t="s">
        <v>64</v>
      </c>
      <c r="C2260" s="3" t="s">
        <v>64</v>
      </c>
      <c r="D2260" s="16" t="s">
        <v>64</v>
      </c>
      <c r="E2260" s="16">
        <v>0</v>
      </c>
      <c r="F2260" s="16" t="s">
        <v>64</v>
      </c>
      <c r="G2260" s="16" t="s">
        <v>64</v>
      </c>
    </row>
    <row r="2261" spans="1:7" x14ac:dyDescent="0.2">
      <c r="A2261" t="s">
        <v>64</v>
      </c>
      <c r="B2261" t="s">
        <v>64</v>
      </c>
      <c r="C2261" s="3" t="s">
        <v>64</v>
      </c>
      <c r="D2261" s="16" t="s">
        <v>64</v>
      </c>
      <c r="E2261" s="16">
        <v>0</v>
      </c>
      <c r="F2261" s="16" t="s">
        <v>64</v>
      </c>
      <c r="G2261" s="16" t="s">
        <v>64</v>
      </c>
    </row>
    <row r="2262" spans="1:7" x14ac:dyDescent="0.2">
      <c r="A2262" t="s">
        <v>64</v>
      </c>
      <c r="B2262" t="s">
        <v>64</v>
      </c>
      <c r="C2262" s="3" t="s">
        <v>64</v>
      </c>
      <c r="D2262" s="16" t="s">
        <v>64</v>
      </c>
      <c r="E2262" s="16">
        <v>0</v>
      </c>
      <c r="F2262" s="16" t="s">
        <v>64</v>
      </c>
      <c r="G2262" s="16" t="s">
        <v>64</v>
      </c>
    </row>
    <row r="2263" spans="1:7" x14ac:dyDescent="0.2">
      <c r="A2263" t="s">
        <v>64</v>
      </c>
      <c r="B2263" t="s">
        <v>64</v>
      </c>
      <c r="C2263" s="3" t="s">
        <v>64</v>
      </c>
      <c r="D2263" s="16" t="s">
        <v>64</v>
      </c>
      <c r="E2263" s="16">
        <v>0</v>
      </c>
      <c r="F2263" s="16" t="s">
        <v>64</v>
      </c>
      <c r="G2263" s="16" t="s">
        <v>64</v>
      </c>
    </row>
    <row r="2264" spans="1:7" x14ac:dyDescent="0.2">
      <c r="A2264" t="s">
        <v>64</v>
      </c>
      <c r="B2264" t="s">
        <v>64</v>
      </c>
      <c r="C2264" s="3" t="s">
        <v>64</v>
      </c>
      <c r="D2264" s="16" t="s">
        <v>64</v>
      </c>
      <c r="E2264" s="16">
        <v>0</v>
      </c>
      <c r="F2264" s="16" t="s">
        <v>64</v>
      </c>
      <c r="G2264" s="16" t="s">
        <v>64</v>
      </c>
    </row>
    <row r="2265" spans="1:7" x14ac:dyDescent="0.2">
      <c r="A2265" t="s">
        <v>64</v>
      </c>
      <c r="B2265" t="s">
        <v>64</v>
      </c>
      <c r="C2265" s="3" t="s">
        <v>64</v>
      </c>
      <c r="D2265" s="16" t="s">
        <v>64</v>
      </c>
      <c r="E2265" s="16">
        <v>0</v>
      </c>
      <c r="F2265" s="16" t="s">
        <v>64</v>
      </c>
      <c r="G2265" s="16" t="s">
        <v>64</v>
      </c>
    </row>
    <row r="2266" spans="1:7" x14ac:dyDescent="0.2">
      <c r="A2266" t="s">
        <v>64</v>
      </c>
      <c r="B2266" t="s">
        <v>64</v>
      </c>
      <c r="C2266" s="3" t="s">
        <v>64</v>
      </c>
      <c r="D2266" s="16" t="s">
        <v>64</v>
      </c>
      <c r="E2266" s="16">
        <v>0</v>
      </c>
      <c r="F2266" s="16" t="s">
        <v>64</v>
      </c>
      <c r="G2266" s="16" t="s">
        <v>64</v>
      </c>
    </row>
    <row r="2267" spans="1:7" x14ac:dyDescent="0.2">
      <c r="A2267" t="s">
        <v>64</v>
      </c>
      <c r="B2267" t="s">
        <v>64</v>
      </c>
      <c r="C2267" s="3" t="s">
        <v>64</v>
      </c>
      <c r="D2267" s="16" t="s">
        <v>64</v>
      </c>
      <c r="E2267" s="16">
        <v>0</v>
      </c>
      <c r="F2267" s="16" t="s">
        <v>64</v>
      </c>
      <c r="G2267" s="16" t="s">
        <v>64</v>
      </c>
    </row>
    <row r="2268" spans="1:7" x14ac:dyDescent="0.2">
      <c r="A2268" t="s">
        <v>64</v>
      </c>
      <c r="B2268" t="s">
        <v>64</v>
      </c>
      <c r="C2268" s="3" t="s">
        <v>64</v>
      </c>
      <c r="D2268" s="16" t="s">
        <v>64</v>
      </c>
      <c r="E2268" s="16">
        <v>0</v>
      </c>
      <c r="F2268" s="16" t="s">
        <v>64</v>
      </c>
      <c r="G2268" s="16" t="s">
        <v>64</v>
      </c>
    </row>
    <row r="2269" spans="1:7" x14ac:dyDescent="0.2">
      <c r="A2269" t="s">
        <v>64</v>
      </c>
      <c r="B2269" t="s">
        <v>64</v>
      </c>
      <c r="C2269" s="3" t="s">
        <v>64</v>
      </c>
      <c r="D2269" s="16" t="s">
        <v>64</v>
      </c>
      <c r="E2269" s="16">
        <v>0</v>
      </c>
      <c r="F2269" s="16" t="s">
        <v>64</v>
      </c>
      <c r="G2269" s="16" t="s">
        <v>64</v>
      </c>
    </row>
    <row r="2270" spans="1:7" x14ac:dyDescent="0.2">
      <c r="A2270" t="s">
        <v>64</v>
      </c>
      <c r="B2270" t="s">
        <v>64</v>
      </c>
      <c r="C2270" s="3" t="s">
        <v>64</v>
      </c>
      <c r="D2270" s="16" t="s">
        <v>64</v>
      </c>
      <c r="E2270" s="16">
        <v>0</v>
      </c>
      <c r="F2270" s="16" t="s">
        <v>64</v>
      </c>
      <c r="G2270" s="16" t="s">
        <v>64</v>
      </c>
    </row>
    <row r="2271" spans="1:7" x14ac:dyDescent="0.2">
      <c r="A2271" t="s">
        <v>64</v>
      </c>
      <c r="B2271" t="s">
        <v>64</v>
      </c>
      <c r="C2271" s="3" t="s">
        <v>64</v>
      </c>
      <c r="D2271" s="16" t="s">
        <v>64</v>
      </c>
      <c r="E2271" s="16">
        <v>0</v>
      </c>
      <c r="F2271" s="16" t="s">
        <v>64</v>
      </c>
      <c r="G2271" s="16" t="s">
        <v>64</v>
      </c>
    </row>
    <row r="2272" spans="1:7" x14ac:dyDescent="0.2">
      <c r="A2272" t="s">
        <v>64</v>
      </c>
      <c r="B2272" t="s">
        <v>64</v>
      </c>
      <c r="C2272" s="3" t="s">
        <v>64</v>
      </c>
      <c r="D2272" s="16" t="s">
        <v>64</v>
      </c>
      <c r="E2272" s="16">
        <v>0</v>
      </c>
      <c r="F2272" s="16" t="s">
        <v>64</v>
      </c>
      <c r="G2272" s="16" t="s">
        <v>64</v>
      </c>
    </row>
    <row r="2273" spans="1:7" x14ac:dyDescent="0.2">
      <c r="A2273" t="s">
        <v>64</v>
      </c>
      <c r="B2273" t="s">
        <v>64</v>
      </c>
      <c r="C2273" s="3" t="s">
        <v>64</v>
      </c>
      <c r="D2273" s="16" t="s">
        <v>64</v>
      </c>
      <c r="E2273" s="16">
        <v>0</v>
      </c>
      <c r="F2273" s="16" t="s">
        <v>64</v>
      </c>
      <c r="G2273" s="16" t="s">
        <v>64</v>
      </c>
    </row>
    <row r="2274" spans="1:7" x14ac:dyDescent="0.2">
      <c r="A2274" t="s">
        <v>64</v>
      </c>
      <c r="B2274" t="s">
        <v>64</v>
      </c>
      <c r="C2274" s="3" t="s">
        <v>64</v>
      </c>
      <c r="D2274" s="16" t="s">
        <v>64</v>
      </c>
      <c r="E2274" s="16">
        <v>0</v>
      </c>
      <c r="F2274" s="16" t="s">
        <v>64</v>
      </c>
      <c r="G2274" s="16" t="s">
        <v>64</v>
      </c>
    </row>
    <row r="2275" spans="1:7" x14ac:dyDescent="0.2">
      <c r="A2275" t="s">
        <v>64</v>
      </c>
      <c r="B2275" t="s">
        <v>64</v>
      </c>
      <c r="C2275" s="3" t="s">
        <v>64</v>
      </c>
      <c r="D2275" s="16" t="s">
        <v>64</v>
      </c>
      <c r="E2275" s="16">
        <v>0</v>
      </c>
      <c r="F2275" s="16" t="s">
        <v>64</v>
      </c>
      <c r="G2275" s="16" t="s">
        <v>64</v>
      </c>
    </row>
    <row r="2276" spans="1:7" x14ac:dyDescent="0.2">
      <c r="A2276" t="s">
        <v>64</v>
      </c>
      <c r="B2276" t="s">
        <v>64</v>
      </c>
      <c r="C2276" s="3" t="s">
        <v>64</v>
      </c>
      <c r="D2276" s="16" t="s">
        <v>64</v>
      </c>
      <c r="E2276" s="16">
        <v>0</v>
      </c>
      <c r="F2276" s="16" t="s">
        <v>64</v>
      </c>
      <c r="G2276" s="16" t="s">
        <v>64</v>
      </c>
    </row>
    <row r="2277" spans="1:7" x14ac:dyDescent="0.2">
      <c r="A2277" t="s">
        <v>64</v>
      </c>
      <c r="B2277" t="s">
        <v>64</v>
      </c>
      <c r="C2277" s="3" t="s">
        <v>64</v>
      </c>
      <c r="D2277" s="16" t="s">
        <v>64</v>
      </c>
      <c r="E2277" s="16">
        <v>0</v>
      </c>
      <c r="F2277" s="16" t="s">
        <v>64</v>
      </c>
      <c r="G2277" s="16" t="s">
        <v>64</v>
      </c>
    </row>
    <row r="2278" spans="1:7" x14ac:dyDescent="0.2">
      <c r="A2278" t="s">
        <v>64</v>
      </c>
      <c r="B2278" t="s">
        <v>64</v>
      </c>
      <c r="C2278" s="3" t="s">
        <v>64</v>
      </c>
      <c r="D2278" s="16" t="s">
        <v>64</v>
      </c>
      <c r="E2278" s="16">
        <v>0</v>
      </c>
      <c r="F2278" s="16" t="s">
        <v>64</v>
      </c>
      <c r="G2278" s="16" t="s">
        <v>64</v>
      </c>
    </row>
    <row r="2279" spans="1:7" x14ac:dyDescent="0.2">
      <c r="A2279" t="s">
        <v>64</v>
      </c>
      <c r="B2279" t="s">
        <v>64</v>
      </c>
      <c r="C2279" s="3" t="s">
        <v>64</v>
      </c>
      <c r="D2279" s="16" t="s">
        <v>64</v>
      </c>
      <c r="E2279" s="16">
        <v>0</v>
      </c>
      <c r="F2279" s="16" t="s">
        <v>64</v>
      </c>
      <c r="G2279" s="16" t="s">
        <v>64</v>
      </c>
    </row>
    <row r="2280" spans="1:7" x14ac:dyDescent="0.2">
      <c r="A2280" t="s">
        <v>64</v>
      </c>
      <c r="B2280" t="s">
        <v>64</v>
      </c>
      <c r="C2280" s="3" t="s">
        <v>64</v>
      </c>
      <c r="D2280" s="16" t="s">
        <v>64</v>
      </c>
      <c r="E2280" s="16">
        <v>0</v>
      </c>
      <c r="F2280" s="16" t="s">
        <v>64</v>
      </c>
      <c r="G2280" s="16" t="s">
        <v>64</v>
      </c>
    </row>
    <row r="2281" spans="1:7" x14ac:dyDescent="0.2">
      <c r="A2281" t="s">
        <v>64</v>
      </c>
      <c r="B2281" t="s">
        <v>64</v>
      </c>
      <c r="C2281" s="3" t="s">
        <v>64</v>
      </c>
      <c r="D2281" s="16" t="s">
        <v>64</v>
      </c>
      <c r="E2281" s="16">
        <v>0</v>
      </c>
      <c r="F2281" s="16" t="s">
        <v>64</v>
      </c>
      <c r="G2281" s="16" t="s">
        <v>64</v>
      </c>
    </row>
    <row r="2282" spans="1:7" x14ac:dyDescent="0.2">
      <c r="A2282" t="s">
        <v>64</v>
      </c>
      <c r="B2282" t="s">
        <v>64</v>
      </c>
      <c r="C2282" s="3" t="s">
        <v>64</v>
      </c>
      <c r="D2282" s="16" t="s">
        <v>64</v>
      </c>
      <c r="E2282" s="16">
        <v>0</v>
      </c>
      <c r="F2282" s="16" t="s">
        <v>64</v>
      </c>
      <c r="G2282" s="16" t="s">
        <v>64</v>
      </c>
    </row>
    <row r="2283" spans="1:7" x14ac:dyDescent="0.2">
      <c r="A2283" t="s">
        <v>64</v>
      </c>
      <c r="B2283" t="s">
        <v>64</v>
      </c>
      <c r="C2283" s="3" t="s">
        <v>64</v>
      </c>
      <c r="D2283" s="16" t="s">
        <v>64</v>
      </c>
      <c r="E2283" s="16">
        <v>0</v>
      </c>
      <c r="F2283" s="16" t="s">
        <v>64</v>
      </c>
      <c r="G2283" s="16" t="s">
        <v>64</v>
      </c>
    </row>
    <row r="2284" spans="1:7" x14ac:dyDescent="0.2">
      <c r="A2284" t="s">
        <v>64</v>
      </c>
      <c r="B2284" t="s">
        <v>64</v>
      </c>
      <c r="C2284" s="3" t="s">
        <v>64</v>
      </c>
      <c r="D2284" s="16" t="s">
        <v>64</v>
      </c>
      <c r="E2284" s="16">
        <v>0</v>
      </c>
      <c r="F2284" s="16" t="s">
        <v>64</v>
      </c>
      <c r="G2284" s="16" t="s">
        <v>64</v>
      </c>
    </row>
    <row r="2285" spans="1:7" x14ac:dyDescent="0.2">
      <c r="A2285" t="s">
        <v>64</v>
      </c>
      <c r="B2285" t="s">
        <v>64</v>
      </c>
      <c r="C2285" s="3" t="s">
        <v>64</v>
      </c>
      <c r="D2285" s="16" t="s">
        <v>64</v>
      </c>
      <c r="E2285" s="16">
        <v>0</v>
      </c>
      <c r="F2285" s="16" t="s">
        <v>64</v>
      </c>
      <c r="G2285" s="16" t="s">
        <v>64</v>
      </c>
    </row>
    <row r="2286" spans="1:7" x14ac:dyDescent="0.2">
      <c r="A2286" t="s">
        <v>64</v>
      </c>
      <c r="B2286" t="s">
        <v>64</v>
      </c>
      <c r="C2286" s="3" t="s">
        <v>64</v>
      </c>
      <c r="D2286" s="16" t="s">
        <v>64</v>
      </c>
      <c r="E2286" s="16">
        <v>0</v>
      </c>
      <c r="F2286" s="16" t="s">
        <v>64</v>
      </c>
      <c r="G2286" s="16" t="s">
        <v>64</v>
      </c>
    </row>
    <row r="2287" spans="1:7" x14ac:dyDescent="0.2">
      <c r="A2287" t="s">
        <v>64</v>
      </c>
      <c r="B2287" t="s">
        <v>64</v>
      </c>
      <c r="C2287" s="3" t="s">
        <v>64</v>
      </c>
      <c r="D2287" s="16" t="s">
        <v>64</v>
      </c>
      <c r="E2287" s="16">
        <v>0</v>
      </c>
      <c r="F2287" s="16" t="s">
        <v>64</v>
      </c>
      <c r="G2287" s="16" t="s">
        <v>64</v>
      </c>
    </row>
    <row r="2288" spans="1:7" x14ac:dyDescent="0.2">
      <c r="A2288" t="s">
        <v>64</v>
      </c>
      <c r="B2288" t="s">
        <v>64</v>
      </c>
      <c r="C2288" s="3" t="s">
        <v>64</v>
      </c>
      <c r="D2288" s="16" t="s">
        <v>64</v>
      </c>
      <c r="E2288" s="16">
        <v>0</v>
      </c>
      <c r="F2288" s="16" t="s">
        <v>64</v>
      </c>
      <c r="G2288" s="16" t="s">
        <v>64</v>
      </c>
    </row>
    <row r="2289" spans="1:7" x14ac:dyDescent="0.2">
      <c r="A2289" t="s">
        <v>64</v>
      </c>
      <c r="B2289" t="s">
        <v>64</v>
      </c>
      <c r="C2289" s="3" t="s">
        <v>64</v>
      </c>
      <c r="D2289" s="16" t="s">
        <v>64</v>
      </c>
      <c r="E2289" s="16">
        <v>0</v>
      </c>
      <c r="F2289" s="16" t="s">
        <v>64</v>
      </c>
      <c r="G2289" s="16" t="s">
        <v>64</v>
      </c>
    </row>
    <row r="2290" spans="1:7" x14ac:dyDescent="0.2">
      <c r="A2290" t="s">
        <v>64</v>
      </c>
      <c r="B2290" t="s">
        <v>64</v>
      </c>
      <c r="C2290" s="3" t="s">
        <v>64</v>
      </c>
      <c r="D2290" s="16" t="s">
        <v>64</v>
      </c>
      <c r="E2290" s="16">
        <v>0</v>
      </c>
      <c r="F2290" s="16" t="s">
        <v>64</v>
      </c>
      <c r="G2290" s="16" t="s">
        <v>64</v>
      </c>
    </row>
    <row r="2291" spans="1:7" x14ac:dyDescent="0.2">
      <c r="A2291" t="s">
        <v>64</v>
      </c>
      <c r="B2291" t="s">
        <v>64</v>
      </c>
      <c r="C2291" s="3" t="s">
        <v>64</v>
      </c>
      <c r="D2291" s="16" t="s">
        <v>64</v>
      </c>
      <c r="E2291" s="16">
        <v>0</v>
      </c>
      <c r="F2291" s="16" t="s">
        <v>64</v>
      </c>
      <c r="G2291" s="16" t="s">
        <v>64</v>
      </c>
    </row>
    <row r="2292" spans="1:7" x14ac:dyDescent="0.2">
      <c r="A2292" t="s">
        <v>64</v>
      </c>
      <c r="B2292" t="s">
        <v>64</v>
      </c>
      <c r="C2292" s="3" t="s">
        <v>64</v>
      </c>
      <c r="D2292" s="16" t="s">
        <v>64</v>
      </c>
      <c r="E2292" s="16">
        <v>0</v>
      </c>
      <c r="F2292" s="16" t="s">
        <v>64</v>
      </c>
      <c r="G2292" s="16" t="s">
        <v>64</v>
      </c>
    </row>
    <row r="2293" spans="1:7" x14ac:dyDescent="0.2">
      <c r="A2293" t="s">
        <v>64</v>
      </c>
      <c r="B2293" t="s">
        <v>64</v>
      </c>
      <c r="C2293" s="3" t="s">
        <v>64</v>
      </c>
      <c r="D2293" s="16" t="s">
        <v>64</v>
      </c>
      <c r="E2293" s="16">
        <v>0</v>
      </c>
      <c r="F2293" s="16" t="s">
        <v>64</v>
      </c>
      <c r="G2293" s="16" t="s">
        <v>64</v>
      </c>
    </row>
    <row r="2294" spans="1:7" x14ac:dyDescent="0.2">
      <c r="A2294" t="s">
        <v>64</v>
      </c>
      <c r="B2294" t="s">
        <v>64</v>
      </c>
      <c r="C2294" s="3" t="s">
        <v>64</v>
      </c>
      <c r="D2294" s="16" t="s">
        <v>64</v>
      </c>
      <c r="E2294" s="16">
        <v>0</v>
      </c>
      <c r="F2294" s="16" t="s">
        <v>64</v>
      </c>
      <c r="G2294" s="16" t="s">
        <v>64</v>
      </c>
    </row>
    <row r="2295" spans="1:7" x14ac:dyDescent="0.2">
      <c r="A2295" t="s">
        <v>64</v>
      </c>
      <c r="B2295" t="s">
        <v>64</v>
      </c>
      <c r="C2295" s="3" t="s">
        <v>64</v>
      </c>
      <c r="D2295" s="16" t="s">
        <v>64</v>
      </c>
      <c r="E2295" s="16">
        <v>0</v>
      </c>
      <c r="F2295" s="16" t="s">
        <v>64</v>
      </c>
      <c r="G2295" s="16" t="s">
        <v>64</v>
      </c>
    </row>
    <row r="2296" spans="1:7" x14ac:dyDescent="0.2">
      <c r="A2296" t="s">
        <v>64</v>
      </c>
      <c r="B2296" t="s">
        <v>64</v>
      </c>
      <c r="C2296" s="3" t="s">
        <v>64</v>
      </c>
      <c r="D2296" s="16" t="s">
        <v>64</v>
      </c>
      <c r="E2296" s="16">
        <v>0</v>
      </c>
      <c r="F2296" s="16" t="s">
        <v>64</v>
      </c>
      <c r="G2296" s="16" t="s">
        <v>64</v>
      </c>
    </row>
    <row r="2297" spans="1:7" x14ac:dyDescent="0.2">
      <c r="A2297" t="s">
        <v>64</v>
      </c>
      <c r="B2297" t="s">
        <v>64</v>
      </c>
      <c r="C2297" s="3" t="s">
        <v>64</v>
      </c>
      <c r="D2297" s="16" t="s">
        <v>64</v>
      </c>
      <c r="E2297" s="16">
        <v>0</v>
      </c>
      <c r="F2297" s="16" t="s">
        <v>64</v>
      </c>
      <c r="G2297" s="16" t="s">
        <v>64</v>
      </c>
    </row>
    <row r="2298" spans="1:7" x14ac:dyDescent="0.2">
      <c r="A2298" t="s">
        <v>64</v>
      </c>
      <c r="B2298" t="s">
        <v>64</v>
      </c>
      <c r="C2298" s="3" t="s">
        <v>64</v>
      </c>
      <c r="D2298" s="16" t="s">
        <v>64</v>
      </c>
      <c r="E2298" s="16">
        <v>0</v>
      </c>
      <c r="F2298" s="16" t="s">
        <v>64</v>
      </c>
      <c r="G2298" s="16" t="s">
        <v>64</v>
      </c>
    </row>
    <row r="2299" spans="1:7" x14ac:dyDescent="0.2">
      <c r="A2299" t="s">
        <v>64</v>
      </c>
      <c r="B2299" t="s">
        <v>64</v>
      </c>
      <c r="C2299" s="3" t="s">
        <v>64</v>
      </c>
      <c r="D2299" s="16" t="s">
        <v>64</v>
      </c>
      <c r="E2299" s="16">
        <v>0</v>
      </c>
      <c r="F2299" s="16" t="s">
        <v>64</v>
      </c>
      <c r="G2299" s="16" t="s">
        <v>64</v>
      </c>
    </row>
    <row r="2300" spans="1:7" x14ac:dyDescent="0.2">
      <c r="A2300" t="s">
        <v>64</v>
      </c>
      <c r="B2300" t="s">
        <v>64</v>
      </c>
      <c r="C2300" s="3" t="s">
        <v>64</v>
      </c>
      <c r="D2300" s="16" t="s">
        <v>64</v>
      </c>
      <c r="E2300" s="16">
        <v>0</v>
      </c>
      <c r="F2300" s="16" t="s">
        <v>64</v>
      </c>
      <c r="G2300" s="16" t="s">
        <v>64</v>
      </c>
    </row>
    <row r="2301" spans="1:7" x14ac:dyDescent="0.2">
      <c r="A2301" t="s">
        <v>64</v>
      </c>
      <c r="B2301" t="s">
        <v>64</v>
      </c>
      <c r="C2301" s="3" t="s">
        <v>64</v>
      </c>
      <c r="D2301" s="16" t="s">
        <v>64</v>
      </c>
      <c r="E2301" s="16">
        <v>0</v>
      </c>
      <c r="F2301" s="16" t="s">
        <v>64</v>
      </c>
      <c r="G2301" s="16" t="s">
        <v>64</v>
      </c>
    </row>
    <row r="2302" spans="1:7" x14ac:dyDescent="0.2">
      <c r="A2302" t="s">
        <v>64</v>
      </c>
      <c r="B2302" t="s">
        <v>64</v>
      </c>
      <c r="C2302" s="3" t="s">
        <v>64</v>
      </c>
      <c r="D2302" s="16" t="s">
        <v>64</v>
      </c>
      <c r="E2302" s="16">
        <v>0</v>
      </c>
      <c r="F2302" s="16" t="s">
        <v>64</v>
      </c>
      <c r="G2302" s="16" t="s">
        <v>64</v>
      </c>
    </row>
    <row r="2303" spans="1:7" x14ac:dyDescent="0.2">
      <c r="A2303" t="s">
        <v>64</v>
      </c>
      <c r="B2303" t="s">
        <v>64</v>
      </c>
      <c r="C2303" s="3" t="s">
        <v>64</v>
      </c>
      <c r="D2303" s="16" t="s">
        <v>64</v>
      </c>
      <c r="E2303" s="16">
        <v>0</v>
      </c>
      <c r="F2303" s="16" t="s">
        <v>64</v>
      </c>
      <c r="G2303" s="16" t="s">
        <v>64</v>
      </c>
    </row>
    <row r="2304" spans="1:7" x14ac:dyDescent="0.2">
      <c r="A2304" t="s">
        <v>64</v>
      </c>
      <c r="B2304" t="s">
        <v>64</v>
      </c>
      <c r="C2304" s="3" t="s">
        <v>64</v>
      </c>
      <c r="D2304" s="16" t="s">
        <v>64</v>
      </c>
      <c r="E2304" s="16">
        <v>0</v>
      </c>
      <c r="F2304" s="16" t="s">
        <v>64</v>
      </c>
      <c r="G2304" s="16" t="s">
        <v>64</v>
      </c>
    </row>
    <row r="2305" spans="1:7" x14ac:dyDescent="0.2">
      <c r="A2305" t="s">
        <v>64</v>
      </c>
      <c r="B2305" t="s">
        <v>64</v>
      </c>
      <c r="C2305" s="3" t="s">
        <v>64</v>
      </c>
      <c r="D2305" s="16" t="s">
        <v>64</v>
      </c>
      <c r="E2305" s="16">
        <v>0</v>
      </c>
      <c r="F2305" s="16" t="s">
        <v>64</v>
      </c>
      <c r="G2305" s="16" t="s">
        <v>64</v>
      </c>
    </row>
    <row r="2306" spans="1:7" x14ac:dyDescent="0.2">
      <c r="A2306" t="s">
        <v>64</v>
      </c>
      <c r="B2306" t="s">
        <v>64</v>
      </c>
      <c r="C2306" s="3" t="s">
        <v>64</v>
      </c>
      <c r="D2306" s="16" t="s">
        <v>64</v>
      </c>
      <c r="E2306" s="16">
        <v>0</v>
      </c>
      <c r="F2306" s="16" t="s">
        <v>64</v>
      </c>
      <c r="G2306" s="16" t="s">
        <v>64</v>
      </c>
    </row>
    <row r="2307" spans="1:7" x14ac:dyDescent="0.2">
      <c r="A2307" t="s">
        <v>64</v>
      </c>
      <c r="B2307" t="s">
        <v>64</v>
      </c>
      <c r="C2307" s="3" t="s">
        <v>64</v>
      </c>
      <c r="D2307" s="16" t="s">
        <v>64</v>
      </c>
      <c r="E2307" s="16">
        <v>0</v>
      </c>
      <c r="F2307" s="16" t="s">
        <v>64</v>
      </c>
      <c r="G2307" s="16" t="s">
        <v>64</v>
      </c>
    </row>
    <row r="2308" spans="1:7" x14ac:dyDescent="0.2">
      <c r="A2308" t="s">
        <v>64</v>
      </c>
      <c r="B2308" t="s">
        <v>64</v>
      </c>
      <c r="C2308" s="3" t="s">
        <v>64</v>
      </c>
      <c r="D2308" s="16" t="s">
        <v>64</v>
      </c>
      <c r="E2308" s="16">
        <v>0</v>
      </c>
      <c r="F2308" s="16" t="s">
        <v>64</v>
      </c>
      <c r="G2308" s="16" t="s">
        <v>64</v>
      </c>
    </row>
    <row r="2309" spans="1:7" x14ac:dyDescent="0.2">
      <c r="A2309" t="s">
        <v>64</v>
      </c>
      <c r="B2309" t="s">
        <v>64</v>
      </c>
      <c r="C2309" s="3" t="s">
        <v>64</v>
      </c>
      <c r="D2309" s="16" t="s">
        <v>64</v>
      </c>
      <c r="E2309" s="16">
        <v>0</v>
      </c>
      <c r="F2309" s="16" t="s">
        <v>64</v>
      </c>
      <c r="G2309" s="16" t="s">
        <v>64</v>
      </c>
    </row>
    <row r="2310" spans="1:7" x14ac:dyDescent="0.2">
      <c r="A2310" t="s">
        <v>64</v>
      </c>
      <c r="B2310" t="s">
        <v>64</v>
      </c>
      <c r="C2310" s="3" t="s">
        <v>64</v>
      </c>
      <c r="D2310" s="16" t="s">
        <v>64</v>
      </c>
      <c r="E2310" s="16">
        <v>0</v>
      </c>
      <c r="F2310" s="16" t="s">
        <v>64</v>
      </c>
      <c r="G2310" s="16" t="s">
        <v>64</v>
      </c>
    </row>
    <row r="2311" spans="1:7" x14ac:dyDescent="0.2">
      <c r="A2311" t="s">
        <v>64</v>
      </c>
      <c r="B2311" t="s">
        <v>64</v>
      </c>
      <c r="C2311" s="3" t="s">
        <v>64</v>
      </c>
      <c r="D2311" s="16" t="s">
        <v>64</v>
      </c>
      <c r="E2311" s="16">
        <v>0</v>
      </c>
      <c r="F2311" s="16" t="s">
        <v>64</v>
      </c>
      <c r="G2311" s="16" t="s">
        <v>64</v>
      </c>
    </row>
    <row r="2312" spans="1:7" x14ac:dyDescent="0.2">
      <c r="A2312" t="s">
        <v>64</v>
      </c>
      <c r="B2312" t="s">
        <v>64</v>
      </c>
      <c r="C2312" s="3" t="s">
        <v>64</v>
      </c>
      <c r="D2312" s="16" t="s">
        <v>64</v>
      </c>
      <c r="E2312" s="16">
        <v>0</v>
      </c>
      <c r="F2312" s="16" t="s">
        <v>64</v>
      </c>
      <c r="G2312" s="16" t="s">
        <v>64</v>
      </c>
    </row>
    <row r="2313" spans="1:7" x14ac:dyDescent="0.2">
      <c r="A2313" t="s">
        <v>64</v>
      </c>
      <c r="B2313" t="s">
        <v>64</v>
      </c>
      <c r="C2313" s="3" t="s">
        <v>64</v>
      </c>
      <c r="D2313" s="16" t="s">
        <v>64</v>
      </c>
      <c r="E2313" s="16">
        <v>0</v>
      </c>
      <c r="F2313" s="16" t="s">
        <v>64</v>
      </c>
      <c r="G2313" s="16" t="s">
        <v>64</v>
      </c>
    </row>
    <row r="2314" spans="1:7" x14ac:dyDescent="0.2">
      <c r="A2314" t="s">
        <v>64</v>
      </c>
      <c r="B2314" t="s">
        <v>64</v>
      </c>
      <c r="C2314" s="3" t="s">
        <v>64</v>
      </c>
      <c r="D2314" s="16" t="s">
        <v>64</v>
      </c>
      <c r="E2314" s="16">
        <v>0</v>
      </c>
      <c r="F2314" s="16" t="s">
        <v>64</v>
      </c>
      <c r="G2314" s="16" t="s">
        <v>64</v>
      </c>
    </row>
    <row r="2315" spans="1:7" x14ac:dyDescent="0.2">
      <c r="A2315" t="s">
        <v>64</v>
      </c>
      <c r="B2315" t="s">
        <v>64</v>
      </c>
      <c r="C2315" s="3" t="s">
        <v>64</v>
      </c>
      <c r="D2315" s="16" t="s">
        <v>64</v>
      </c>
      <c r="E2315" s="16">
        <v>0</v>
      </c>
      <c r="F2315" s="16" t="s">
        <v>64</v>
      </c>
      <c r="G2315" s="16" t="s">
        <v>64</v>
      </c>
    </row>
    <row r="2316" spans="1:7" x14ac:dyDescent="0.2">
      <c r="A2316" t="s">
        <v>64</v>
      </c>
      <c r="B2316" t="s">
        <v>64</v>
      </c>
      <c r="C2316" s="3" t="s">
        <v>64</v>
      </c>
      <c r="D2316" s="16" t="s">
        <v>64</v>
      </c>
      <c r="E2316" s="16">
        <v>0</v>
      </c>
      <c r="F2316" s="16" t="s">
        <v>64</v>
      </c>
      <c r="G2316" s="16" t="s">
        <v>64</v>
      </c>
    </row>
    <row r="2317" spans="1:7" x14ac:dyDescent="0.2">
      <c r="A2317" t="s">
        <v>64</v>
      </c>
      <c r="B2317" t="s">
        <v>64</v>
      </c>
      <c r="C2317" s="3" t="s">
        <v>64</v>
      </c>
      <c r="D2317" s="16" t="s">
        <v>64</v>
      </c>
      <c r="E2317" s="16">
        <v>0</v>
      </c>
      <c r="F2317" s="16" t="s">
        <v>64</v>
      </c>
      <c r="G2317" s="16" t="s">
        <v>64</v>
      </c>
    </row>
    <row r="2318" spans="1:7" x14ac:dyDescent="0.2">
      <c r="A2318" t="s">
        <v>64</v>
      </c>
      <c r="B2318" t="s">
        <v>64</v>
      </c>
      <c r="C2318" s="3" t="s">
        <v>64</v>
      </c>
      <c r="D2318" s="16" t="s">
        <v>64</v>
      </c>
      <c r="E2318" s="16">
        <v>0</v>
      </c>
      <c r="F2318" s="16" t="s">
        <v>64</v>
      </c>
      <c r="G2318" s="16" t="s">
        <v>64</v>
      </c>
    </row>
    <row r="2319" spans="1:7" x14ac:dyDescent="0.2">
      <c r="A2319" t="s">
        <v>64</v>
      </c>
      <c r="B2319" t="s">
        <v>64</v>
      </c>
      <c r="C2319" s="3" t="s">
        <v>64</v>
      </c>
      <c r="D2319" s="16" t="s">
        <v>64</v>
      </c>
      <c r="E2319" s="16">
        <v>0</v>
      </c>
      <c r="F2319" s="16" t="s">
        <v>64</v>
      </c>
      <c r="G2319" s="16" t="s">
        <v>64</v>
      </c>
    </row>
    <row r="2320" spans="1:7" x14ac:dyDescent="0.2">
      <c r="A2320" t="s">
        <v>64</v>
      </c>
      <c r="B2320" t="s">
        <v>64</v>
      </c>
      <c r="C2320" s="3" t="s">
        <v>64</v>
      </c>
      <c r="D2320" s="16" t="s">
        <v>64</v>
      </c>
      <c r="E2320" s="16">
        <v>0</v>
      </c>
      <c r="F2320" s="16" t="s">
        <v>64</v>
      </c>
      <c r="G2320" s="16" t="s">
        <v>64</v>
      </c>
    </row>
    <row r="2321" spans="1:7" x14ac:dyDescent="0.2">
      <c r="A2321" t="s">
        <v>64</v>
      </c>
      <c r="B2321" t="s">
        <v>64</v>
      </c>
      <c r="C2321" s="3" t="s">
        <v>64</v>
      </c>
      <c r="D2321" s="16" t="s">
        <v>64</v>
      </c>
      <c r="E2321" s="16">
        <v>0</v>
      </c>
      <c r="F2321" s="16" t="s">
        <v>64</v>
      </c>
      <c r="G2321" s="16" t="s">
        <v>64</v>
      </c>
    </row>
    <row r="2322" spans="1:7" x14ac:dyDescent="0.2">
      <c r="A2322" t="s">
        <v>64</v>
      </c>
      <c r="B2322" t="s">
        <v>64</v>
      </c>
      <c r="C2322" s="3" t="s">
        <v>64</v>
      </c>
      <c r="D2322" s="16" t="s">
        <v>64</v>
      </c>
      <c r="E2322" s="16">
        <v>0</v>
      </c>
      <c r="F2322" s="16" t="s">
        <v>64</v>
      </c>
      <c r="G2322" s="16" t="s">
        <v>64</v>
      </c>
    </row>
    <row r="2323" spans="1:7" x14ac:dyDescent="0.2">
      <c r="A2323" t="s">
        <v>64</v>
      </c>
      <c r="B2323" t="s">
        <v>64</v>
      </c>
      <c r="C2323" s="3" t="s">
        <v>64</v>
      </c>
      <c r="D2323" s="16" t="s">
        <v>64</v>
      </c>
      <c r="E2323" s="16">
        <v>0</v>
      </c>
      <c r="F2323" s="16" t="s">
        <v>64</v>
      </c>
      <c r="G2323" s="16" t="s">
        <v>64</v>
      </c>
    </row>
    <row r="2324" spans="1:7" x14ac:dyDescent="0.2">
      <c r="A2324" t="s">
        <v>64</v>
      </c>
      <c r="B2324" t="s">
        <v>64</v>
      </c>
      <c r="C2324" s="3" t="s">
        <v>64</v>
      </c>
      <c r="D2324" s="16" t="s">
        <v>64</v>
      </c>
      <c r="E2324" s="16">
        <v>0</v>
      </c>
      <c r="F2324" s="16" t="s">
        <v>64</v>
      </c>
      <c r="G2324" s="16" t="s">
        <v>64</v>
      </c>
    </row>
    <row r="2325" spans="1:7" x14ac:dyDescent="0.2">
      <c r="A2325" t="s">
        <v>64</v>
      </c>
      <c r="B2325" t="s">
        <v>64</v>
      </c>
      <c r="C2325" s="3" t="s">
        <v>64</v>
      </c>
      <c r="D2325" s="16" t="s">
        <v>64</v>
      </c>
      <c r="E2325" s="16">
        <v>0</v>
      </c>
      <c r="F2325" s="16" t="s">
        <v>64</v>
      </c>
      <c r="G2325" s="16" t="s">
        <v>64</v>
      </c>
    </row>
    <row r="2326" spans="1:7" x14ac:dyDescent="0.2">
      <c r="A2326" t="s">
        <v>64</v>
      </c>
      <c r="B2326" t="s">
        <v>64</v>
      </c>
      <c r="C2326" s="3" t="s">
        <v>64</v>
      </c>
      <c r="D2326" s="16" t="s">
        <v>64</v>
      </c>
      <c r="E2326" s="16">
        <v>0</v>
      </c>
      <c r="F2326" s="16" t="s">
        <v>64</v>
      </c>
      <c r="G2326" s="16" t="s">
        <v>64</v>
      </c>
    </row>
    <row r="2327" spans="1:7" x14ac:dyDescent="0.2">
      <c r="A2327" t="s">
        <v>64</v>
      </c>
      <c r="B2327" t="s">
        <v>64</v>
      </c>
      <c r="C2327" s="3" t="s">
        <v>64</v>
      </c>
      <c r="D2327" s="16" t="s">
        <v>64</v>
      </c>
      <c r="E2327" s="16">
        <v>0</v>
      </c>
      <c r="F2327" s="16" t="s">
        <v>64</v>
      </c>
      <c r="G2327" s="16" t="s">
        <v>64</v>
      </c>
    </row>
    <row r="2328" spans="1:7" x14ac:dyDescent="0.2">
      <c r="A2328" t="s">
        <v>64</v>
      </c>
      <c r="B2328" t="s">
        <v>64</v>
      </c>
      <c r="C2328" s="3" t="s">
        <v>64</v>
      </c>
      <c r="D2328" s="16" t="s">
        <v>64</v>
      </c>
      <c r="E2328" s="16">
        <v>0</v>
      </c>
      <c r="F2328" s="16" t="s">
        <v>64</v>
      </c>
      <c r="G2328" s="16" t="s">
        <v>64</v>
      </c>
    </row>
    <row r="2329" spans="1:7" x14ac:dyDescent="0.2">
      <c r="A2329" t="s">
        <v>64</v>
      </c>
      <c r="B2329" t="s">
        <v>64</v>
      </c>
      <c r="C2329" s="3" t="s">
        <v>64</v>
      </c>
      <c r="D2329" s="16" t="s">
        <v>64</v>
      </c>
      <c r="E2329" s="16">
        <v>0</v>
      </c>
      <c r="F2329" s="16" t="s">
        <v>64</v>
      </c>
      <c r="G2329" s="16" t="s">
        <v>64</v>
      </c>
    </row>
    <row r="2330" spans="1:7" x14ac:dyDescent="0.2">
      <c r="A2330" t="s">
        <v>64</v>
      </c>
      <c r="B2330" t="s">
        <v>64</v>
      </c>
      <c r="C2330" s="3" t="s">
        <v>64</v>
      </c>
      <c r="D2330" s="16" t="s">
        <v>64</v>
      </c>
      <c r="E2330" s="16">
        <v>0</v>
      </c>
      <c r="F2330" s="16" t="s">
        <v>64</v>
      </c>
      <c r="G2330" s="16" t="s">
        <v>64</v>
      </c>
    </row>
    <row r="2331" spans="1:7" x14ac:dyDescent="0.2">
      <c r="A2331" t="s">
        <v>64</v>
      </c>
      <c r="B2331" t="s">
        <v>64</v>
      </c>
      <c r="C2331" s="3" t="s">
        <v>64</v>
      </c>
      <c r="D2331" s="16" t="s">
        <v>64</v>
      </c>
      <c r="E2331" s="16">
        <v>0</v>
      </c>
      <c r="F2331" s="16" t="s">
        <v>64</v>
      </c>
      <c r="G2331" s="16" t="s">
        <v>64</v>
      </c>
    </row>
    <row r="2332" spans="1:7" x14ac:dyDescent="0.2">
      <c r="A2332" t="s">
        <v>64</v>
      </c>
      <c r="B2332" t="s">
        <v>64</v>
      </c>
      <c r="C2332" s="3" t="s">
        <v>64</v>
      </c>
      <c r="D2332" s="16" t="s">
        <v>64</v>
      </c>
      <c r="E2332" s="16">
        <v>0</v>
      </c>
      <c r="F2332" s="16" t="s">
        <v>64</v>
      </c>
      <c r="G2332" s="16" t="s">
        <v>64</v>
      </c>
    </row>
    <row r="2333" spans="1:7" x14ac:dyDescent="0.2">
      <c r="A2333" t="s">
        <v>64</v>
      </c>
      <c r="B2333" t="s">
        <v>64</v>
      </c>
      <c r="C2333" s="3" t="s">
        <v>64</v>
      </c>
      <c r="D2333" s="16" t="s">
        <v>64</v>
      </c>
      <c r="E2333" s="16">
        <v>0</v>
      </c>
      <c r="F2333" s="16" t="s">
        <v>64</v>
      </c>
      <c r="G2333" s="16" t="s">
        <v>64</v>
      </c>
    </row>
    <row r="2334" spans="1:7" x14ac:dyDescent="0.2">
      <c r="A2334" t="s">
        <v>64</v>
      </c>
      <c r="B2334" t="s">
        <v>64</v>
      </c>
      <c r="C2334" s="3" t="s">
        <v>64</v>
      </c>
      <c r="D2334" s="16" t="s">
        <v>64</v>
      </c>
      <c r="E2334" s="16">
        <v>0</v>
      </c>
      <c r="F2334" s="16" t="s">
        <v>64</v>
      </c>
      <c r="G2334" s="16" t="s">
        <v>64</v>
      </c>
    </row>
    <row r="2335" spans="1:7" x14ac:dyDescent="0.2">
      <c r="A2335" t="s">
        <v>64</v>
      </c>
      <c r="B2335" t="s">
        <v>64</v>
      </c>
      <c r="C2335" s="3" t="s">
        <v>64</v>
      </c>
      <c r="D2335" s="16" t="s">
        <v>64</v>
      </c>
      <c r="E2335" s="16">
        <v>0</v>
      </c>
      <c r="F2335" s="16" t="s">
        <v>64</v>
      </c>
      <c r="G2335" s="16" t="s">
        <v>64</v>
      </c>
    </row>
    <row r="2336" spans="1:7" x14ac:dyDescent="0.2">
      <c r="A2336" t="s">
        <v>64</v>
      </c>
      <c r="B2336" t="s">
        <v>64</v>
      </c>
      <c r="C2336" s="3" t="s">
        <v>64</v>
      </c>
      <c r="D2336" s="16" t="s">
        <v>64</v>
      </c>
      <c r="E2336" s="16">
        <v>0</v>
      </c>
      <c r="F2336" s="16" t="s">
        <v>64</v>
      </c>
      <c r="G2336" s="16" t="s">
        <v>64</v>
      </c>
    </row>
    <row r="2337" spans="1:7" x14ac:dyDescent="0.2">
      <c r="A2337" t="s">
        <v>64</v>
      </c>
      <c r="B2337" t="s">
        <v>64</v>
      </c>
      <c r="C2337" s="3" t="s">
        <v>64</v>
      </c>
      <c r="D2337" s="16" t="s">
        <v>64</v>
      </c>
      <c r="E2337" s="16">
        <v>0</v>
      </c>
      <c r="F2337" s="16" t="s">
        <v>64</v>
      </c>
      <c r="G2337" s="16" t="s">
        <v>64</v>
      </c>
    </row>
    <row r="2338" spans="1:7" x14ac:dyDescent="0.2">
      <c r="A2338" t="s">
        <v>64</v>
      </c>
      <c r="B2338" t="s">
        <v>64</v>
      </c>
      <c r="C2338" s="3" t="s">
        <v>64</v>
      </c>
      <c r="D2338" s="16" t="s">
        <v>64</v>
      </c>
      <c r="E2338" s="16">
        <v>0</v>
      </c>
      <c r="F2338" s="16" t="s">
        <v>64</v>
      </c>
      <c r="G2338" s="16" t="s">
        <v>64</v>
      </c>
    </row>
    <row r="2339" spans="1:7" x14ac:dyDescent="0.2">
      <c r="A2339" t="s">
        <v>64</v>
      </c>
      <c r="B2339" t="s">
        <v>64</v>
      </c>
      <c r="C2339" s="3" t="s">
        <v>64</v>
      </c>
      <c r="D2339" s="16" t="s">
        <v>64</v>
      </c>
      <c r="E2339" s="16">
        <v>0</v>
      </c>
      <c r="F2339" s="16" t="s">
        <v>64</v>
      </c>
      <c r="G2339" s="16" t="s">
        <v>64</v>
      </c>
    </row>
    <row r="2340" spans="1:7" x14ac:dyDescent="0.2">
      <c r="A2340" t="s">
        <v>64</v>
      </c>
      <c r="B2340" t="s">
        <v>64</v>
      </c>
      <c r="C2340" s="3" t="s">
        <v>64</v>
      </c>
      <c r="D2340" s="16" t="s">
        <v>64</v>
      </c>
      <c r="E2340" s="16">
        <v>0</v>
      </c>
      <c r="F2340" s="16" t="s">
        <v>64</v>
      </c>
      <c r="G2340" s="16" t="s">
        <v>64</v>
      </c>
    </row>
    <row r="2341" spans="1:7" x14ac:dyDescent="0.2">
      <c r="A2341" t="s">
        <v>64</v>
      </c>
      <c r="B2341" t="s">
        <v>64</v>
      </c>
      <c r="C2341" s="3" t="s">
        <v>64</v>
      </c>
      <c r="D2341" s="16" t="s">
        <v>64</v>
      </c>
      <c r="E2341" s="16">
        <v>0</v>
      </c>
      <c r="F2341" s="16" t="s">
        <v>64</v>
      </c>
      <c r="G2341" s="16" t="s">
        <v>64</v>
      </c>
    </row>
    <row r="2342" spans="1:7" x14ac:dyDescent="0.2">
      <c r="A2342" t="s">
        <v>64</v>
      </c>
      <c r="B2342" t="s">
        <v>64</v>
      </c>
      <c r="C2342" s="3" t="s">
        <v>64</v>
      </c>
      <c r="D2342" s="16" t="s">
        <v>64</v>
      </c>
      <c r="E2342" s="16">
        <v>0</v>
      </c>
      <c r="F2342" s="16" t="s">
        <v>64</v>
      </c>
      <c r="G2342" s="16" t="s">
        <v>64</v>
      </c>
    </row>
    <row r="2343" spans="1:7" x14ac:dyDescent="0.2">
      <c r="A2343" t="s">
        <v>64</v>
      </c>
      <c r="B2343" t="s">
        <v>64</v>
      </c>
      <c r="C2343" s="3" t="s">
        <v>64</v>
      </c>
      <c r="D2343" s="16" t="s">
        <v>64</v>
      </c>
      <c r="E2343" s="16">
        <v>0</v>
      </c>
      <c r="F2343" s="16" t="s">
        <v>64</v>
      </c>
      <c r="G2343" s="16" t="s">
        <v>64</v>
      </c>
    </row>
    <row r="2344" spans="1:7" x14ac:dyDescent="0.2">
      <c r="A2344" t="s">
        <v>64</v>
      </c>
      <c r="B2344" t="s">
        <v>64</v>
      </c>
      <c r="C2344" s="3" t="s">
        <v>64</v>
      </c>
      <c r="D2344" s="16" t="s">
        <v>64</v>
      </c>
      <c r="E2344" s="16">
        <v>0</v>
      </c>
      <c r="F2344" s="16" t="s">
        <v>64</v>
      </c>
      <c r="G2344" s="16" t="s">
        <v>64</v>
      </c>
    </row>
    <row r="2345" spans="1:7" x14ac:dyDescent="0.2">
      <c r="A2345" t="s">
        <v>64</v>
      </c>
      <c r="B2345" t="s">
        <v>64</v>
      </c>
      <c r="C2345" s="3" t="s">
        <v>64</v>
      </c>
      <c r="D2345" s="16" t="s">
        <v>64</v>
      </c>
      <c r="E2345" s="16">
        <v>0</v>
      </c>
      <c r="F2345" s="16" t="s">
        <v>64</v>
      </c>
      <c r="G2345" s="16" t="s">
        <v>64</v>
      </c>
    </row>
    <row r="2346" spans="1:7" x14ac:dyDescent="0.2">
      <c r="A2346" t="s">
        <v>64</v>
      </c>
      <c r="B2346" t="s">
        <v>64</v>
      </c>
      <c r="C2346" s="3" t="s">
        <v>64</v>
      </c>
      <c r="D2346" s="16" t="s">
        <v>64</v>
      </c>
      <c r="E2346" s="16">
        <v>0</v>
      </c>
      <c r="F2346" s="16" t="s">
        <v>64</v>
      </c>
      <c r="G2346" s="16" t="s">
        <v>64</v>
      </c>
    </row>
    <row r="2347" spans="1:7" x14ac:dyDescent="0.2">
      <c r="A2347" t="s">
        <v>64</v>
      </c>
      <c r="B2347" t="s">
        <v>64</v>
      </c>
      <c r="C2347" s="3" t="s">
        <v>64</v>
      </c>
      <c r="D2347" s="16" t="s">
        <v>64</v>
      </c>
      <c r="E2347" s="16">
        <v>0</v>
      </c>
      <c r="F2347" s="16" t="s">
        <v>64</v>
      </c>
      <c r="G2347" s="16" t="s">
        <v>64</v>
      </c>
    </row>
    <row r="2348" spans="1:7" x14ac:dyDescent="0.2">
      <c r="A2348" t="s">
        <v>64</v>
      </c>
      <c r="B2348" t="s">
        <v>64</v>
      </c>
      <c r="C2348" s="3" t="s">
        <v>64</v>
      </c>
      <c r="D2348" s="16" t="s">
        <v>64</v>
      </c>
      <c r="E2348" s="16">
        <v>0</v>
      </c>
      <c r="F2348" s="16" t="s">
        <v>64</v>
      </c>
      <c r="G2348" s="16" t="s">
        <v>64</v>
      </c>
    </row>
    <row r="2349" spans="1:7" x14ac:dyDescent="0.2">
      <c r="A2349" t="s">
        <v>64</v>
      </c>
      <c r="B2349" t="s">
        <v>64</v>
      </c>
      <c r="C2349" s="3" t="s">
        <v>64</v>
      </c>
      <c r="D2349" s="16" t="s">
        <v>64</v>
      </c>
      <c r="E2349" s="16">
        <v>0</v>
      </c>
      <c r="F2349" s="16" t="s">
        <v>64</v>
      </c>
      <c r="G2349" s="16" t="s">
        <v>64</v>
      </c>
    </row>
    <row r="2350" spans="1:7" x14ac:dyDescent="0.2">
      <c r="A2350" t="s">
        <v>64</v>
      </c>
      <c r="B2350" t="s">
        <v>64</v>
      </c>
      <c r="C2350" s="3" t="s">
        <v>64</v>
      </c>
      <c r="D2350" s="16" t="s">
        <v>64</v>
      </c>
      <c r="E2350" s="16">
        <v>0</v>
      </c>
      <c r="F2350" s="16" t="s">
        <v>64</v>
      </c>
      <c r="G2350" s="16" t="s">
        <v>64</v>
      </c>
    </row>
    <row r="2351" spans="1:7" x14ac:dyDescent="0.2">
      <c r="A2351" t="s">
        <v>64</v>
      </c>
      <c r="B2351" t="s">
        <v>64</v>
      </c>
      <c r="C2351" s="3" t="s">
        <v>64</v>
      </c>
      <c r="D2351" s="16" t="s">
        <v>64</v>
      </c>
      <c r="E2351" s="16">
        <v>0</v>
      </c>
      <c r="F2351" s="16" t="s">
        <v>64</v>
      </c>
      <c r="G2351" s="16" t="s">
        <v>64</v>
      </c>
    </row>
    <row r="2352" spans="1:7" x14ac:dyDescent="0.2">
      <c r="A2352" t="s">
        <v>64</v>
      </c>
      <c r="B2352" t="s">
        <v>64</v>
      </c>
      <c r="C2352" s="3" t="s">
        <v>64</v>
      </c>
      <c r="D2352" s="16" t="s">
        <v>64</v>
      </c>
      <c r="E2352" s="16">
        <v>0</v>
      </c>
      <c r="F2352" s="16" t="s">
        <v>64</v>
      </c>
      <c r="G2352" s="16" t="s">
        <v>64</v>
      </c>
    </row>
    <row r="2353" spans="1:7" x14ac:dyDescent="0.2">
      <c r="A2353" t="s">
        <v>64</v>
      </c>
      <c r="B2353" t="s">
        <v>64</v>
      </c>
      <c r="C2353" s="3" t="s">
        <v>64</v>
      </c>
      <c r="D2353" s="16" t="s">
        <v>64</v>
      </c>
      <c r="E2353" s="16">
        <v>0</v>
      </c>
      <c r="F2353" s="16" t="s">
        <v>64</v>
      </c>
      <c r="G2353" s="16" t="s">
        <v>64</v>
      </c>
    </row>
    <row r="2354" spans="1:7" x14ac:dyDescent="0.2">
      <c r="A2354" t="s">
        <v>64</v>
      </c>
      <c r="B2354" t="s">
        <v>64</v>
      </c>
      <c r="C2354" s="3" t="s">
        <v>64</v>
      </c>
      <c r="D2354" s="16" t="s">
        <v>64</v>
      </c>
      <c r="E2354" s="16">
        <v>0</v>
      </c>
      <c r="F2354" s="16" t="s">
        <v>64</v>
      </c>
      <c r="G2354" s="16" t="s">
        <v>64</v>
      </c>
    </row>
    <row r="2355" spans="1:7" x14ac:dyDescent="0.2">
      <c r="A2355" t="s">
        <v>64</v>
      </c>
      <c r="B2355" t="s">
        <v>64</v>
      </c>
      <c r="C2355" s="3" t="s">
        <v>64</v>
      </c>
      <c r="D2355" s="16" t="s">
        <v>64</v>
      </c>
      <c r="E2355" s="16">
        <v>0</v>
      </c>
      <c r="F2355" s="16" t="s">
        <v>64</v>
      </c>
      <c r="G2355" s="16" t="s">
        <v>64</v>
      </c>
    </row>
    <row r="2356" spans="1:7" x14ac:dyDescent="0.2">
      <c r="A2356" t="s">
        <v>64</v>
      </c>
      <c r="B2356" t="s">
        <v>64</v>
      </c>
      <c r="C2356" s="3" t="s">
        <v>64</v>
      </c>
      <c r="D2356" s="16" t="s">
        <v>64</v>
      </c>
      <c r="E2356" s="16">
        <v>0</v>
      </c>
      <c r="F2356" s="16" t="s">
        <v>64</v>
      </c>
      <c r="G2356" s="16" t="s">
        <v>64</v>
      </c>
    </row>
    <row r="2357" spans="1:7" x14ac:dyDescent="0.2">
      <c r="A2357" t="s">
        <v>64</v>
      </c>
      <c r="B2357" t="s">
        <v>64</v>
      </c>
      <c r="C2357" s="3" t="s">
        <v>64</v>
      </c>
      <c r="D2357" s="16" t="s">
        <v>64</v>
      </c>
      <c r="E2357" s="16">
        <v>0</v>
      </c>
      <c r="F2357" s="16" t="s">
        <v>64</v>
      </c>
      <c r="G2357" s="16" t="s">
        <v>64</v>
      </c>
    </row>
    <row r="2358" spans="1:7" x14ac:dyDescent="0.2">
      <c r="A2358" t="s">
        <v>64</v>
      </c>
      <c r="B2358" t="s">
        <v>64</v>
      </c>
      <c r="C2358" s="3" t="s">
        <v>64</v>
      </c>
      <c r="D2358" s="16" t="s">
        <v>64</v>
      </c>
      <c r="E2358" s="16">
        <v>0</v>
      </c>
      <c r="F2358" s="16" t="s">
        <v>64</v>
      </c>
      <c r="G2358" s="16" t="s">
        <v>64</v>
      </c>
    </row>
    <row r="2359" spans="1:7" x14ac:dyDescent="0.2">
      <c r="A2359" t="s">
        <v>64</v>
      </c>
      <c r="B2359" t="s">
        <v>64</v>
      </c>
      <c r="C2359" s="3" t="s">
        <v>64</v>
      </c>
      <c r="D2359" s="16" t="s">
        <v>64</v>
      </c>
      <c r="E2359" s="16">
        <v>0</v>
      </c>
      <c r="F2359" s="16" t="s">
        <v>64</v>
      </c>
      <c r="G2359" s="16" t="s">
        <v>64</v>
      </c>
    </row>
    <row r="2360" spans="1:7" x14ac:dyDescent="0.2">
      <c r="A2360" t="s">
        <v>64</v>
      </c>
      <c r="B2360" t="s">
        <v>64</v>
      </c>
      <c r="C2360" s="3" t="s">
        <v>64</v>
      </c>
      <c r="D2360" s="16" t="s">
        <v>64</v>
      </c>
      <c r="E2360" s="16">
        <v>0</v>
      </c>
      <c r="F2360" s="16" t="s">
        <v>64</v>
      </c>
      <c r="G2360" s="16" t="s">
        <v>64</v>
      </c>
    </row>
    <row r="2361" spans="1:7" x14ac:dyDescent="0.2">
      <c r="A2361" t="s">
        <v>64</v>
      </c>
      <c r="B2361" t="s">
        <v>64</v>
      </c>
      <c r="C2361" s="3" t="s">
        <v>64</v>
      </c>
      <c r="D2361" s="16" t="s">
        <v>64</v>
      </c>
      <c r="E2361" s="16">
        <v>0</v>
      </c>
      <c r="F2361" s="16" t="s">
        <v>64</v>
      </c>
      <c r="G2361" s="16" t="s">
        <v>64</v>
      </c>
    </row>
    <row r="2362" spans="1:7" x14ac:dyDescent="0.2">
      <c r="A2362" t="s">
        <v>64</v>
      </c>
      <c r="B2362" t="s">
        <v>64</v>
      </c>
      <c r="C2362" s="3" t="s">
        <v>64</v>
      </c>
      <c r="D2362" s="16" t="s">
        <v>64</v>
      </c>
      <c r="E2362" s="16">
        <v>0</v>
      </c>
      <c r="F2362" s="16" t="s">
        <v>64</v>
      </c>
      <c r="G2362" s="16" t="s">
        <v>64</v>
      </c>
    </row>
    <row r="2363" spans="1:7" x14ac:dyDescent="0.2">
      <c r="A2363" t="s">
        <v>64</v>
      </c>
      <c r="B2363" t="s">
        <v>64</v>
      </c>
      <c r="C2363" s="3" t="s">
        <v>64</v>
      </c>
      <c r="D2363" s="16" t="s">
        <v>64</v>
      </c>
      <c r="E2363" s="16">
        <v>0</v>
      </c>
      <c r="F2363" s="16" t="s">
        <v>64</v>
      </c>
      <c r="G2363" s="16" t="s">
        <v>64</v>
      </c>
    </row>
    <row r="2364" spans="1:7" x14ac:dyDescent="0.2">
      <c r="A2364" t="s">
        <v>64</v>
      </c>
      <c r="B2364" t="s">
        <v>64</v>
      </c>
      <c r="C2364" s="3" t="s">
        <v>64</v>
      </c>
      <c r="D2364" s="16" t="s">
        <v>64</v>
      </c>
      <c r="E2364" s="16">
        <v>0</v>
      </c>
      <c r="F2364" s="16" t="s">
        <v>64</v>
      </c>
      <c r="G2364" s="16" t="s">
        <v>64</v>
      </c>
    </row>
    <row r="2365" spans="1:7" x14ac:dyDescent="0.2">
      <c r="A2365" t="s">
        <v>64</v>
      </c>
      <c r="B2365" t="s">
        <v>64</v>
      </c>
      <c r="C2365" s="3" t="s">
        <v>64</v>
      </c>
      <c r="D2365" s="16" t="s">
        <v>64</v>
      </c>
      <c r="E2365" s="16">
        <v>0</v>
      </c>
      <c r="F2365" s="16" t="s">
        <v>64</v>
      </c>
      <c r="G2365" s="16" t="s">
        <v>64</v>
      </c>
    </row>
    <row r="2366" spans="1:7" x14ac:dyDescent="0.2">
      <c r="A2366" t="s">
        <v>64</v>
      </c>
      <c r="B2366" t="s">
        <v>64</v>
      </c>
      <c r="C2366" s="3" t="s">
        <v>64</v>
      </c>
      <c r="D2366" s="16" t="s">
        <v>64</v>
      </c>
      <c r="E2366" s="16">
        <v>0</v>
      </c>
      <c r="F2366" s="16" t="s">
        <v>64</v>
      </c>
      <c r="G2366" s="16" t="s">
        <v>64</v>
      </c>
    </row>
    <row r="2367" spans="1:7" x14ac:dyDescent="0.2">
      <c r="A2367" t="s">
        <v>64</v>
      </c>
      <c r="B2367" t="s">
        <v>64</v>
      </c>
      <c r="C2367" s="3" t="s">
        <v>64</v>
      </c>
      <c r="D2367" s="16" t="s">
        <v>64</v>
      </c>
      <c r="E2367" s="16">
        <v>0</v>
      </c>
      <c r="F2367" s="16" t="s">
        <v>64</v>
      </c>
      <c r="G2367" s="16" t="s">
        <v>64</v>
      </c>
    </row>
    <row r="2368" spans="1:7" x14ac:dyDescent="0.2">
      <c r="A2368" t="s">
        <v>64</v>
      </c>
      <c r="B2368" t="s">
        <v>64</v>
      </c>
      <c r="C2368" s="3" t="s">
        <v>64</v>
      </c>
      <c r="D2368" s="16" t="s">
        <v>64</v>
      </c>
      <c r="E2368" s="16">
        <v>0</v>
      </c>
      <c r="F2368" s="16" t="s">
        <v>64</v>
      </c>
      <c r="G2368" s="16" t="s">
        <v>64</v>
      </c>
    </row>
    <row r="2369" spans="1:7" x14ac:dyDescent="0.2">
      <c r="A2369" t="s">
        <v>64</v>
      </c>
      <c r="B2369" t="s">
        <v>64</v>
      </c>
      <c r="C2369" s="3" t="s">
        <v>64</v>
      </c>
      <c r="D2369" s="16" t="s">
        <v>64</v>
      </c>
      <c r="E2369" s="16">
        <v>0</v>
      </c>
      <c r="F2369" s="16" t="s">
        <v>64</v>
      </c>
      <c r="G2369" s="16" t="s">
        <v>64</v>
      </c>
    </row>
    <row r="2370" spans="1:7" x14ac:dyDescent="0.2">
      <c r="A2370" t="s">
        <v>64</v>
      </c>
      <c r="B2370" t="s">
        <v>64</v>
      </c>
      <c r="C2370" s="3" t="s">
        <v>64</v>
      </c>
      <c r="D2370" s="16" t="s">
        <v>64</v>
      </c>
      <c r="E2370" s="16">
        <v>0</v>
      </c>
      <c r="F2370" s="16" t="s">
        <v>64</v>
      </c>
      <c r="G2370" s="16" t="s">
        <v>64</v>
      </c>
    </row>
    <row r="2371" spans="1:7" x14ac:dyDescent="0.2">
      <c r="A2371" t="s">
        <v>64</v>
      </c>
      <c r="B2371" t="s">
        <v>64</v>
      </c>
      <c r="C2371" s="3" t="s">
        <v>64</v>
      </c>
      <c r="D2371" s="16" t="s">
        <v>64</v>
      </c>
      <c r="E2371" s="16">
        <v>0</v>
      </c>
      <c r="F2371" s="16" t="s">
        <v>64</v>
      </c>
      <c r="G2371" s="16" t="s">
        <v>64</v>
      </c>
    </row>
    <row r="2372" spans="1:7" x14ac:dyDescent="0.2">
      <c r="A2372" t="s">
        <v>64</v>
      </c>
      <c r="B2372" t="s">
        <v>64</v>
      </c>
      <c r="C2372" s="3" t="s">
        <v>64</v>
      </c>
      <c r="D2372" s="16" t="s">
        <v>64</v>
      </c>
      <c r="E2372" s="16">
        <v>0</v>
      </c>
      <c r="F2372" s="16" t="s">
        <v>64</v>
      </c>
      <c r="G2372" s="16" t="s">
        <v>64</v>
      </c>
    </row>
    <row r="2373" spans="1:7" x14ac:dyDescent="0.2">
      <c r="A2373" t="s">
        <v>64</v>
      </c>
      <c r="B2373" t="s">
        <v>64</v>
      </c>
      <c r="C2373" s="3" t="s">
        <v>64</v>
      </c>
      <c r="D2373" s="16" t="s">
        <v>64</v>
      </c>
      <c r="E2373" s="16">
        <v>0</v>
      </c>
      <c r="F2373" s="16" t="s">
        <v>64</v>
      </c>
      <c r="G2373" s="16" t="s">
        <v>64</v>
      </c>
    </row>
    <row r="2374" spans="1:7" x14ac:dyDescent="0.2">
      <c r="A2374" t="s">
        <v>64</v>
      </c>
      <c r="B2374" t="s">
        <v>64</v>
      </c>
      <c r="C2374" s="3" t="s">
        <v>64</v>
      </c>
      <c r="D2374" s="16" t="s">
        <v>64</v>
      </c>
      <c r="E2374" s="16">
        <v>0</v>
      </c>
      <c r="F2374" s="16" t="s">
        <v>64</v>
      </c>
      <c r="G2374" s="16" t="s">
        <v>64</v>
      </c>
    </row>
    <row r="2375" spans="1:7" x14ac:dyDescent="0.2">
      <c r="A2375" t="s">
        <v>64</v>
      </c>
      <c r="B2375" t="s">
        <v>64</v>
      </c>
      <c r="C2375" s="3" t="s">
        <v>64</v>
      </c>
      <c r="D2375" s="16" t="s">
        <v>64</v>
      </c>
      <c r="E2375" s="16">
        <v>0</v>
      </c>
      <c r="F2375" s="16" t="s">
        <v>64</v>
      </c>
      <c r="G2375" s="16" t="s">
        <v>64</v>
      </c>
    </row>
    <row r="2376" spans="1:7" x14ac:dyDescent="0.2">
      <c r="A2376" t="s">
        <v>64</v>
      </c>
      <c r="B2376" t="s">
        <v>64</v>
      </c>
      <c r="C2376" s="3" t="s">
        <v>64</v>
      </c>
      <c r="D2376" s="16" t="s">
        <v>64</v>
      </c>
      <c r="E2376" s="16">
        <v>0</v>
      </c>
      <c r="F2376" s="16" t="s">
        <v>64</v>
      </c>
      <c r="G2376" s="16" t="s">
        <v>64</v>
      </c>
    </row>
    <row r="2377" spans="1:7" x14ac:dyDescent="0.2">
      <c r="A2377" t="s">
        <v>64</v>
      </c>
      <c r="B2377" t="s">
        <v>64</v>
      </c>
      <c r="C2377" s="3" t="s">
        <v>64</v>
      </c>
      <c r="D2377" s="16" t="s">
        <v>64</v>
      </c>
      <c r="E2377" s="16">
        <v>0</v>
      </c>
      <c r="F2377" s="16" t="s">
        <v>64</v>
      </c>
      <c r="G2377" s="16" t="s">
        <v>64</v>
      </c>
    </row>
    <row r="2378" spans="1:7" x14ac:dyDescent="0.2">
      <c r="A2378" t="s">
        <v>64</v>
      </c>
      <c r="B2378" t="s">
        <v>64</v>
      </c>
      <c r="C2378" s="3" t="s">
        <v>64</v>
      </c>
      <c r="D2378" s="16" t="s">
        <v>64</v>
      </c>
      <c r="E2378" s="16">
        <v>0</v>
      </c>
      <c r="F2378" s="16" t="s">
        <v>64</v>
      </c>
      <c r="G2378" s="16" t="s">
        <v>64</v>
      </c>
    </row>
    <row r="2379" spans="1:7" x14ac:dyDescent="0.2">
      <c r="A2379" t="s">
        <v>64</v>
      </c>
      <c r="B2379" t="s">
        <v>64</v>
      </c>
      <c r="C2379" s="3" t="s">
        <v>64</v>
      </c>
      <c r="D2379" s="16" t="s">
        <v>64</v>
      </c>
      <c r="E2379" s="16">
        <v>0</v>
      </c>
      <c r="F2379" s="16" t="s">
        <v>64</v>
      </c>
      <c r="G2379" s="16" t="s">
        <v>64</v>
      </c>
    </row>
    <row r="2380" spans="1:7" x14ac:dyDescent="0.2">
      <c r="A2380" t="s">
        <v>64</v>
      </c>
      <c r="B2380" t="s">
        <v>64</v>
      </c>
      <c r="C2380" s="3" t="s">
        <v>64</v>
      </c>
      <c r="D2380" s="16" t="s">
        <v>64</v>
      </c>
      <c r="E2380" s="16">
        <v>0</v>
      </c>
      <c r="F2380" s="16" t="s">
        <v>64</v>
      </c>
      <c r="G2380" s="16" t="s">
        <v>64</v>
      </c>
    </row>
    <row r="2381" spans="1:7" x14ac:dyDescent="0.2">
      <c r="A2381" t="s">
        <v>64</v>
      </c>
      <c r="B2381" t="s">
        <v>64</v>
      </c>
      <c r="C2381" s="3" t="s">
        <v>64</v>
      </c>
      <c r="D2381" s="16" t="s">
        <v>64</v>
      </c>
      <c r="E2381" s="16">
        <v>0</v>
      </c>
      <c r="F2381" s="16" t="s">
        <v>64</v>
      </c>
      <c r="G2381" s="16" t="s">
        <v>64</v>
      </c>
    </row>
    <row r="2382" spans="1:7" x14ac:dyDescent="0.2">
      <c r="A2382" t="s">
        <v>64</v>
      </c>
      <c r="B2382" t="s">
        <v>64</v>
      </c>
      <c r="C2382" s="3" t="s">
        <v>64</v>
      </c>
      <c r="D2382" s="16" t="s">
        <v>64</v>
      </c>
      <c r="E2382" s="16">
        <v>0</v>
      </c>
      <c r="F2382" s="16" t="s">
        <v>64</v>
      </c>
      <c r="G2382" s="16" t="s">
        <v>64</v>
      </c>
    </row>
    <row r="2383" spans="1:7" x14ac:dyDescent="0.2">
      <c r="A2383" t="s">
        <v>64</v>
      </c>
      <c r="B2383" t="s">
        <v>64</v>
      </c>
      <c r="C2383" s="3" t="s">
        <v>64</v>
      </c>
      <c r="D2383" s="16" t="s">
        <v>64</v>
      </c>
      <c r="E2383" s="16">
        <v>0</v>
      </c>
      <c r="F2383" s="16" t="s">
        <v>64</v>
      </c>
      <c r="G2383" s="16" t="s">
        <v>64</v>
      </c>
    </row>
    <row r="2384" spans="1:7" x14ac:dyDescent="0.2">
      <c r="A2384" t="s">
        <v>64</v>
      </c>
      <c r="B2384" t="s">
        <v>64</v>
      </c>
      <c r="C2384" s="3" t="s">
        <v>64</v>
      </c>
      <c r="D2384" s="16" t="s">
        <v>64</v>
      </c>
      <c r="E2384" s="16">
        <v>0</v>
      </c>
      <c r="F2384" s="16" t="s">
        <v>64</v>
      </c>
      <c r="G2384" s="16" t="s">
        <v>64</v>
      </c>
    </row>
    <row r="2385" spans="1:7" x14ac:dyDescent="0.2">
      <c r="A2385" t="s">
        <v>64</v>
      </c>
      <c r="B2385" t="s">
        <v>64</v>
      </c>
      <c r="C2385" s="3" t="s">
        <v>64</v>
      </c>
      <c r="D2385" s="16" t="s">
        <v>64</v>
      </c>
      <c r="E2385" s="16">
        <v>0</v>
      </c>
      <c r="F2385" s="16" t="s">
        <v>64</v>
      </c>
      <c r="G2385" s="16" t="s">
        <v>64</v>
      </c>
    </row>
    <row r="2386" spans="1:7" x14ac:dyDescent="0.2">
      <c r="A2386" t="s">
        <v>64</v>
      </c>
      <c r="B2386" t="s">
        <v>64</v>
      </c>
      <c r="C2386" s="3" t="s">
        <v>64</v>
      </c>
      <c r="D2386" s="16" t="s">
        <v>64</v>
      </c>
      <c r="E2386" s="16">
        <v>0</v>
      </c>
      <c r="F2386" s="16" t="s">
        <v>64</v>
      </c>
      <c r="G2386" s="16" t="s">
        <v>64</v>
      </c>
    </row>
    <row r="2387" spans="1:7" x14ac:dyDescent="0.2">
      <c r="A2387" t="s">
        <v>64</v>
      </c>
      <c r="B2387" t="s">
        <v>64</v>
      </c>
      <c r="C2387" s="3" t="s">
        <v>64</v>
      </c>
      <c r="D2387" s="16" t="s">
        <v>64</v>
      </c>
      <c r="E2387" s="16">
        <v>0</v>
      </c>
      <c r="F2387" s="16" t="s">
        <v>64</v>
      </c>
      <c r="G2387" s="16" t="s">
        <v>64</v>
      </c>
    </row>
    <row r="2388" spans="1:7" x14ac:dyDescent="0.2">
      <c r="A2388" t="s">
        <v>64</v>
      </c>
      <c r="B2388" t="s">
        <v>64</v>
      </c>
      <c r="C2388" s="3" t="s">
        <v>64</v>
      </c>
      <c r="D2388" s="16" t="s">
        <v>64</v>
      </c>
      <c r="E2388" s="16">
        <v>0</v>
      </c>
      <c r="F2388" s="16" t="s">
        <v>64</v>
      </c>
      <c r="G2388" s="16" t="s">
        <v>64</v>
      </c>
    </row>
    <row r="2389" spans="1:7" x14ac:dyDescent="0.2">
      <c r="A2389" t="s">
        <v>64</v>
      </c>
      <c r="B2389" t="s">
        <v>64</v>
      </c>
      <c r="C2389" s="3" t="s">
        <v>64</v>
      </c>
      <c r="D2389" s="16" t="s">
        <v>64</v>
      </c>
      <c r="E2389" s="16">
        <v>0</v>
      </c>
      <c r="F2389" s="16" t="s">
        <v>64</v>
      </c>
      <c r="G2389" s="16" t="s">
        <v>64</v>
      </c>
    </row>
    <row r="2390" spans="1:7" x14ac:dyDescent="0.2">
      <c r="A2390" t="s">
        <v>64</v>
      </c>
      <c r="B2390" t="s">
        <v>64</v>
      </c>
      <c r="C2390" s="3" t="s">
        <v>64</v>
      </c>
      <c r="D2390" s="16" t="s">
        <v>64</v>
      </c>
      <c r="E2390" s="16">
        <v>0</v>
      </c>
      <c r="F2390" s="16" t="s">
        <v>64</v>
      </c>
      <c r="G2390" s="16" t="s">
        <v>64</v>
      </c>
    </row>
    <row r="2391" spans="1:7" x14ac:dyDescent="0.2">
      <c r="A2391" t="s">
        <v>64</v>
      </c>
      <c r="B2391" t="s">
        <v>64</v>
      </c>
      <c r="C2391" s="3" t="s">
        <v>64</v>
      </c>
      <c r="D2391" s="16" t="s">
        <v>64</v>
      </c>
      <c r="E2391" s="16">
        <v>0</v>
      </c>
      <c r="F2391" s="16" t="s">
        <v>64</v>
      </c>
      <c r="G2391" s="16" t="s">
        <v>64</v>
      </c>
    </row>
    <row r="2392" spans="1:7" x14ac:dyDescent="0.2">
      <c r="A2392" t="s">
        <v>64</v>
      </c>
      <c r="B2392" t="s">
        <v>64</v>
      </c>
      <c r="C2392" s="3" t="s">
        <v>64</v>
      </c>
      <c r="D2392" s="16" t="s">
        <v>64</v>
      </c>
      <c r="E2392" s="16">
        <v>0</v>
      </c>
      <c r="F2392" s="16" t="s">
        <v>64</v>
      </c>
      <c r="G2392" s="16" t="s">
        <v>64</v>
      </c>
    </row>
    <row r="2393" spans="1:7" x14ac:dyDescent="0.2">
      <c r="A2393" t="s">
        <v>64</v>
      </c>
      <c r="B2393" t="s">
        <v>64</v>
      </c>
      <c r="C2393" s="3" t="s">
        <v>64</v>
      </c>
      <c r="D2393" s="16" t="s">
        <v>64</v>
      </c>
      <c r="E2393" s="16">
        <v>0</v>
      </c>
      <c r="F2393" s="16" t="s">
        <v>64</v>
      </c>
      <c r="G2393" s="16" t="s">
        <v>64</v>
      </c>
    </row>
    <row r="2394" spans="1:7" x14ac:dyDescent="0.2">
      <c r="A2394" t="s">
        <v>64</v>
      </c>
      <c r="B2394" t="s">
        <v>64</v>
      </c>
      <c r="C2394" s="3" t="s">
        <v>64</v>
      </c>
      <c r="D2394" s="16" t="s">
        <v>64</v>
      </c>
      <c r="E2394" s="16">
        <v>0</v>
      </c>
      <c r="F2394" s="16" t="s">
        <v>64</v>
      </c>
      <c r="G2394" s="16" t="s">
        <v>64</v>
      </c>
    </row>
    <row r="2395" spans="1:7" x14ac:dyDescent="0.2">
      <c r="A2395" t="s">
        <v>64</v>
      </c>
      <c r="B2395" t="s">
        <v>64</v>
      </c>
      <c r="C2395" s="3" t="s">
        <v>64</v>
      </c>
      <c r="D2395" s="16" t="s">
        <v>64</v>
      </c>
      <c r="E2395" s="16">
        <v>0</v>
      </c>
      <c r="F2395" s="16" t="s">
        <v>64</v>
      </c>
      <c r="G2395" s="16" t="s">
        <v>64</v>
      </c>
    </row>
    <row r="2396" spans="1:7" x14ac:dyDescent="0.2">
      <c r="A2396" t="s">
        <v>64</v>
      </c>
      <c r="B2396" t="s">
        <v>64</v>
      </c>
      <c r="C2396" s="3" t="s">
        <v>64</v>
      </c>
      <c r="D2396" s="16" t="s">
        <v>64</v>
      </c>
      <c r="E2396" s="16">
        <v>0</v>
      </c>
      <c r="F2396" s="16" t="s">
        <v>64</v>
      </c>
      <c r="G2396" s="16" t="s">
        <v>64</v>
      </c>
    </row>
    <row r="2397" spans="1:7" x14ac:dyDescent="0.2">
      <c r="A2397" t="s">
        <v>64</v>
      </c>
      <c r="B2397" t="s">
        <v>64</v>
      </c>
      <c r="C2397" s="3" t="s">
        <v>64</v>
      </c>
      <c r="D2397" s="16" t="s">
        <v>64</v>
      </c>
      <c r="E2397" s="16">
        <v>0</v>
      </c>
      <c r="F2397" s="16" t="s">
        <v>64</v>
      </c>
      <c r="G2397" s="16" t="s">
        <v>64</v>
      </c>
    </row>
    <row r="2398" spans="1:7" x14ac:dyDescent="0.2">
      <c r="A2398" t="s">
        <v>64</v>
      </c>
      <c r="B2398" t="s">
        <v>64</v>
      </c>
      <c r="C2398" s="3" t="s">
        <v>64</v>
      </c>
      <c r="D2398" s="16" t="s">
        <v>64</v>
      </c>
      <c r="E2398" s="16">
        <v>0</v>
      </c>
      <c r="F2398" s="16" t="s">
        <v>64</v>
      </c>
      <c r="G2398" s="16" t="s">
        <v>64</v>
      </c>
    </row>
    <row r="2399" spans="1:7" x14ac:dyDescent="0.2">
      <c r="A2399" t="s">
        <v>64</v>
      </c>
      <c r="B2399" t="s">
        <v>64</v>
      </c>
      <c r="C2399" s="3" t="s">
        <v>64</v>
      </c>
      <c r="D2399" s="16" t="s">
        <v>64</v>
      </c>
      <c r="E2399" s="16">
        <v>0</v>
      </c>
      <c r="F2399" s="16" t="s">
        <v>64</v>
      </c>
      <c r="G2399" s="16" t="s">
        <v>64</v>
      </c>
    </row>
    <row r="2400" spans="1:7" x14ac:dyDescent="0.2">
      <c r="A2400" t="s">
        <v>64</v>
      </c>
      <c r="B2400" t="s">
        <v>64</v>
      </c>
      <c r="C2400" s="3" t="s">
        <v>64</v>
      </c>
      <c r="D2400" s="16" t="s">
        <v>64</v>
      </c>
      <c r="E2400" s="16">
        <v>0</v>
      </c>
      <c r="F2400" s="16" t="s">
        <v>64</v>
      </c>
      <c r="G2400" s="16" t="s">
        <v>64</v>
      </c>
    </row>
    <row r="2401" spans="1:7" x14ac:dyDescent="0.2">
      <c r="A2401" t="s">
        <v>64</v>
      </c>
      <c r="B2401" t="s">
        <v>64</v>
      </c>
      <c r="C2401" s="3" t="s">
        <v>64</v>
      </c>
      <c r="D2401" s="16" t="s">
        <v>64</v>
      </c>
      <c r="E2401" s="16">
        <v>0</v>
      </c>
      <c r="F2401" s="16" t="s">
        <v>64</v>
      </c>
      <c r="G2401" s="16" t="s">
        <v>64</v>
      </c>
    </row>
    <row r="2402" spans="1:7" x14ac:dyDescent="0.2">
      <c r="A2402" t="s">
        <v>64</v>
      </c>
      <c r="B2402" t="s">
        <v>64</v>
      </c>
      <c r="C2402" s="3" t="s">
        <v>64</v>
      </c>
      <c r="D2402" s="16" t="s">
        <v>64</v>
      </c>
      <c r="E2402" s="16">
        <v>0</v>
      </c>
      <c r="F2402" s="16" t="s">
        <v>64</v>
      </c>
      <c r="G2402" s="16" t="s">
        <v>64</v>
      </c>
    </row>
    <row r="2403" spans="1:7" x14ac:dyDescent="0.2">
      <c r="A2403" t="s">
        <v>64</v>
      </c>
      <c r="B2403" t="s">
        <v>64</v>
      </c>
      <c r="C2403" s="3" t="s">
        <v>64</v>
      </c>
      <c r="D2403" s="16" t="s">
        <v>64</v>
      </c>
      <c r="E2403" s="16">
        <v>0</v>
      </c>
      <c r="F2403" s="16" t="s">
        <v>64</v>
      </c>
      <c r="G2403" s="16" t="s">
        <v>64</v>
      </c>
    </row>
    <row r="2404" spans="1:7" x14ac:dyDescent="0.2">
      <c r="A2404" t="s">
        <v>64</v>
      </c>
      <c r="B2404" t="s">
        <v>64</v>
      </c>
      <c r="C2404" s="3" t="s">
        <v>64</v>
      </c>
      <c r="D2404" s="16" t="s">
        <v>64</v>
      </c>
      <c r="E2404" s="16">
        <v>0</v>
      </c>
      <c r="F2404" s="16" t="s">
        <v>64</v>
      </c>
      <c r="G2404" s="16" t="s">
        <v>64</v>
      </c>
    </row>
    <row r="2405" spans="1:7" x14ac:dyDescent="0.2">
      <c r="A2405" t="s">
        <v>64</v>
      </c>
      <c r="B2405" t="s">
        <v>64</v>
      </c>
      <c r="C2405" s="3" t="s">
        <v>64</v>
      </c>
      <c r="D2405" s="16" t="s">
        <v>64</v>
      </c>
      <c r="E2405" s="16">
        <v>0</v>
      </c>
      <c r="F2405" s="16" t="s">
        <v>64</v>
      </c>
      <c r="G2405" s="16" t="s">
        <v>64</v>
      </c>
    </row>
    <row r="2406" spans="1:7" x14ac:dyDescent="0.2">
      <c r="A2406" t="s">
        <v>64</v>
      </c>
      <c r="B2406" t="s">
        <v>64</v>
      </c>
      <c r="C2406" s="3" t="s">
        <v>64</v>
      </c>
      <c r="D2406" s="16" t="s">
        <v>64</v>
      </c>
      <c r="E2406" s="16">
        <v>0</v>
      </c>
      <c r="F2406" s="16" t="s">
        <v>64</v>
      </c>
      <c r="G2406" s="16" t="s">
        <v>64</v>
      </c>
    </row>
    <row r="2407" spans="1:7" x14ac:dyDescent="0.2">
      <c r="A2407" t="s">
        <v>64</v>
      </c>
      <c r="B2407" t="s">
        <v>64</v>
      </c>
      <c r="C2407" s="3" t="s">
        <v>64</v>
      </c>
      <c r="D2407" s="16" t="s">
        <v>64</v>
      </c>
      <c r="E2407" s="16">
        <v>0</v>
      </c>
      <c r="F2407" s="16" t="s">
        <v>64</v>
      </c>
      <c r="G2407" s="16" t="s">
        <v>64</v>
      </c>
    </row>
    <row r="2408" spans="1:7" x14ac:dyDescent="0.2">
      <c r="A2408" t="s">
        <v>64</v>
      </c>
      <c r="B2408" t="s">
        <v>64</v>
      </c>
      <c r="C2408" s="3" t="s">
        <v>64</v>
      </c>
      <c r="D2408" s="16" t="s">
        <v>64</v>
      </c>
      <c r="E2408" s="16">
        <v>0</v>
      </c>
      <c r="F2408" s="16" t="s">
        <v>64</v>
      </c>
      <c r="G2408" s="16" t="s">
        <v>64</v>
      </c>
    </row>
    <row r="2409" spans="1:7" x14ac:dyDescent="0.2">
      <c r="A2409" t="s">
        <v>64</v>
      </c>
      <c r="B2409" t="s">
        <v>64</v>
      </c>
      <c r="C2409" s="3" t="s">
        <v>64</v>
      </c>
      <c r="D2409" s="16" t="s">
        <v>64</v>
      </c>
      <c r="E2409" s="16">
        <v>0</v>
      </c>
      <c r="F2409" s="16" t="s">
        <v>64</v>
      </c>
      <c r="G2409" s="16" t="s">
        <v>64</v>
      </c>
    </row>
    <row r="2410" spans="1:7" x14ac:dyDescent="0.2">
      <c r="A2410" t="s">
        <v>64</v>
      </c>
      <c r="B2410" t="s">
        <v>64</v>
      </c>
      <c r="C2410" s="3" t="s">
        <v>64</v>
      </c>
      <c r="D2410" s="16" t="s">
        <v>64</v>
      </c>
      <c r="E2410" s="16">
        <v>0</v>
      </c>
      <c r="F2410" s="16" t="s">
        <v>64</v>
      </c>
      <c r="G2410" s="16" t="s">
        <v>64</v>
      </c>
    </row>
    <row r="2411" spans="1:7" x14ac:dyDescent="0.2">
      <c r="A2411" t="s">
        <v>64</v>
      </c>
      <c r="B2411" t="s">
        <v>64</v>
      </c>
      <c r="C2411" s="3" t="s">
        <v>64</v>
      </c>
      <c r="D2411" s="16" t="s">
        <v>64</v>
      </c>
      <c r="E2411" s="16">
        <v>0</v>
      </c>
      <c r="F2411" s="16" t="s">
        <v>64</v>
      </c>
      <c r="G2411" s="16" t="s">
        <v>64</v>
      </c>
    </row>
    <row r="2412" spans="1:7" x14ac:dyDescent="0.2">
      <c r="A2412" t="s">
        <v>64</v>
      </c>
      <c r="B2412" t="s">
        <v>64</v>
      </c>
      <c r="C2412" s="3" t="s">
        <v>64</v>
      </c>
      <c r="D2412" s="16" t="s">
        <v>64</v>
      </c>
      <c r="E2412" s="16">
        <v>0</v>
      </c>
      <c r="F2412" s="16" t="s">
        <v>64</v>
      </c>
      <c r="G2412" s="16" t="s">
        <v>64</v>
      </c>
    </row>
    <row r="2413" spans="1:7" x14ac:dyDescent="0.2">
      <c r="A2413" t="s">
        <v>64</v>
      </c>
      <c r="B2413" t="s">
        <v>64</v>
      </c>
      <c r="C2413" s="3" t="s">
        <v>64</v>
      </c>
      <c r="D2413" s="16" t="s">
        <v>64</v>
      </c>
      <c r="E2413" s="16">
        <v>0</v>
      </c>
      <c r="F2413" s="16" t="s">
        <v>64</v>
      </c>
      <c r="G2413" s="16" t="s">
        <v>64</v>
      </c>
    </row>
    <row r="2414" spans="1:7" x14ac:dyDescent="0.2">
      <c r="A2414" t="s">
        <v>64</v>
      </c>
      <c r="B2414" t="s">
        <v>64</v>
      </c>
      <c r="C2414" s="3" t="s">
        <v>64</v>
      </c>
      <c r="D2414" s="16" t="s">
        <v>64</v>
      </c>
      <c r="E2414" s="16">
        <v>0</v>
      </c>
      <c r="F2414" s="16" t="s">
        <v>64</v>
      </c>
      <c r="G2414" s="16" t="s">
        <v>64</v>
      </c>
    </row>
    <row r="2415" spans="1:7" x14ac:dyDescent="0.2">
      <c r="A2415" t="s">
        <v>64</v>
      </c>
      <c r="B2415" t="s">
        <v>64</v>
      </c>
      <c r="C2415" s="3" t="s">
        <v>64</v>
      </c>
      <c r="D2415" s="16" t="s">
        <v>64</v>
      </c>
      <c r="E2415" s="16">
        <v>0</v>
      </c>
      <c r="F2415" s="16" t="s">
        <v>64</v>
      </c>
      <c r="G2415" s="16" t="s">
        <v>64</v>
      </c>
    </row>
    <row r="2416" spans="1:7" x14ac:dyDescent="0.2">
      <c r="A2416" t="s">
        <v>64</v>
      </c>
      <c r="B2416" t="s">
        <v>64</v>
      </c>
      <c r="C2416" s="3" t="s">
        <v>64</v>
      </c>
      <c r="D2416" s="16" t="s">
        <v>64</v>
      </c>
      <c r="E2416" s="16">
        <v>0</v>
      </c>
      <c r="F2416" s="16" t="s">
        <v>64</v>
      </c>
      <c r="G2416" s="16" t="s">
        <v>64</v>
      </c>
    </row>
    <row r="2417" spans="1:7" x14ac:dyDescent="0.2">
      <c r="A2417" t="s">
        <v>64</v>
      </c>
      <c r="B2417" t="s">
        <v>64</v>
      </c>
      <c r="C2417" s="3" t="s">
        <v>64</v>
      </c>
      <c r="D2417" s="16" t="s">
        <v>64</v>
      </c>
      <c r="E2417" s="16">
        <v>0</v>
      </c>
      <c r="F2417" s="16" t="s">
        <v>64</v>
      </c>
      <c r="G2417" s="16" t="s">
        <v>64</v>
      </c>
    </row>
    <row r="2418" spans="1:7" x14ac:dyDescent="0.2">
      <c r="A2418" t="s">
        <v>64</v>
      </c>
      <c r="B2418" t="s">
        <v>64</v>
      </c>
      <c r="C2418" s="3" t="s">
        <v>64</v>
      </c>
      <c r="D2418" s="16" t="s">
        <v>64</v>
      </c>
      <c r="E2418" s="16">
        <v>0</v>
      </c>
      <c r="F2418" s="16" t="s">
        <v>64</v>
      </c>
      <c r="G2418" s="16" t="s">
        <v>64</v>
      </c>
    </row>
    <row r="2419" spans="1:7" x14ac:dyDescent="0.2">
      <c r="A2419" t="s">
        <v>64</v>
      </c>
      <c r="B2419" t="s">
        <v>64</v>
      </c>
      <c r="C2419" s="3" t="s">
        <v>64</v>
      </c>
      <c r="D2419" s="16" t="s">
        <v>64</v>
      </c>
      <c r="E2419" s="16">
        <v>0</v>
      </c>
      <c r="F2419" s="16" t="s">
        <v>64</v>
      </c>
      <c r="G2419" s="16" t="s">
        <v>64</v>
      </c>
    </row>
    <row r="2420" spans="1:7" x14ac:dyDescent="0.2">
      <c r="A2420" t="s">
        <v>64</v>
      </c>
      <c r="B2420" t="s">
        <v>64</v>
      </c>
      <c r="C2420" s="3" t="s">
        <v>64</v>
      </c>
      <c r="D2420" s="16" t="s">
        <v>64</v>
      </c>
      <c r="E2420" s="16">
        <v>0</v>
      </c>
      <c r="F2420" s="16" t="s">
        <v>64</v>
      </c>
      <c r="G2420" s="16" t="s">
        <v>64</v>
      </c>
    </row>
    <row r="2421" spans="1:7" x14ac:dyDescent="0.2">
      <c r="A2421" t="s">
        <v>64</v>
      </c>
      <c r="B2421" t="s">
        <v>64</v>
      </c>
      <c r="C2421" s="3" t="s">
        <v>64</v>
      </c>
      <c r="D2421" s="16" t="s">
        <v>64</v>
      </c>
      <c r="E2421" s="16">
        <v>0</v>
      </c>
      <c r="F2421" s="16" t="s">
        <v>64</v>
      </c>
      <c r="G2421" s="16" t="s">
        <v>64</v>
      </c>
    </row>
    <row r="2422" spans="1:7" x14ac:dyDescent="0.2">
      <c r="A2422" t="s">
        <v>64</v>
      </c>
      <c r="B2422" t="s">
        <v>64</v>
      </c>
      <c r="C2422" s="3" t="s">
        <v>64</v>
      </c>
      <c r="D2422" s="16" t="s">
        <v>64</v>
      </c>
      <c r="E2422" s="16">
        <v>0</v>
      </c>
      <c r="F2422" s="16" t="s">
        <v>64</v>
      </c>
      <c r="G2422" s="16" t="s">
        <v>64</v>
      </c>
    </row>
    <row r="2423" spans="1:7" x14ac:dyDescent="0.2">
      <c r="A2423" t="s">
        <v>64</v>
      </c>
      <c r="B2423" t="s">
        <v>64</v>
      </c>
      <c r="C2423" s="3" t="s">
        <v>64</v>
      </c>
      <c r="D2423" s="16" t="s">
        <v>64</v>
      </c>
      <c r="E2423" s="16">
        <v>0</v>
      </c>
      <c r="F2423" s="16" t="s">
        <v>64</v>
      </c>
      <c r="G2423" s="16" t="s">
        <v>64</v>
      </c>
    </row>
    <row r="2424" spans="1:7" x14ac:dyDescent="0.2">
      <c r="A2424" t="s">
        <v>64</v>
      </c>
      <c r="B2424" t="s">
        <v>64</v>
      </c>
      <c r="C2424" s="3" t="s">
        <v>64</v>
      </c>
      <c r="D2424" s="16" t="s">
        <v>64</v>
      </c>
      <c r="E2424" s="16">
        <v>0</v>
      </c>
      <c r="F2424" s="16" t="s">
        <v>64</v>
      </c>
      <c r="G2424" s="16" t="s">
        <v>64</v>
      </c>
    </row>
    <row r="2425" spans="1:7" x14ac:dyDescent="0.2">
      <c r="A2425" t="s">
        <v>64</v>
      </c>
      <c r="B2425" t="s">
        <v>64</v>
      </c>
      <c r="C2425" s="3" t="s">
        <v>64</v>
      </c>
      <c r="D2425" s="16" t="s">
        <v>64</v>
      </c>
      <c r="E2425" s="16">
        <v>0</v>
      </c>
      <c r="F2425" s="16" t="s">
        <v>64</v>
      </c>
      <c r="G2425" s="16" t="s">
        <v>64</v>
      </c>
    </row>
    <row r="2426" spans="1:7" x14ac:dyDescent="0.2">
      <c r="A2426" t="s">
        <v>64</v>
      </c>
      <c r="B2426" t="s">
        <v>64</v>
      </c>
      <c r="C2426" s="3" t="s">
        <v>64</v>
      </c>
      <c r="D2426" s="16" t="s">
        <v>64</v>
      </c>
      <c r="E2426" s="16">
        <v>0</v>
      </c>
      <c r="F2426" s="16" t="s">
        <v>64</v>
      </c>
      <c r="G2426" s="16" t="s">
        <v>64</v>
      </c>
    </row>
    <row r="2427" spans="1:7" x14ac:dyDescent="0.2">
      <c r="A2427" t="s">
        <v>64</v>
      </c>
      <c r="B2427" t="s">
        <v>64</v>
      </c>
      <c r="C2427" s="3" t="s">
        <v>64</v>
      </c>
      <c r="D2427" s="16" t="s">
        <v>64</v>
      </c>
      <c r="E2427" s="16">
        <v>0</v>
      </c>
      <c r="F2427" s="16" t="s">
        <v>64</v>
      </c>
      <c r="G2427" s="16" t="s">
        <v>64</v>
      </c>
    </row>
    <row r="2428" spans="1:7" x14ac:dyDescent="0.2">
      <c r="A2428" t="s">
        <v>64</v>
      </c>
      <c r="B2428" t="s">
        <v>64</v>
      </c>
      <c r="C2428" s="3" t="s">
        <v>64</v>
      </c>
      <c r="D2428" s="16" t="s">
        <v>64</v>
      </c>
      <c r="E2428" s="16">
        <v>0</v>
      </c>
      <c r="F2428" s="16" t="s">
        <v>64</v>
      </c>
      <c r="G2428" s="16" t="s">
        <v>64</v>
      </c>
    </row>
    <row r="2429" spans="1:7" x14ac:dyDescent="0.2">
      <c r="A2429" t="s">
        <v>64</v>
      </c>
      <c r="B2429" t="s">
        <v>64</v>
      </c>
      <c r="C2429" s="3" t="s">
        <v>64</v>
      </c>
      <c r="D2429" s="16" t="s">
        <v>64</v>
      </c>
      <c r="E2429" s="16">
        <v>0</v>
      </c>
      <c r="F2429" s="16" t="s">
        <v>64</v>
      </c>
      <c r="G2429" s="16" t="s">
        <v>64</v>
      </c>
    </row>
    <row r="2430" spans="1:7" x14ac:dyDescent="0.2">
      <c r="A2430" t="s">
        <v>64</v>
      </c>
      <c r="B2430" t="s">
        <v>64</v>
      </c>
      <c r="C2430" s="3" t="s">
        <v>64</v>
      </c>
      <c r="D2430" s="16" t="s">
        <v>64</v>
      </c>
      <c r="E2430" s="16">
        <v>0</v>
      </c>
      <c r="F2430" s="16" t="s">
        <v>64</v>
      </c>
      <c r="G2430" s="16" t="s">
        <v>64</v>
      </c>
    </row>
    <row r="2431" spans="1:7" x14ac:dyDescent="0.2">
      <c r="A2431" t="s">
        <v>64</v>
      </c>
      <c r="B2431" t="s">
        <v>64</v>
      </c>
      <c r="C2431" s="3" t="s">
        <v>64</v>
      </c>
      <c r="D2431" s="16" t="s">
        <v>64</v>
      </c>
      <c r="E2431" s="16">
        <v>0</v>
      </c>
      <c r="F2431" s="16" t="s">
        <v>64</v>
      </c>
      <c r="G2431" s="16" t="s">
        <v>64</v>
      </c>
    </row>
    <row r="2432" spans="1:7" x14ac:dyDescent="0.2">
      <c r="A2432" t="s">
        <v>64</v>
      </c>
      <c r="B2432" t="s">
        <v>64</v>
      </c>
      <c r="C2432" s="3" t="s">
        <v>64</v>
      </c>
      <c r="D2432" s="16" t="s">
        <v>64</v>
      </c>
      <c r="E2432" s="16">
        <v>0</v>
      </c>
      <c r="F2432" s="16" t="s">
        <v>64</v>
      </c>
      <c r="G2432" s="16" t="s">
        <v>64</v>
      </c>
    </row>
    <row r="2433" spans="1:7" x14ac:dyDescent="0.2">
      <c r="A2433" t="s">
        <v>64</v>
      </c>
      <c r="B2433" t="s">
        <v>64</v>
      </c>
      <c r="C2433" s="3" t="s">
        <v>64</v>
      </c>
      <c r="D2433" s="16" t="s">
        <v>64</v>
      </c>
      <c r="E2433" s="16">
        <v>0</v>
      </c>
      <c r="F2433" s="16" t="s">
        <v>64</v>
      </c>
      <c r="G2433" s="16" t="s">
        <v>64</v>
      </c>
    </row>
    <row r="2434" spans="1:7" x14ac:dyDescent="0.2">
      <c r="A2434" t="s">
        <v>64</v>
      </c>
      <c r="B2434" t="s">
        <v>64</v>
      </c>
      <c r="C2434" s="3" t="s">
        <v>64</v>
      </c>
      <c r="D2434" s="16" t="s">
        <v>64</v>
      </c>
      <c r="E2434" s="16">
        <v>0</v>
      </c>
      <c r="F2434" s="16" t="s">
        <v>64</v>
      </c>
      <c r="G2434" s="16" t="s">
        <v>64</v>
      </c>
    </row>
    <row r="2435" spans="1:7" x14ac:dyDescent="0.2">
      <c r="A2435" t="s">
        <v>64</v>
      </c>
      <c r="B2435" t="s">
        <v>64</v>
      </c>
      <c r="C2435" s="3" t="s">
        <v>64</v>
      </c>
      <c r="D2435" s="16" t="s">
        <v>64</v>
      </c>
      <c r="E2435" s="16">
        <v>0</v>
      </c>
      <c r="F2435" s="16" t="s">
        <v>64</v>
      </c>
      <c r="G2435" s="16" t="s">
        <v>64</v>
      </c>
    </row>
    <row r="2436" spans="1:7" x14ac:dyDescent="0.2">
      <c r="A2436" t="s">
        <v>64</v>
      </c>
      <c r="B2436" t="s">
        <v>64</v>
      </c>
      <c r="C2436" s="3" t="s">
        <v>64</v>
      </c>
      <c r="D2436" s="16" t="s">
        <v>64</v>
      </c>
      <c r="E2436" s="16">
        <v>0</v>
      </c>
      <c r="F2436" s="16" t="s">
        <v>64</v>
      </c>
      <c r="G2436" s="16" t="s">
        <v>64</v>
      </c>
    </row>
    <row r="2437" spans="1:7" x14ac:dyDescent="0.2">
      <c r="A2437" t="s">
        <v>64</v>
      </c>
      <c r="B2437" t="s">
        <v>64</v>
      </c>
      <c r="C2437" s="3" t="s">
        <v>64</v>
      </c>
      <c r="D2437" s="16" t="s">
        <v>64</v>
      </c>
      <c r="E2437" s="16">
        <v>0</v>
      </c>
      <c r="F2437" s="16" t="s">
        <v>64</v>
      </c>
      <c r="G2437" s="16" t="s">
        <v>64</v>
      </c>
    </row>
    <row r="2438" spans="1:7" x14ac:dyDescent="0.2">
      <c r="A2438" t="s">
        <v>64</v>
      </c>
      <c r="B2438" t="s">
        <v>64</v>
      </c>
      <c r="C2438" s="3" t="s">
        <v>64</v>
      </c>
      <c r="D2438" s="16" t="s">
        <v>64</v>
      </c>
      <c r="E2438" s="16">
        <v>0</v>
      </c>
      <c r="F2438" s="16" t="s">
        <v>64</v>
      </c>
      <c r="G2438" s="16" t="s">
        <v>64</v>
      </c>
    </row>
    <row r="2439" spans="1:7" x14ac:dyDescent="0.2">
      <c r="A2439" t="s">
        <v>64</v>
      </c>
      <c r="B2439" t="s">
        <v>64</v>
      </c>
      <c r="C2439" s="3" t="s">
        <v>64</v>
      </c>
      <c r="D2439" s="16" t="s">
        <v>64</v>
      </c>
      <c r="E2439" s="16">
        <v>0</v>
      </c>
      <c r="F2439" s="16" t="s">
        <v>64</v>
      </c>
      <c r="G2439" s="16" t="s">
        <v>64</v>
      </c>
    </row>
    <row r="2440" spans="1:7" x14ac:dyDescent="0.2">
      <c r="A2440" t="s">
        <v>64</v>
      </c>
      <c r="B2440" t="s">
        <v>64</v>
      </c>
      <c r="C2440" s="3" t="s">
        <v>64</v>
      </c>
      <c r="D2440" s="16" t="s">
        <v>64</v>
      </c>
      <c r="E2440" s="16">
        <v>0</v>
      </c>
      <c r="F2440" s="16" t="s">
        <v>64</v>
      </c>
      <c r="G2440" s="16" t="s">
        <v>64</v>
      </c>
    </row>
    <row r="2441" spans="1:7" x14ac:dyDescent="0.2">
      <c r="A2441" t="s">
        <v>64</v>
      </c>
      <c r="B2441" t="s">
        <v>64</v>
      </c>
      <c r="C2441" s="3" t="s">
        <v>64</v>
      </c>
      <c r="D2441" s="16" t="s">
        <v>64</v>
      </c>
      <c r="E2441" s="16">
        <v>0</v>
      </c>
      <c r="F2441" s="16" t="s">
        <v>64</v>
      </c>
      <c r="G2441" s="16" t="s">
        <v>64</v>
      </c>
    </row>
    <row r="2442" spans="1:7" x14ac:dyDescent="0.2">
      <c r="A2442" t="s">
        <v>64</v>
      </c>
      <c r="B2442" t="s">
        <v>64</v>
      </c>
      <c r="C2442" s="3" t="s">
        <v>64</v>
      </c>
      <c r="D2442" s="16" t="s">
        <v>64</v>
      </c>
      <c r="E2442" s="16">
        <v>0</v>
      </c>
      <c r="F2442" s="16" t="s">
        <v>64</v>
      </c>
      <c r="G2442" s="16" t="s">
        <v>64</v>
      </c>
    </row>
    <row r="2443" spans="1:7" x14ac:dyDescent="0.2">
      <c r="A2443" t="s">
        <v>64</v>
      </c>
      <c r="B2443" t="s">
        <v>64</v>
      </c>
      <c r="C2443" s="3" t="s">
        <v>64</v>
      </c>
      <c r="D2443" s="16" t="s">
        <v>64</v>
      </c>
      <c r="E2443" s="16">
        <v>0</v>
      </c>
      <c r="F2443" s="16" t="s">
        <v>64</v>
      </c>
      <c r="G2443" s="16" t="s">
        <v>64</v>
      </c>
    </row>
    <row r="2444" spans="1:7" x14ac:dyDescent="0.2">
      <c r="A2444" t="s">
        <v>64</v>
      </c>
      <c r="B2444" t="s">
        <v>64</v>
      </c>
      <c r="C2444" s="3" t="s">
        <v>64</v>
      </c>
      <c r="D2444" s="16" t="s">
        <v>64</v>
      </c>
      <c r="E2444" s="16">
        <v>0</v>
      </c>
      <c r="F2444" s="16" t="s">
        <v>64</v>
      </c>
      <c r="G2444" s="16" t="s">
        <v>64</v>
      </c>
    </row>
    <row r="2445" spans="1:7" x14ac:dyDescent="0.2">
      <c r="A2445" t="s">
        <v>64</v>
      </c>
      <c r="B2445" t="s">
        <v>64</v>
      </c>
      <c r="C2445" s="3" t="s">
        <v>64</v>
      </c>
      <c r="D2445" s="16" t="s">
        <v>64</v>
      </c>
      <c r="E2445" s="16">
        <v>0</v>
      </c>
      <c r="F2445" s="16" t="s">
        <v>64</v>
      </c>
      <c r="G2445" s="16" t="s">
        <v>64</v>
      </c>
    </row>
    <row r="2446" spans="1:7" x14ac:dyDescent="0.2">
      <c r="A2446" t="s">
        <v>64</v>
      </c>
      <c r="B2446" t="s">
        <v>64</v>
      </c>
      <c r="C2446" s="3" t="s">
        <v>64</v>
      </c>
      <c r="D2446" s="16" t="s">
        <v>64</v>
      </c>
      <c r="E2446" s="16">
        <v>0</v>
      </c>
      <c r="F2446" s="16" t="s">
        <v>64</v>
      </c>
      <c r="G2446" s="16" t="s">
        <v>64</v>
      </c>
    </row>
    <row r="2447" spans="1:7" x14ac:dyDescent="0.2">
      <c r="A2447" t="s">
        <v>64</v>
      </c>
      <c r="B2447" t="s">
        <v>64</v>
      </c>
      <c r="C2447" s="3" t="s">
        <v>64</v>
      </c>
      <c r="D2447" s="16" t="s">
        <v>64</v>
      </c>
      <c r="E2447" s="16">
        <v>0</v>
      </c>
      <c r="F2447" s="16" t="s">
        <v>64</v>
      </c>
      <c r="G2447" s="16" t="s">
        <v>64</v>
      </c>
    </row>
    <row r="2448" spans="1:7" x14ac:dyDescent="0.2">
      <c r="A2448" t="s">
        <v>64</v>
      </c>
      <c r="B2448" t="s">
        <v>64</v>
      </c>
      <c r="C2448" s="3" t="s">
        <v>64</v>
      </c>
      <c r="D2448" s="16" t="s">
        <v>64</v>
      </c>
      <c r="E2448" s="16">
        <v>0</v>
      </c>
      <c r="F2448" s="16" t="s">
        <v>64</v>
      </c>
      <c r="G2448" s="16" t="s">
        <v>64</v>
      </c>
    </row>
    <row r="2449" spans="1:7" x14ac:dyDescent="0.2">
      <c r="A2449" t="s">
        <v>64</v>
      </c>
      <c r="B2449" t="s">
        <v>64</v>
      </c>
      <c r="C2449" s="3" t="s">
        <v>64</v>
      </c>
      <c r="D2449" s="16" t="s">
        <v>64</v>
      </c>
      <c r="E2449" s="16">
        <v>0</v>
      </c>
      <c r="F2449" s="16" t="s">
        <v>64</v>
      </c>
      <c r="G2449" s="16" t="s">
        <v>64</v>
      </c>
    </row>
    <row r="2450" spans="1:7" x14ac:dyDescent="0.2">
      <c r="A2450" t="s">
        <v>64</v>
      </c>
      <c r="B2450" t="s">
        <v>64</v>
      </c>
      <c r="C2450" s="3" t="s">
        <v>64</v>
      </c>
      <c r="D2450" s="16" t="s">
        <v>64</v>
      </c>
      <c r="E2450" s="16">
        <v>0</v>
      </c>
      <c r="F2450" s="16" t="s">
        <v>64</v>
      </c>
      <c r="G2450" s="16" t="s">
        <v>64</v>
      </c>
    </row>
    <row r="2451" spans="1:7" x14ac:dyDescent="0.2">
      <c r="A2451" t="s">
        <v>64</v>
      </c>
      <c r="B2451" t="s">
        <v>64</v>
      </c>
      <c r="C2451" s="3" t="s">
        <v>64</v>
      </c>
      <c r="D2451" s="16" t="s">
        <v>64</v>
      </c>
      <c r="E2451" s="16">
        <v>0</v>
      </c>
      <c r="F2451" s="16" t="s">
        <v>64</v>
      </c>
      <c r="G2451" s="16" t="s">
        <v>64</v>
      </c>
    </row>
    <row r="2452" spans="1:7" x14ac:dyDescent="0.2">
      <c r="A2452" t="s">
        <v>64</v>
      </c>
      <c r="B2452" t="s">
        <v>64</v>
      </c>
      <c r="C2452" s="3" t="s">
        <v>64</v>
      </c>
      <c r="D2452" s="16" t="s">
        <v>64</v>
      </c>
      <c r="E2452" s="16">
        <v>0</v>
      </c>
      <c r="F2452" s="16" t="s">
        <v>64</v>
      </c>
      <c r="G2452" s="16" t="s">
        <v>64</v>
      </c>
    </row>
    <row r="2453" spans="1:7" x14ac:dyDescent="0.2">
      <c r="A2453" t="s">
        <v>64</v>
      </c>
      <c r="B2453" t="s">
        <v>64</v>
      </c>
      <c r="C2453" s="3" t="s">
        <v>64</v>
      </c>
      <c r="D2453" s="16" t="s">
        <v>64</v>
      </c>
      <c r="E2453" s="16">
        <v>0</v>
      </c>
      <c r="F2453" s="16" t="s">
        <v>64</v>
      </c>
      <c r="G2453" s="16" t="s">
        <v>64</v>
      </c>
    </row>
    <row r="2454" spans="1:7" x14ac:dyDescent="0.2">
      <c r="A2454" t="s">
        <v>64</v>
      </c>
      <c r="B2454" t="s">
        <v>64</v>
      </c>
      <c r="C2454" s="3" t="s">
        <v>64</v>
      </c>
      <c r="D2454" s="16" t="s">
        <v>64</v>
      </c>
      <c r="E2454" s="16">
        <v>0</v>
      </c>
      <c r="F2454" s="16" t="s">
        <v>64</v>
      </c>
      <c r="G2454" s="16" t="s">
        <v>64</v>
      </c>
    </row>
    <row r="2455" spans="1:7" x14ac:dyDescent="0.2">
      <c r="A2455" t="s">
        <v>64</v>
      </c>
      <c r="B2455" t="s">
        <v>64</v>
      </c>
      <c r="C2455" s="3" t="s">
        <v>64</v>
      </c>
      <c r="D2455" s="16" t="s">
        <v>64</v>
      </c>
      <c r="E2455" s="16">
        <v>0</v>
      </c>
      <c r="F2455" s="16" t="s">
        <v>64</v>
      </c>
      <c r="G2455" s="16" t="s">
        <v>64</v>
      </c>
    </row>
    <row r="2456" spans="1:7" x14ac:dyDescent="0.2">
      <c r="A2456" t="s">
        <v>64</v>
      </c>
      <c r="B2456" t="s">
        <v>64</v>
      </c>
      <c r="C2456" s="3" t="s">
        <v>64</v>
      </c>
      <c r="D2456" s="16" t="s">
        <v>64</v>
      </c>
      <c r="E2456" s="16">
        <v>0</v>
      </c>
      <c r="F2456" s="16" t="s">
        <v>64</v>
      </c>
      <c r="G2456" s="16" t="s">
        <v>64</v>
      </c>
    </row>
    <row r="2457" spans="1:7" x14ac:dyDescent="0.2">
      <c r="A2457" t="s">
        <v>64</v>
      </c>
      <c r="B2457" t="s">
        <v>64</v>
      </c>
      <c r="C2457" s="3" t="s">
        <v>64</v>
      </c>
      <c r="D2457" s="16" t="s">
        <v>64</v>
      </c>
      <c r="E2457" s="16">
        <v>0</v>
      </c>
      <c r="F2457" s="16" t="s">
        <v>64</v>
      </c>
      <c r="G2457" s="16" t="s">
        <v>64</v>
      </c>
    </row>
    <row r="2458" spans="1:7" x14ac:dyDescent="0.2">
      <c r="A2458" t="s">
        <v>64</v>
      </c>
      <c r="B2458" t="s">
        <v>64</v>
      </c>
      <c r="C2458" s="3" t="s">
        <v>64</v>
      </c>
      <c r="D2458" s="16" t="s">
        <v>64</v>
      </c>
      <c r="E2458" s="16">
        <v>0</v>
      </c>
      <c r="F2458" s="16" t="s">
        <v>64</v>
      </c>
      <c r="G2458" s="16" t="s">
        <v>64</v>
      </c>
    </row>
    <row r="2459" spans="1:7" x14ac:dyDescent="0.2">
      <c r="A2459" t="s">
        <v>64</v>
      </c>
      <c r="B2459" t="s">
        <v>64</v>
      </c>
      <c r="C2459" s="3" t="s">
        <v>64</v>
      </c>
      <c r="D2459" s="16" t="s">
        <v>64</v>
      </c>
      <c r="E2459" s="16">
        <v>0</v>
      </c>
      <c r="F2459" s="16" t="s">
        <v>64</v>
      </c>
      <c r="G2459" s="16" t="s">
        <v>64</v>
      </c>
    </row>
    <row r="2460" spans="1:7" x14ac:dyDescent="0.2">
      <c r="A2460" t="s">
        <v>64</v>
      </c>
      <c r="B2460" t="s">
        <v>64</v>
      </c>
      <c r="C2460" s="3" t="s">
        <v>64</v>
      </c>
      <c r="D2460" s="16" t="s">
        <v>64</v>
      </c>
      <c r="E2460" s="16">
        <v>0</v>
      </c>
      <c r="F2460" s="16" t="s">
        <v>64</v>
      </c>
      <c r="G2460" s="16" t="s">
        <v>64</v>
      </c>
    </row>
    <row r="2461" spans="1:7" x14ac:dyDescent="0.2">
      <c r="A2461" t="s">
        <v>64</v>
      </c>
      <c r="B2461" t="s">
        <v>64</v>
      </c>
      <c r="C2461" s="3" t="s">
        <v>64</v>
      </c>
      <c r="D2461" s="16" t="s">
        <v>64</v>
      </c>
      <c r="E2461" s="16">
        <v>0</v>
      </c>
      <c r="F2461" s="16" t="s">
        <v>64</v>
      </c>
      <c r="G2461" s="16" t="s">
        <v>64</v>
      </c>
    </row>
    <row r="2462" spans="1:7" x14ac:dyDescent="0.2">
      <c r="A2462" t="s">
        <v>64</v>
      </c>
      <c r="B2462" t="s">
        <v>64</v>
      </c>
      <c r="C2462" s="3" t="s">
        <v>64</v>
      </c>
      <c r="D2462" s="16" t="s">
        <v>64</v>
      </c>
      <c r="E2462" s="16">
        <v>0</v>
      </c>
      <c r="F2462" s="16" t="s">
        <v>64</v>
      </c>
      <c r="G2462" s="16" t="s">
        <v>64</v>
      </c>
    </row>
    <row r="2463" spans="1:7" x14ac:dyDescent="0.2">
      <c r="A2463" t="s">
        <v>64</v>
      </c>
      <c r="B2463" t="s">
        <v>64</v>
      </c>
      <c r="C2463" s="3" t="s">
        <v>64</v>
      </c>
      <c r="D2463" s="16" t="s">
        <v>64</v>
      </c>
      <c r="E2463" s="16">
        <v>0</v>
      </c>
      <c r="F2463" s="16" t="s">
        <v>64</v>
      </c>
      <c r="G2463" s="16" t="s">
        <v>64</v>
      </c>
    </row>
    <row r="2464" spans="1:7" x14ac:dyDescent="0.2">
      <c r="A2464" t="s">
        <v>64</v>
      </c>
      <c r="B2464" t="s">
        <v>64</v>
      </c>
      <c r="C2464" s="3" t="s">
        <v>64</v>
      </c>
      <c r="D2464" s="16" t="s">
        <v>64</v>
      </c>
      <c r="E2464" s="16">
        <v>0</v>
      </c>
      <c r="F2464" s="16" t="s">
        <v>64</v>
      </c>
      <c r="G2464" s="16" t="s">
        <v>64</v>
      </c>
    </row>
    <row r="2465" spans="1:7" x14ac:dyDescent="0.2">
      <c r="A2465" t="s">
        <v>64</v>
      </c>
      <c r="B2465" t="s">
        <v>64</v>
      </c>
      <c r="C2465" s="3" t="s">
        <v>64</v>
      </c>
      <c r="D2465" s="16" t="s">
        <v>64</v>
      </c>
      <c r="E2465" s="16">
        <v>0</v>
      </c>
      <c r="F2465" s="16" t="s">
        <v>64</v>
      </c>
      <c r="G2465" s="16" t="s">
        <v>64</v>
      </c>
    </row>
    <row r="2466" spans="1:7" x14ac:dyDescent="0.2">
      <c r="A2466" t="s">
        <v>64</v>
      </c>
      <c r="B2466" t="s">
        <v>64</v>
      </c>
      <c r="C2466" s="3" t="s">
        <v>64</v>
      </c>
      <c r="D2466" s="16" t="s">
        <v>64</v>
      </c>
      <c r="E2466" s="16">
        <v>0</v>
      </c>
      <c r="F2466" s="16" t="s">
        <v>64</v>
      </c>
      <c r="G2466" s="16" t="s">
        <v>64</v>
      </c>
    </row>
    <row r="2467" spans="1:7" x14ac:dyDescent="0.2">
      <c r="A2467" t="s">
        <v>64</v>
      </c>
      <c r="B2467" t="s">
        <v>64</v>
      </c>
      <c r="C2467" s="3" t="s">
        <v>64</v>
      </c>
      <c r="D2467" s="16" t="s">
        <v>64</v>
      </c>
      <c r="E2467" s="16">
        <v>0</v>
      </c>
      <c r="F2467" s="16" t="s">
        <v>64</v>
      </c>
      <c r="G2467" s="16" t="s">
        <v>64</v>
      </c>
    </row>
    <row r="2468" spans="1:7" x14ac:dyDescent="0.2">
      <c r="A2468" t="s">
        <v>64</v>
      </c>
      <c r="B2468" t="s">
        <v>64</v>
      </c>
      <c r="C2468" s="3" t="s">
        <v>64</v>
      </c>
      <c r="D2468" s="16" t="s">
        <v>64</v>
      </c>
      <c r="E2468" s="16">
        <v>0</v>
      </c>
      <c r="F2468" s="16" t="s">
        <v>64</v>
      </c>
      <c r="G2468" s="16" t="s">
        <v>64</v>
      </c>
    </row>
    <row r="2469" spans="1:7" x14ac:dyDescent="0.2">
      <c r="A2469" t="s">
        <v>64</v>
      </c>
      <c r="B2469" t="s">
        <v>64</v>
      </c>
      <c r="C2469" s="3" t="s">
        <v>64</v>
      </c>
      <c r="D2469" s="16" t="s">
        <v>64</v>
      </c>
      <c r="E2469" s="16">
        <v>0</v>
      </c>
      <c r="F2469" s="16" t="s">
        <v>64</v>
      </c>
      <c r="G2469" s="16" t="s">
        <v>64</v>
      </c>
    </row>
    <row r="2470" spans="1:7" x14ac:dyDescent="0.2">
      <c r="A2470" t="s">
        <v>64</v>
      </c>
      <c r="B2470" t="s">
        <v>64</v>
      </c>
      <c r="C2470" s="3" t="s">
        <v>64</v>
      </c>
      <c r="D2470" s="16" t="s">
        <v>64</v>
      </c>
      <c r="E2470" s="16">
        <v>0</v>
      </c>
      <c r="F2470" s="16" t="s">
        <v>64</v>
      </c>
      <c r="G2470" s="16" t="s">
        <v>64</v>
      </c>
    </row>
    <row r="2471" spans="1:7" x14ac:dyDescent="0.2">
      <c r="A2471" t="s">
        <v>64</v>
      </c>
      <c r="B2471" t="s">
        <v>64</v>
      </c>
      <c r="C2471" s="3" t="s">
        <v>64</v>
      </c>
      <c r="D2471" s="16" t="s">
        <v>64</v>
      </c>
      <c r="E2471" s="16">
        <v>0</v>
      </c>
      <c r="F2471" s="16" t="s">
        <v>64</v>
      </c>
      <c r="G2471" s="16" t="s">
        <v>64</v>
      </c>
    </row>
    <row r="2472" spans="1:7" x14ac:dyDescent="0.2">
      <c r="A2472" t="s">
        <v>64</v>
      </c>
      <c r="B2472" t="s">
        <v>64</v>
      </c>
      <c r="C2472" s="3" t="s">
        <v>64</v>
      </c>
      <c r="D2472" s="16" t="s">
        <v>64</v>
      </c>
      <c r="E2472" s="16">
        <v>0</v>
      </c>
      <c r="F2472" s="16" t="s">
        <v>64</v>
      </c>
      <c r="G2472" s="16" t="s">
        <v>64</v>
      </c>
    </row>
    <row r="2473" spans="1:7" x14ac:dyDescent="0.2">
      <c r="A2473" t="s">
        <v>64</v>
      </c>
      <c r="B2473" t="s">
        <v>64</v>
      </c>
      <c r="C2473" s="3" t="s">
        <v>64</v>
      </c>
      <c r="D2473" s="16" t="s">
        <v>64</v>
      </c>
      <c r="E2473" s="16">
        <v>0</v>
      </c>
      <c r="F2473" s="16" t="s">
        <v>64</v>
      </c>
      <c r="G2473" s="16" t="s">
        <v>64</v>
      </c>
    </row>
    <row r="2474" spans="1:7" x14ac:dyDescent="0.2">
      <c r="A2474" t="s">
        <v>64</v>
      </c>
      <c r="B2474" t="s">
        <v>64</v>
      </c>
      <c r="C2474" s="3" t="s">
        <v>64</v>
      </c>
      <c r="D2474" s="16" t="s">
        <v>64</v>
      </c>
      <c r="E2474" s="16">
        <v>0</v>
      </c>
      <c r="F2474" s="16" t="s">
        <v>64</v>
      </c>
      <c r="G2474" s="16" t="s">
        <v>64</v>
      </c>
    </row>
    <row r="2475" spans="1:7" x14ac:dyDescent="0.2">
      <c r="A2475" t="s">
        <v>64</v>
      </c>
      <c r="B2475" t="s">
        <v>64</v>
      </c>
      <c r="C2475" s="3" t="s">
        <v>64</v>
      </c>
      <c r="D2475" s="16" t="s">
        <v>64</v>
      </c>
      <c r="E2475" s="16">
        <v>0</v>
      </c>
      <c r="F2475" s="16" t="s">
        <v>64</v>
      </c>
      <c r="G2475" s="16" t="s">
        <v>64</v>
      </c>
    </row>
    <row r="2476" spans="1:7" x14ac:dyDescent="0.2">
      <c r="A2476" t="s">
        <v>64</v>
      </c>
      <c r="B2476" t="s">
        <v>64</v>
      </c>
      <c r="C2476" s="3" t="s">
        <v>64</v>
      </c>
      <c r="D2476" s="16" t="s">
        <v>64</v>
      </c>
      <c r="E2476" s="16">
        <v>0</v>
      </c>
      <c r="F2476" s="16" t="s">
        <v>64</v>
      </c>
      <c r="G2476" s="16" t="s">
        <v>64</v>
      </c>
    </row>
    <row r="2477" spans="1:7" x14ac:dyDescent="0.2">
      <c r="A2477" t="s">
        <v>64</v>
      </c>
      <c r="B2477" t="s">
        <v>64</v>
      </c>
      <c r="C2477" s="3" t="s">
        <v>64</v>
      </c>
      <c r="D2477" s="16" t="s">
        <v>64</v>
      </c>
      <c r="E2477" s="16">
        <v>0</v>
      </c>
      <c r="F2477" s="16" t="s">
        <v>64</v>
      </c>
      <c r="G2477" s="16" t="s">
        <v>64</v>
      </c>
    </row>
    <row r="2478" spans="1:7" x14ac:dyDescent="0.2">
      <c r="A2478" t="s">
        <v>64</v>
      </c>
      <c r="B2478" t="s">
        <v>64</v>
      </c>
      <c r="C2478" s="3" t="s">
        <v>64</v>
      </c>
      <c r="D2478" s="16" t="s">
        <v>64</v>
      </c>
      <c r="E2478" s="16">
        <v>0</v>
      </c>
      <c r="F2478" s="16" t="s">
        <v>64</v>
      </c>
      <c r="G2478" s="16" t="s">
        <v>64</v>
      </c>
    </row>
    <row r="2479" spans="1:7" x14ac:dyDescent="0.2">
      <c r="A2479" t="s">
        <v>64</v>
      </c>
      <c r="B2479" t="s">
        <v>64</v>
      </c>
      <c r="C2479" s="3" t="s">
        <v>64</v>
      </c>
      <c r="D2479" s="16" t="s">
        <v>64</v>
      </c>
      <c r="E2479" s="16">
        <v>0</v>
      </c>
      <c r="F2479" s="16" t="s">
        <v>64</v>
      </c>
      <c r="G2479" s="16" t="s">
        <v>64</v>
      </c>
    </row>
    <row r="2480" spans="1:7" x14ac:dyDescent="0.2">
      <c r="A2480" t="s">
        <v>64</v>
      </c>
      <c r="B2480" t="s">
        <v>64</v>
      </c>
      <c r="C2480" s="3" t="s">
        <v>64</v>
      </c>
      <c r="D2480" s="16" t="s">
        <v>64</v>
      </c>
      <c r="E2480" s="16">
        <v>0</v>
      </c>
      <c r="F2480" s="16" t="s">
        <v>64</v>
      </c>
      <c r="G2480" s="16" t="s">
        <v>64</v>
      </c>
    </row>
    <row r="2481" spans="1:7" x14ac:dyDescent="0.2">
      <c r="A2481" t="s">
        <v>64</v>
      </c>
      <c r="B2481" t="s">
        <v>64</v>
      </c>
      <c r="C2481" s="3" t="s">
        <v>64</v>
      </c>
      <c r="D2481" s="16" t="s">
        <v>64</v>
      </c>
      <c r="E2481" s="16">
        <v>0</v>
      </c>
      <c r="F2481" s="16" t="s">
        <v>64</v>
      </c>
      <c r="G2481" s="16" t="s">
        <v>64</v>
      </c>
    </row>
    <row r="2482" spans="1:7" x14ac:dyDescent="0.2">
      <c r="A2482" t="s">
        <v>64</v>
      </c>
      <c r="B2482" t="s">
        <v>64</v>
      </c>
      <c r="C2482" s="3" t="s">
        <v>64</v>
      </c>
      <c r="D2482" s="16" t="s">
        <v>64</v>
      </c>
      <c r="E2482" s="16">
        <v>0</v>
      </c>
      <c r="F2482" s="16" t="s">
        <v>64</v>
      </c>
      <c r="G2482" s="16" t="s">
        <v>64</v>
      </c>
    </row>
    <row r="2483" spans="1:7" x14ac:dyDescent="0.2">
      <c r="A2483" t="s">
        <v>64</v>
      </c>
      <c r="B2483" t="s">
        <v>64</v>
      </c>
      <c r="C2483" s="3" t="s">
        <v>64</v>
      </c>
      <c r="D2483" s="16" t="s">
        <v>64</v>
      </c>
      <c r="E2483" s="16">
        <v>0</v>
      </c>
      <c r="F2483" s="16" t="s">
        <v>64</v>
      </c>
      <c r="G2483" s="16" t="s">
        <v>64</v>
      </c>
    </row>
    <row r="2484" spans="1:7" x14ac:dyDescent="0.2">
      <c r="A2484" t="s">
        <v>64</v>
      </c>
      <c r="B2484" t="s">
        <v>64</v>
      </c>
      <c r="C2484" s="3" t="s">
        <v>64</v>
      </c>
      <c r="D2484" s="16" t="s">
        <v>64</v>
      </c>
      <c r="E2484" s="16">
        <v>0</v>
      </c>
      <c r="F2484" s="16" t="s">
        <v>64</v>
      </c>
      <c r="G2484" s="16" t="s">
        <v>64</v>
      </c>
    </row>
    <row r="2485" spans="1:7" x14ac:dyDescent="0.2">
      <c r="A2485" t="s">
        <v>64</v>
      </c>
      <c r="B2485" t="s">
        <v>64</v>
      </c>
      <c r="C2485" s="3" t="s">
        <v>64</v>
      </c>
      <c r="D2485" s="16" t="s">
        <v>64</v>
      </c>
      <c r="E2485" s="16">
        <v>0</v>
      </c>
      <c r="F2485" s="16" t="s">
        <v>64</v>
      </c>
      <c r="G2485" s="16" t="s">
        <v>64</v>
      </c>
    </row>
    <row r="2486" spans="1:7" x14ac:dyDescent="0.2">
      <c r="A2486" t="s">
        <v>64</v>
      </c>
      <c r="B2486" t="s">
        <v>64</v>
      </c>
      <c r="C2486" s="3" t="s">
        <v>64</v>
      </c>
      <c r="D2486" s="16" t="s">
        <v>64</v>
      </c>
      <c r="E2486" s="16">
        <v>0</v>
      </c>
      <c r="F2486" s="16" t="s">
        <v>64</v>
      </c>
      <c r="G2486" s="16" t="s">
        <v>64</v>
      </c>
    </row>
    <row r="2487" spans="1:7" x14ac:dyDescent="0.2">
      <c r="A2487" t="s">
        <v>64</v>
      </c>
      <c r="B2487" t="s">
        <v>64</v>
      </c>
      <c r="C2487" s="3" t="s">
        <v>64</v>
      </c>
      <c r="D2487" s="16" t="s">
        <v>64</v>
      </c>
      <c r="E2487" s="16">
        <v>0</v>
      </c>
      <c r="F2487" s="16" t="s">
        <v>64</v>
      </c>
      <c r="G2487" s="16" t="s">
        <v>64</v>
      </c>
    </row>
    <row r="2488" spans="1:7" x14ac:dyDescent="0.2">
      <c r="A2488" t="s">
        <v>64</v>
      </c>
      <c r="B2488" t="s">
        <v>64</v>
      </c>
      <c r="C2488" s="3" t="s">
        <v>64</v>
      </c>
      <c r="D2488" s="16" t="s">
        <v>64</v>
      </c>
      <c r="E2488" s="16">
        <v>0</v>
      </c>
      <c r="F2488" s="16" t="s">
        <v>64</v>
      </c>
      <c r="G2488" s="16" t="s">
        <v>64</v>
      </c>
    </row>
    <row r="2489" spans="1:7" x14ac:dyDescent="0.2">
      <c r="A2489" t="s">
        <v>64</v>
      </c>
      <c r="B2489" t="s">
        <v>64</v>
      </c>
      <c r="C2489" s="3" t="s">
        <v>64</v>
      </c>
      <c r="D2489" s="16" t="s">
        <v>64</v>
      </c>
      <c r="E2489" s="16">
        <v>0</v>
      </c>
      <c r="F2489" s="16" t="s">
        <v>64</v>
      </c>
      <c r="G2489" s="16" t="s">
        <v>64</v>
      </c>
    </row>
    <row r="2490" spans="1:7" x14ac:dyDescent="0.2">
      <c r="A2490" t="s">
        <v>64</v>
      </c>
      <c r="B2490" t="s">
        <v>64</v>
      </c>
      <c r="C2490" s="3" t="s">
        <v>64</v>
      </c>
      <c r="D2490" s="16" t="s">
        <v>64</v>
      </c>
      <c r="E2490" s="16">
        <v>0</v>
      </c>
      <c r="F2490" s="16" t="s">
        <v>64</v>
      </c>
      <c r="G2490" s="16" t="s">
        <v>64</v>
      </c>
    </row>
    <row r="2491" spans="1:7" x14ac:dyDescent="0.2">
      <c r="A2491" t="s">
        <v>64</v>
      </c>
      <c r="B2491" t="s">
        <v>64</v>
      </c>
      <c r="C2491" s="3" t="s">
        <v>64</v>
      </c>
      <c r="D2491" s="16" t="s">
        <v>64</v>
      </c>
      <c r="E2491" s="16">
        <v>0</v>
      </c>
      <c r="F2491" s="16" t="s">
        <v>64</v>
      </c>
      <c r="G2491" s="16" t="s">
        <v>64</v>
      </c>
    </row>
    <row r="2492" spans="1:7" x14ac:dyDescent="0.2">
      <c r="A2492" t="s">
        <v>64</v>
      </c>
      <c r="B2492" t="s">
        <v>64</v>
      </c>
      <c r="C2492" s="3" t="s">
        <v>64</v>
      </c>
      <c r="D2492" s="16" t="s">
        <v>64</v>
      </c>
      <c r="E2492" s="16">
        <v>0</v>
      </c>
      <c r="F2492" s="16" t="s">
        <v>64</v>
      </c>
      <c r="G2492" s="16" t="s">
        <v>64</v>
      </c>
    </row>
    <row r="2493" spans="1:7" x14ac:dyDescent="0.2">
      <c r="A2493" t="s">
        <v>64</v>
      </c>
      <c r="B2493" t="s">
        <v>64</v>
      </c>
      <c r="C2493" s="3" t="s">
        <v>64</v>
      </c>
      <c r="D2493" s="16" t="s">
        <v>64</v>
      </c>
      <c r="E2493" s="16">
        <v>0</v>
      </c>
      <c r="F2493" s="16" t="s">
        <v>64</v>
      </c>
      <c r="G2493" s="16" t="s">
        <v>64</v>
      </c>
    </row>
    <row r="2494" spans="1:7" x14ac:dyDescent="0.2">
      <c r="A2494" t="s">
        <v>64</v>
      </c>
      <c r="B2494" t="s">
        <v>64</v>
      </c>
      <c r="C2494" s="3" t="s">
        <v>64</v>
      </c>
      <c r="D2494" s="16" t="s">
        <v>64</v>
      </c>
      <c r="E2494" s="16">
        <v>0</v>
      </c>
      <c r="F2494" s="16" t="s">
        <v>64</v>
      </c>
      <c r="G2494" s="16" t="s">
        <v>64</v>
      </c>
    </row>
    <row r="2495" spans="1:7" x14ac:dyDescent="0.2">
      <c r="A2495" t="s">
        <v>64</v>
      </c>
      <c r="B2495" t="s">
        <v>64</v>
      </c>
      <c r="C2495" s="3" t="s">
        <v>64</v>
      </c>
      <c r="D2495" s="16" t="s">
        <v>64</v>
      </c>
      <c r="E2495" s="16">
        <v>0</v>
      </c>
      <c r="F2495" s="16" t="s">
        <v>64</v>
      </c>
      <c r="G2495" s="16" t="s">
        <v>64</v>
      </c>
    </row>
    <row r="2496" spans="1:7" x14ac:dyDescent="0.2">
      <c r="A2496" t="s">
        <v>64</v>
      </c>
      <c r="B2496" t="s">
        <v>64</v>
      </c>
      <c r="C2496" s="3" t="s">
        <v>64</v>
      </c>
      <c r="D2496" s="16" t="s">
        <v>64</v>
      </c>
      <c r="E2496" s="16">
        <v>0</v>
      </c>
      <c r="F2496" s="16" t="s">
        <v>64</v>
      </c>
      <c r="G2496" s="16" t="s">
        <v>64</v>
      </c>
    </row>
    <row r="2497" spans="1:7" x14ac:dyDescent="0.2">
      <c r="A2497" t="s">
        <v>64</v>
      </c>
      <c r="B2497" t="s">
        <v>64</v>
      </c>
      <c r="C2497" s="3" t="s">
        <v>64</v>
      </c>
      <c r="D2497" s="16" t="s">
        <v>64</v>
      </c>
      <c r="E2497" s="16">
        <v>0</v>
      </c>
      <c r="F2497" s="16" t="s">
        <v>64</v>
      </c>
      <c r="G2497" s="16" t="s">
        <v>64</v>
      </c>
    </row>
    <row r="2498" spans="1:7" x14ac:dyDescent="0.2">
      <c r="A2498" t="s">
        <v>64</v>
      </c>
      <c r="B2498" t="s">
        <v>64</v>
      </c>
      <c r="C2498" s="3" t="s">
        <v>64</v>
      </c>
      <c r="D2498" s="16" t="s">
        <v>64</v>
      </c>
      <c r="E2498" s="16">
        <v>0</v>
      </c>
      <c r="F2498" s="16" t="s">
        <v>64</v>
      </c>
      <c r="G2498" s="16" t="s">
        <v>64</v>
      </c>
    </row>
    <row r="2499" spans="1:7" x14ac:dyDescent="0.2">
      <c r="A2499" t="s">
        <v>64</v>
      </c>
      <c r="B2499" t="s">
        <v>64</v>
      </c>
      <c r="C2499" s="3" t="s">
        <v>64</v>
      </c>
      <c r="D2499" s="16" t="s">
        <v>64</v>
      </c>
      <c r="E2499" s="16">
        <v>0</v>
      </c>
      <c r="F2499" s="16" t="s">
        <v>64</v>
      </c>
      <c r="G2499" s="16" t="s">
        <v>64</v>
      </c>
    </row>
    <row r="2500" spans="1:7" x14ac:dyDescent="0.2">
      <c r="A2500" t="s">
        <v>64</v>
      </c>
      <c r="B2500" t="s">
        <v>64</v>
      </c>
      <c r="C2500" s="3" t="s">
        <v>64</v>
      </c>
      <c r="D2500" s="16" t="s">
        <v>64</v>
      </c>
      <c r="E2500" s="16">
        <v>0</v>
      </c>
      <c r="F2500" s="16" t="s">
        <v>64</v>
      </c>
      <c r="G2500" s="16" t="s">
        <v>64</v>
      </c>
    </row>
    <row r="2501" spans="1:7" x14ac:dyDescent="0.2">
      <c r="A2501" t="s">
        <v>64</v>
      </c>
      <c r="B2501" t="s">
        <v>64</v>
      </c>
      <c r="C2501" s="3" t="s">
        <v>64</v>
      </c>
      <c r="D2501" s="16" t="s">
        <v>64</v>
      </c>
      <c r="E2501" s="16">
        <v>0</v>
      </c>
      <c r="F2501" s="16" t="s">
        <v>64</v>
      </c>
      <c r="G2501" s="16" t="s">
        <v>64</v>
      </c>
    </row>
    <row r="2502" spans="1:7" x14ac:dyDescent="0.2">
      <c r="A2502" t="s">
        <v>64</v>
      </c>
      <c r="B2502" t="s">
        <v>64</v>
      </c>
      <c r="C2502" s="3" t="s">
        <v>64</v>
      </c>
      <c r="D2502" s="16" t="s">
        <v>64</v>
      </c>
      <c r="E2502" s="16">
        <v>0</v>
      </c>
      <c r="F2502" s="16" t="s">
        <v>64</v>
      </c>
      <c r="G2502" s="16" t="s">
        <v>64</v>
      </c>
    </row>
    <row r="2503" spans="1:7" x14ac:dyDescent="0.2">
      <c r="A2503" t="s">
        <v>64</v>
      </c>
      <c r="B2503" t="s">
        <v>64</v>
      </c>
      <c r="C2503" s="3" t="s">
        <v>64</v>
      </c>
      <c r="D2503" s="16" t="s">
        <v>64</v>
      </c>
      <c r="E2503" s="16">
        <v>0</v>
      </c>
      <c r="F2503" s="16" t="s">
        <v>64</v>
      </c>
      <c r="G2503" s="16" t="s">
        <v>64</v>
      </c>
    </row>
    <row r="2504" spans="1:7" x14ac:dyDescent="0.2">
      <c r="A2504" t="s">
        <v>64</v>
      </c>
      <c r="B2504" t="s">
        <v>64</v>
      </c>
      <c r="C2504" s="3" t="s">
        <v>64</v>
      </c>
      <c r="D2504" s="16" t="s">
        <v>64</v>
      </c>
      <c r="E2504" s="16">
        <v>0</v>
      </c>
      <c r="F2504" s="16" t="s">
        <v>64</v>
      </c>
      <c r="G2504" s="16" t="s">
        <v>64</v>
      </c>
    </row>
    <row r="2505" spans="1:7" x14ac:dyDescent="0.2">
      <c r="A2505" t="s">
        <v>64</v>
      </c>
      <c r="B2505" t="s">
        <v>64</v>
      </c>
      <c r="C2505" s="3" t="s">
        <v>64</v>
      </c>
      <c r="D2505" s="16" t="s">
        <v>64</v>
      </c>
      <c r="E2505" s="16">
        <v>0</v>
      </c>
      <c r="F2505" s="16" t="s">
        <v>64</v>
      </c>
      <c r="G2505" s="16" t="s">
        <v>64</v>
      </c>
    </row>
    <row r="2506" spans="1:7" x14ac:dyDescent="0.2">
      <c r="A2506" t="s">
        <v>64</v>
      </c>
      <c r="B2506" t="s">
        <v>64</v>
      </c>
      <c r="C2506" s="3" t="s">
        <v>64</v>
      </c>
      <c r="D2506" s="16" t="s">
        <v>64</v>
      </c>
      <c r="E2506" s="16">
        <v>0</v>
      </c>
      <c r="F2506" s="16" t="s">
        <v>64</v>
      </c>
      <c r="G2506" s="16" t="s">
        <v>64</v>
      </c>
    </row>
    <row r="2507" spans="1:7" x14ac:dyDescent="0.2">
      <c r="A2507" t="s">
        <v>64</v>
      </c>
      <c r="B2507" t="s">
        <v>64</v>
      </c>
      <c r="C2507" s="3" t="s">
        <v>64</v>
      </c>
      <c r="D2507" s="16" t="s">
        <v>64</v>
      </c>
      <c r="E2507" s="16">
        <v>0</v>
      </c>
      <c r="F2507" s="16" t="s">
        <v>64</v>
      </c>
      <c r="G2507" s="16" t="s">
        <v>64</v>
      </c>
    </row>
    <row r="2508" spans="1:7" x14ac:dyDescent="0.2">
      <c r="A2508" t="s">
        <v>64</v>
      </c>
      <c r="B2508" t="s">
        <v>64</v>
      </c>
      <c r="C2508" s="3" t="s">
        <v>64</v>
      </c>
      <c r="D2508" s="16" t="s">
        <v>64</v>
      </c>
      <c r="E2508" s="16">
        <v>0</v>
      </c>
      <c r="F2508" s="16" t="s">
        <v>64</v>
      </c>
      <c r="G2508" s="16" t="s">
        <v>64</v>
      </c>
    </row>
    <row r="2509" spans="1:7" x14ac:dyDescent="0.2">
      <c r="A2509" t="s">
        <v>64</v>
      </c>
      <c r="B2509" t="s">
        <v>64</v>
      </c>
      <c r="C2509" s="3" t="s">
        <v>64</v>
      </c>
      <c r="D2509" s="16" t="s">
        <v>64</v>
      </c>
      <c r="E2509" s="16">
        <v>0</v>
      </c>
      <c r="F2509" s="16" t="s">
        <v>64</v>
      </c>
      <c r="G2509" s="16" t="s">
        <v>64</v>
      </c>
    </row>
    <row r="2510" spans="1:7" x14ac:dyDescent="0.2">
      <c r="A2510" t="s">
        <v>64</v>
      </c>
      <c r="B2510" t="s">
        <v>64</v>
      </c>
      <c r="C2510" s="3" t="s">
        <v>64</v>
      </c>
      <c r="D2510" s="16" t="s">
        <v>64</v>
      </c>
      <c r="E2510" s="16">
        <v>0</v>
      </c>
      <c r="F2510" s="16" t="s">
        <v>64</v>
      </c>
      <c r="G2510" s="16" t="s">
        <v>64</v>
      </c>
    </row>
    <row r="2511" spans="1:7" x14ac:dyDescent="0.2">
      <c r="A2511" t="s">
        <v>64</v>
      </c>
      <c r="B2511" t="s">
        <v>64</v>
      </c>
      <c r="C2511" s="3" t="s">
        <v>64</v>
      </c>
      <c r="D2511" s="16" t="s">
        <v>64</v>
      </c>
      <c r="E2511" s="16">
        <v>0</v>
      </c>
      <c r="F2511" s="16" t="s">
        <v>64</v>
      </c>
      <c r="G2511" s="16" t="s">
        <v>64</v>
      </c>
    </row>
    <row r="2512" spans="1:7" x14ac:dyDescent="0.2">
      <c r="A2512" t="s">
        <v>64</v>
      </c>
      <c r="B2512" t="s">
        <v>64</v>
      </c>
      <c r="C2512" s="3" t="s">
        <v>64</v>
      </c>
      <c r="D2512" s="16" t="s">
        <v>64</v>
      </c>
      <c r="E2512" s="16">
        <v>0</v>
      </c>
      <c r="F2512" s="16" t="s">
        <v>64</v>
      </c>
      <c r="G2512" s="16" t="s">
        <v>64</v>
      </c>
    </row>
    <row r="2513" spans="1:7" x14ac:dyDescent="0.2">
      <c r="A2513" t="s">
        <v>64</v>
      </c>
      <c r="B2513" t="s">
        <v>64</v>
      </c>
      <c r="C2513" s="3" t="s">
        <v>64</v>
      </c>
      <c r="D2513" s="16" t="s">
        <v>64</v>
      </c>
      <c r="E2513" s="16">
        <v>0</v>
      </c>
      <c r="F2513" s="16" t="s">
        <v>64</v>
      </c>
      <c r="G2513" s="16" t="s">
        <v>64</v>
      </c>
    </row>
    <row r="2514" spans="1:7" x14ac:dyDescent="0.2">
      <c r="A2514" t="s">
        <v>64</v>
      </c>
      <c r="B2514" t="s">
        <v>64</v>
      </c>
      <c r="C2514" s="3" t="s">
        <v>64</v>
      </c>
      <c r="D2514" s="16" t="s">
        <v>64</v>
      </c>
      <c r="E2514" s="16">
        <v>0</v>
      </c>
      <c r="F2514" s="16" t="s">
        <v>64</v>
      </c>
      <c r="G2514" s="16" t="s">
        <v>64</v>
      </c>
    </row>
    <row r="2515" spans="1:7" x14ac:dyDescent="0.2">
      <c r="A2515" t="s">
        <v>64</v>
      </c>
      <c r="B2515" t="s">
        <v>64</v>
      </c>
      <c r="C2515" s="3" t="s">
        <v>64</v>
      </c>
      <c r="D2515" s="16" t="s">
        <v>64</v>
      </c>
      <c r="E2515" s="16">
        <v>0</v>
      </c>
      <c r="F2515" s="16" t="s">
        <v>64</v>
      </c>
      <c r="G2515" s="16" t="s">
        <v>64</v>
      </c>
    </row>
    <row r="2516" spans="1:7" x14ac:dyDescent="0.2">
      <c r="A2516" t="s">
        <v>64</v>
      </c>
      <c r="B2516" t="s">
        <v>64</v>
      </c>
      <c r="C2516" s="3" t="s">
        <v>64</v>
      </c>
      <c r="D2516" s="16" t="s">
        <v>64</v>
      </c>
      <c r="E2516" s="16">
        <v>0</v>
      </c>
      <c r="F2516" s="16" t="s">
        <v>64</v>
      </c>
      <c r="G2516" s="16" t="s">
        <v>64</v>
      </c>
    </row>
    <row r="2517" spans="1:7" x14ac:dyDescent="0.2">
      <c r="A2517" t="s">
        <v>64</v>
      </c>
      <c r="B2517" t="s">
        <v>64</v>
      </c>
      <c r="C2517" s="3" t="s">
        <v>64</v>
      </c>
      <c r="D2517" s="16" t="s">
        <v>64</v>
      </c>
      <c r="E2517" s="16">
        <v>0</v>
      </c>
      <c r="F2517" s="16" t="s">
        <v>64</v>
      </c>
      <c r="G2517" s="16" t="s">
        <v>64</v>
      </c>
    </row>
    <row r="2518" spans="1:7" x14ac:dyDescent="0.2">
      <c r="A2518" t="s">
        <v>64</v>
      </c>
      <c r="B2518" t="s">
        <v>64</v>
      </c>
      <c r="C2518" s="3" t="s">
        <v>64</v>
      </c>
      <c r="D2518" s="16" t="s">
        <v>64</v>
      </c>
      <c r="E2518" s="16">
        <v>0</v>
      </c>
      <c r="F2518" s="16" t="s">
        <v>64</v>
      </c>
      <c r="G2518" s="16" t="s">
        <v>64</v>
      </c>
    </row>
    <row r="2519" spans="1:7" x14ac:dyDescent="0.2">
      <c r="A2519" t="s">
        <v>64</v>
      </c>
      <c r="B2519" t="s">
        <v>64</v>
      </c>
      <c r="C2519" s="3" t="s">
        <v>64</v>
      </c>
      <c r="D2519" s="16" t="s">
        <v>64</v>
      </c>
      <c r="E2519" s="16">
        <v>0</v>
      </c>
      <c r="F2519" s="16" t="s">
        <v>64</v>
      </c>
      <c r="G2519" s="16" t="s">
        <v>64</v>
      </c>
    </row>
    <row r="2520" spans="1:7" x14ac:dyDescent="0.2">
      <c r="A2520" t="s">
        <v>64</v>
      </c>
      <c r="B2520" t="s">
        <v>64</v>
      </c>
      <c r="C2520" s="3" t="s">
        <v>64</v>
      </c>
      <c r="D2520" s="16" t="s">
        <v>64</v>
      </c>
      <c r="E2520" s="16">
        <v>0</v>
      </c>
      <c r="F2520" s="16" t="s">
        <v>64</v>
      </c>
      <c r="G2520" s="16" t="s">
        <v>64</v>
      </c>
    </row>
    <row r="2521" spans="1:7" x14ac:dyDescent="0.2">
      <c r="A2521" t="s">
        <v>64</v>
      </c>
      <c r="B2521" t="s">
        <v>64</v>
      </c>
      <c r="C2521" s="3" t="s">
        <v>64</v>
      </c>
      <c r="D2521" s="16" t="s">
        <v>64</v>
      </c>
      <c r="E2521" s="16">
        <v>0</v>
      </c>
      <c r="F2521" s="16" t="s">
        <v>64</v>
      </c>
      <c r="G2521" s="16" t="s">
        <v>64</v>
      </c>
    </row>
    <row r="2522" spans="1:7" x14ac:dyDescent="0.2">
      <c r="A2522" t="s">
        <v>64</v>
      </c>
      <c r="B2522" t="s">
        <v>64</v>
      </c>
      <c r="C2522" s="3" t="s">
        <v>64</v>
      </c>
      <c r="D2522" s="16" t="s">
        <v>64</v>
      </c>
      <c r="E2522" s="16">
        <v>0</v>
      </c>
      <c r="F2522" s="16" t="s">
        <v>64</v>
      </c>
      <c r="G2522" s="16" t="s">
        <v>64</v>
      </c>
    </row>
    <row r="2523" spans="1:7" x14ac:dyDescent="0.2">
      <c r="A2523" t="s">
        <v>64</v>
      </c>
      <c r="B2523" t="s">
        <v>64</v>
      </c>
      <c r="C2523" s="3" t="s">
        <v>64</v>
      </c>
      <c r="D2523" s="16" t="s">
        <v>64</v>
      </c>
      <c r="E2523" s="16">
        <v>0</v>
      </c>
      <c r="F2523" s="16" t="s">
        <v>64</v>
      </c>
      <c r="G2523" s="16" t="s">
        <v>64</v>
      </c>
    </row>
    <row r="2524" spans="1:7" x14ac:dyDescent="0.2">
      <c r="A2524" t="s">
        <v>64</v>
      </c>
      <c r="B2524" t="s">
        <v>64</v>
      </c>
      <c r="C2524" s="3" t="s">
        <v>64</v>
      </c>
      <c r="D2524" s="16" t="s">
        <v>64</v>
      </c>
      <c r="E2524" s="16">
        <v>0</v>
      </c>
      <c r="F2524" s="16" t="s">
        <v>64</v>
      </c>
      <c r="G2524" s="16" t="s">
        <v>64</v>
      </c>
    </row>
    <row r="2525" spans="1:7" x14ac:dyDescent="0.2">
      <c r="A2525" t="s">
        <v>64</v>
      </c>
      <c r="B2525" t="s">
        <v>64</v>
      </c>
      <c r="C2525" s="3" t="s">
        <v>64</v>
      </c>
      <c r="D2525" s="16" t="s">
        <v>64</v>
      </c>
      <c r="E2525" s="16">
        <v>0</v>
      </c>
      <c r="F2525" s="16" t="s">
        <v>64</v>
      </c>
      <c r="G2525" s="16" t="s">
        <v>64</v>
      </c>
    </row>
    <row r="2526" spans="1:7" x14ac:dyDescent="0.2">
      <c r="A2526" t="s">
        <v>64</v>
      </c>
      <c r="B2526" t="s">
        <v>64</v>
      </c>
      <c r="C2526" s="3" t="s">
        <v>64</v>
      </c>
      <c r="D2526" s="16" t="s">
        <v>64</v>
      </c>
      <c r="E2526" s="16">
        <v>0</v>
      </c>
      <c r="F2526" s="16" t="s">
        <v>64</v>
      </c>
      <c r="G2526" s="16" t="s">
        <v>64</v>
      </c>
    </row>
    <row r="2527" spans="1:7" x14ac:dyDescent="0.2">
      <c r="A2527" t="s">
        <v>64</v>
      </c>
      <c r="B2527" t="s">
        <v>64</v>
      </c>
      <c r="C2527" s="3" t="s">
        <v>64</v>
      </c>
      <c r="D2527" s="16" t="s">
        <v>64</v>
      </c>
      <c r="E2527" s="16">
        <v>0</v>
      </c>
      <c r="F2527" s="16" t="s">
        <v>64</v>
      </c>
      <c r="G2527" s="16" t="s">
        <v>64</v>
      </c>
    </row>
    <row r="2528" spans="1:7" x14ac:dyDescent="0.2">
      <c r="A2528" t="s">
        <v>64</v>
      </c>
      <c r="B2528" t="s">
        <v>64</v>
      </c>
      <c r="C2528" s="3" t="s">
        <v>64</v>
      </c>
      <c r="D2528" s="16" t="s">
        <v>64</v>
      </c>
      <c r="E2528" s="16">
        <v>0</v>
      </c>
      <c r="F2528" s="16" t="s">
        <v>64</v>
      </c>
      <c r="G2528" s="16" t="s">
        <v>64</v>
      </c>
    </row>
    <row r="2529" spans="1:7" x14ac:dyDescent="0.2">
      <c r="A2529" t="s">
        <v>64</v>
      </c>
      <c r="B2529" t="s">
        <v>64</v>
      </c>
      <c r="C2529" s="3" t="s">
        <v>64</v>
      </c>
      <c r="D2529" s="16" t="s">
        <v>64</v>
      </c>
      <c r="E2529" s="16">
        <v>0</v>
      </c>
      <c r="F2529" s="16" t="s">
        <v>64</v>
      </c>
      <c r="G2529" s="16" t="s">
        <v>64</v>
      </c>
    </row>
    <row r="2530" spans="1:7" x14ac:dyDescent="0.2">
      <c r="A2530" t="s">
        <v>64</v>
      </c>
      <c r="B2530" t="s">
        <v>64</v>
      </c>
      <c r="C2530" s="3" t="s">
        <v>64</v>
      </c>
      <c r="D2530" s="16" t="s">
        <v>64</v>
      </c>
      <c r="E2530" s="16">
        <v>0</v>
      </c>
      <c r="F2530" s="16" t="s">
        <v>64</v>
      </c>
      <c r="G2530" s="16" t="s">
        <v>64</v>
      </c>
    </row>
    <row r="2531" spans="1:7" x14ac:dyDescent="0.2">
      <c r="A2531" t="s">
        <v>64</v>
      </c>
      <c r="B2531" t="s">
        <v>64</v>
      </c>
      <c r="C2531" s="3" t="s">
        <v>64</v>
      </c>
      <c r="D2531" s="16" t="s">
        <v>64</v>
      </c>
      <c r="E2531" s="16">
        <v>0</v>
      </c>
      <c r="F2531" s="16" t="s">
        <v>64</v>
      </c>
      <c r="G2531" s="16" t="s">
        <v>64</v>
      </c>
    </row>
    <row r="2532" spans="1:7" x14ac:dyDescent="0.2">
      <c r="A2532" t="s">
        <v>64</v>
      </c>
      <c r="B2532" t="s">
        <v>64</v>
      </c>
      <c r="C2532" s="3" t="s">
        <v>64</v>
      </c>
      <c r="D2532" s="16" t="s">
        <v>64</v>
      </c>
      <c r="E2532" s="16">
        <v>0</v>
      </c>
      <c r="F2532" s="16" t="s">
        <v>64</v>
      </c>
      <c r="G2532" s="16" t="s">
        <v>64</v>
      </c>
    </row>
    <row r="2533" spans="1:7" x14ac:dyDescent="0.2">
      <c r="A2533" t="s">
        <v>64</v>
      </c>
      <c r="B2533" t="s">
        <v>64</v>
      </c>
      <c r="C2533" s="3" t="s">
        <v>64</v>
      </c>
      <c r="D2533" s="16" t="s">
        <v>64</v>
      </c>
      <c r="E2533" s="16">
        <v>0</v>
      </c>
      <c r="F2533" s="16" t="s">
        <v>64</v>
      </c>
      <c r="G2533" s="16" t="s">
        <v>64</v>
      </c>
    </row>
    <row r="2534" spans="1:7" x14ac:dyDescent="0.2">
      <c r="A2534" t="s">
        <v>64</v>
      </c>
      <c r="B2534" t="s">
        <v>64</v>
      </c>
      <c r="C2534" s="3" t="s">
        <v>64</v>
      </c>
      <c r="D2534" s="16" t="s">
        <v>64</v>
      </c>
      <c r="E2534" s="16">
        <v>0</v>
      </c>
      <c r="F2534" s="16" t="s">
        <v>64</v>
      </c>
      <c r="G2534" s="16" t="s">
        <v>64</v>
      </c>
    </row>
    <row r="2535" spans="1:7" x14ac:dyDescent="0.2">
      <c r="A2535" t="s">
        <v>64</v>
      </c>
      <c r="B2535" t="s">
        <v>64</v>
      </c>
      <c r="C2535" s="3" t="s">
        <v>64</v>
      </c>
      <c r="D2535" s="16" t="s">
        <v>64</v>
      </c>
      <c r="E2535" s="16">
        <v>0</v>
      </c>
      <c r="F2535" s="16" t="s">
        <v>64</v>
      </c>
      <c r="G2535" s="16" t="s">
        <v>64</v>
      </c>
    </row>
    <row r="2536" spans="1:7" x14ac:dyDescent="0.2">
      <c r="A2536" t="s">
        <v>64</v>
      </c>
      <c r="B2536" t="s">
        <v>64</v>
      </c>
      <c r="C2536" s="3" t="s">
        <v>64</v>
      </c>
      <c r="D2536" s="16" t="s">
        <v>64</v>
      </c>
      <c r="E2536" s="16">
        <v>0</v>
      </c>
      <c r="F2536" s="16" t="s">
        <v>64</v>
      </c>
      <c r="G2536" s="16" t="s">
        <v>64</v>
      </c>
    </row>
    <row r="2537" spans="1:7" x14ac:dyDescent="0.2">
      <c r="A2537" t="s">
        <v>64</v>
      </c>
      <c r="B2537" t="s">
        <v>64</v>
      </c>
      <c r="C2537" s="3" t="s">
        <v>64</v>
      </c>
      <c r="D2537" s="16" t="s">
        <v>64</v>
      </c>
      <c r="E2537" s="16">
        <v>0</v>
      </c>
      <c r="F2537" s="16" t="s">
        <v>64</v>
      </c>
      <c r="G2537" s="16" t="s">
        <v>64</v>
      </c>
    </row>
    <row r="2538" spans="1:7" x14ac:dyDescent="0.2">
      <c r="A2538" t="s">
        <v>64</v>
      </c>
      <c r="B2538" t="s">
        <v>64</v>
      </c>
      <c r="C2538" s="3" t="s">
        <v>64</v>
      </c>
      <c r="D2538" s="16" t="s">
        <v>64</v>
      </c>
      <c r="E2538" s="16">
        <v>0</v>
      </c>
      <c r="F2538" s="16" t="s">
        <v>64</v>
      </c>
      <c r="G2538" s="16" t="s">
        <v>64</v>
      </c>
    </row>
    <row r="2539" spans="1:7" x14ac:dyDescent="0.2">
      <c r="A2539" t="s">
        <v>64</v>
      </c>
      <c r="B2539" t="s">
        <v>64</v>
      </c>
      <c r="C2539" s="3" t="s">
        <v>64</v>
      </c>
      <c r="D2539" s="16" t="s">
        <v>64</v>
      </c>
      <c r="E2539" s="16">
        <v>0</v>
      </c>
      <c r="F2539" s="16" t="s">
        <v>64</v>
      </c>
      <c r="G2539" s="16" t="s">
        <v>64</v>
      </c>
    </row>
    <row r="2540" spans="1:7" x14ac:dyDescent="0.2">
      <c r="A2540" t="s">
        <v>64</v>
      </c>
      <c r="B2540" t="s">
        <v>64</v>
      </c>
      <c r="C2540" s="3" t="s">
        <v>64</v>
      </c>
      <c r="D2540" s="16" t="s">
        <v>64</v>
      </c>
      <c r="E2540" s="16">
        <v>0</v>
      </c>
      <c r="F2540" s="16" t="s">
        <v>64</v>
      </c>
      <c r="G2540" s="16" t="s">
        <v>64</v>
      </c>
    </row>
    <row r="2541" spans="1:7" x14ac:dyDescent="0.2">
      <c r="A2541" t="s">
        <v>64</v>
      </c>
      <c r="B2541" t="s">
        <v>64</v>
      </c>
      <c r="C2541" s="3" t="s">
        <v>64</v>
      </c>
      <c r="D2541" s="16" t="s">
        <v>64</v>
      </c>
      <c r="E2541" s="16">
        <v>0</v>
      </c>
      <c r="F2541" s="16" t="s">
        <v>64</v>
      </c>
      <c r="G2541" s="16" t="s">
        <v>64</v>
      </c>
    </row>
    <row r="2542" spans="1:7" x14ac:dyDescent="0.2">
      <c r="A2542" t="s">
        <v>64</v>
      </c>
      <c r="B2542" t="s">
        <v>64</v>
      </c>
      <c r="C2542" s="3" t="s">
        <v>64</v>
      </c>
      <c r="D2542" s="16" t="s">
        <v>64</v>
      </c>
      <c r="E2542" s="16">
        <v>0</v>
      </c>
      <c r="F2542" s="16" t="s">
        <v>64</v>
      </c>
      <c r="G2542" s="16" t="s">
        <v>64</v>
      </c>
    </row>
    <row r="2543" spans="1:7" x14ac:dyDescent="0.2">
      <c r="A2543" t="s">
        <v>64</v>
      </c>
      <c r="B2543" t="s">
        <v>64</v>
      </c>
      <c r="C2543" s="3" t="s">
        <v>64</v>
      </c>
      <c r="D2543" s="16" t="s">
        <v>64</v>
      </c>
      <c r="E2543" s="16">
        <v>0</v>
      </c>
      <c r="F2543" s="16" t="s">
        <v>64</v>
      </c>
      <c r="G2543" s="16" t="s">
        <v>64</v>
      </c>
    </row>
    <row r="2544" spans="1:7" x14ac:dyDescent="0.2">
      <c r="A2544" t="s">
        <v>64</v>
      </c>
      <c r="B2544" t="s">
        <v>64</v>
      </c>
      <c r="C2544" s="3" t="s">
        <v>64</v>
      </c>
      <c r="D2544" s="16" t="s">
        <v>64</v>
      </c>
      <c r="E2544" s="16">
        <v>0</v>
      </c>
      <c r="F2544" s="16" t="s">
        <v>64</v>
      </c>
      <c r="G2544" s="16" t="s">
        <v>64</v>
      </c>
    </row>
    <row r="2545" spans="1:7" x14ac:dyDescent="0.2">
      <c r="A2545" t="s">
        <v>64</v>
      </c>
      <c r="B2545" t="s">
        <v>64</v>
      </c>
      <c r="C2545" s="3" t="s">
        <v>64</v>
      </c>
      <c r="D2545" s="16" t="s">
        <v>64</v>
      </c>
      <c r="E2545" s="16">
        <v>0</v>
      </c>
      <c r="F2545" s="16" t="s">
        <v>64</v>
      </c>
      <c r="G2545" s="16" t="s">
        <v>64</v>
      </c>
    </row>
    <row r="2546" spans="1:7" x14ac:dyDescent="0.2">
      <c r="A2546" t="s">
        <v>64</v>
      </c>
      <c r="B2546" t="s">
        <v>64</v>
      </c>
      <c r="C2546" s="3" t="s">
        <v>64</v>
      </c>
      <c r="D2546" s="16" t="s">
        <v>64</v>
      </c>
      <c r="E2546" s="16">
        <v>0</v>
      </c>
      <c r="F2546" s="16" t="s">
        <v>64</v>
      </c>
      <c r="G2546" s="16" t="s">
        <v>64</v>
      </c>
    </row>
    <row r="2547" spans="1:7" x14ac:dyDescent="0.2">
      <c r="A2547" t="s">
        <v>64</v>
      </c>
      <c r="B2547" t="s">
        <v>64</v>
      </c>
      <c r="C2547" s="3" t="s">
        <v>64</v>
      </c>
      <c r="D2547" s="16" t="s">
        <v>64</v>
      </c>
      <c r="E2547" s="16">
        <v>0</v>
      </c>
      <c r="F2547" s="16" t="s">
        <v>64</v>
      </c>
      <c r="G2547" s="16" t="s">
        <v>64</v>
      </c>
    </row>
    <row r="2548" spans="1:7" x14ac:dyDescent="0.2">
      <c r="A2548" t="s">
        <v>64</v>
      </c>
      <c r="B2548" t="s">
        <v>64</v>
      </c>
      <c r="C2548" s="3" t="s">
        <v>64</v>
      </c>
      <c r="D2548" s="16" t="s">
        <v>64</v>
      </c>
      <c r="E2548" s="16">
        <v>0</v>
      </c>
      <c r="F2548" s="16" t="s">
        <v>64</v>
      </c>
      <c r="G2548" s="16" t="s">
        <v>64</v>
      </c>
    </row>
    <row r="2549" spans="1:7" x14ac:dyDescent="0.2">
      <c r="A2549" t="s">
        <v>64</v>
      </c>
      <c r="B2549" t="s">
        <v>64</v>
      </c>
      <c r="C2549" s="3" t="s">
        <v>64</v>
      </c>
      <c r="D2549" s="16" t="s">
        <v>64</v>
      </c>
      <c r="E2549" s="16">
        <v>0</v>
      </c>
      <c r="F2549" s="16" t="s">
        <v>64</v>
      </c>
      <c r="G2549" s="16" t="s">
        <v>64</v>
      </c>
    </row>
    <row r="2550" spans="1:7" x14ac:dyDescent="0.2">
      <c r="A2550" t="s">
        <v>64</v>
      </c>
      <c r="B2550" t="s">
        <v>64</v>
      </c>
      <c r="C2550" s="3" t="s">
        <v>64</v>
      </c>
      <c r="D2550" s="16" t="s">
        <v>64</v>
      </c>
      <c r="E2550" s="16">
        <v>0</v>
      </c>
      <c r="F2550" s="16" t="s">
        <v>64</v>
      </c>
      <c r="G2550" s="16" t="s">
        <v>64</v>
      </c>
    </row>
    <row r="2551" spans="1:7" x14ac:dyDescent="0.2">
      <c r="A2551" t="s">
        <v>64</v>
      </c>
      <c r="B2551" t="s">
        <v>64</v>
      </c>
      <c r="C2551" s="3" t="s">
        <v>64</v>
      </c>
      <c r="D2551" s="16" t="s">
        <v>64</v>
      </c>
      <c r="E2551" s="16">
        <v>0</v>
      </c>
      <c r="F2551" s="16" t="s">
        <v>64</v>
      </c>
      <c r="G2551" s="16" t="s">
        <v>64</v>
      </c>
    </row>
    <row r="2552" spans="1:7" x14ac:dyDescent="0.2">
      <c r="A2552" t="s">
        <v>64</v>
      </c>
      <c r="B2552" t="s">
        <v>64</v>
      </c>
      <c r="C2552" s="3" t="s">
        <v>64</v>
      </c>
      <c r="D2552" s="16" t="s">
        <v>64</v>
      </c>
      <c r="E2552" s="16">
        <v>0</v>
      </c>
      <c r="F2552" s="16" t="s">
        <v>64</v>
      </c>
      <c r="G2552" s="16" t="s">
        <v>64</v>
      </c>
    </row>
    <row r="2553" spans="1:7" x14ac:dyDescent="0.2">
      <c r="A2553" t="s">
        <v>64</v>
      </c>
      <c r="B2553" t="s">
        <v>64</v>
      </c>
      <c r="C2553" s="3" t="s">
        <v>64</v>
      </c>
      <c r="D2553" s="16" t="s">
        <v>64</v>
      </c>
      <c r="E2553" s="16">
        <v>0</v>
      </c>
      <c r="F2553" s="16" t="s">
        <v>64</v>
      </c>
      <c r="G2553" s="16" t="s">
        <v>64</v>
      </c>
    </row>
    <row r="2554" spans="1:7" x14ac:dyDescent="0.2">
      <c r="A2554" t="s">
        <v>64</v>
      </c>
      <c r="B2554" t="s">
        <v>64</v>
      </c>
      <c r="C2554" s="3" t="s">
        <v>64</v>
      </c>
      <c r="D2554" s="16" t="s">
        <v>64</v>
      </c>
      <c r="E2554" s="16">
        <v>0</v>
      </c>
      <c r="F2554" s="16" t="s">
        <v>64</v>
      </c>
      <c r="G2554" s="16" t="s">
        <v>64</v>
      </c>
    </row>
    <row r="2555" spans="1:7" x14ac:dyDescent="0.2">
      <c r="A2555" t="s">
        <v>64</v>
      </c>
      <c r="B2555" t="s">
        <v>64</v>
      </c>
      <c r="C2555" s="3" t="s">
        <v>64</v>
      </c>
      <c r="D2555" s="16" t="s">
        <v>64</v>
      </c>
      <c r="E2555" s="16">
        <v>0</v>
      </c>
      <c r="F2555" s="16" t="s">
        <v>64</v>
      </c>
      <c r="G2555" s="16" t="s">
        <v>64</v>
      </c>
    </row>
    <row r="2556" spans="1:7" x14ac:dyDescent="0.2">
      <c r="A2556" t="s">
        <v>64</v>
      </c>
      <c r="B2556" t="s">
        <v>64</v>
      </c>
      <c r="C2556" s="3" t="s">
        <v>64</v>
      </c>
      <c r="D2556" s="16" t="s">
        <v>64</v>
      </c>
      <c r="E2556" s="16">
        <v>0</v>
      </c>
      <c r="F2556" s="16" t="s">
        <v>64</v>
      </c>
      <c r="G2556" s="16" t="s">
        <v>64</v>
      </c>
    </row>
    <row r="2557" spans="1:7" x14ac:dyDescent="0.2">
      <c r="A2557" t="s">
        <v>64</v>
      </c>
      <c r="B2557" t="s">
        <v>64</v>
      </c>
      <c r="C2557" s="3" t="s">
        <v>64</v>
      </c>
      <c r="D2557" s="16" t="s">
        <v>64</v>
      </c>
      <c r="E2557" s="16">
        <v>0</v>
      </c>
      <c r="F2557" s="16" t="s">
        <v>64</v>
      </c>
      <c r="G2557" s="16" t="s">
        <v>64</v>
      </c>
    </row>
    <row r="2558" spans="1:7" x14ac:dyDescent="0.2">
      <c r="A2558" t="s">
        <v>64</v>
      </c>
      <c r="B2558" t="s">
        <v>64</v>
      </c>
      <c r="C2558" s="3" t="s">
        <v>64</v>
      </c>
      <c r="D2558" s="16" t="s">
        <v>64</v>
      </c>
      <c r="E2558" s="16">
        <v>0</v>
      </c>
      <c r="F2558" s="16" t="s">
        <v>64</v>
      </c>
      <c r="G2558" s="16" t="s">
        <v>64</v>
      </c>
    </row>
    <row r="2559" spans="1:7" x14ac:dyDescent="0.2">
      <c r="A2559" t="s">
        <v>64</v>
      </c>
      <c r="B2559" t="s">
        <v>64</v>
      </c>
      <c r="C2559" s="3" t="s">
        <v>64</v>
      </c>
      <c r="D2559" s="16" t="s">
        <v>64</v>
      </c>
      <c r="E2559" s="16">
        <v>0</v>
      </c>
      <c r="F2559" s="16" t="s">
        <v>64</v>
      </c>
      <c r="G2559" s="16" t="s">
        <v>64</v>
      </c>
    </row>
    <row r="2560" spans="1:7" x14ac:dyDescent="0.2">
      <c r="A2560" t="s">
        <v>64</v>
      </c>
      <c r="B2560" t="s">
        <v>64</v>
      </c>
      <c r="C2560" s="3" t="s">
        <v>64</v>
      </c>
      <c r="D2560" s="16" t="s">
        <v>64</v>
      </c>
      <c r="E2560" s="16">
        <v>0</v>
      </c>
      <c r="F2560" s="16" t="s">
        <v>64</v>
      </c>
      <c r="G2560" s="16" t="s">
        <v>64</v>
      </c>
    </row>
    <row r="2561" spans="1:7" x14ac:dyDescent="0.2">
      <c r="A2561" t="s">
        <v>64</v>
      </c>
      <c r="B2561" t="s">
        <v>64</v>
      </c>
      <c r="C2561" s="3" t="s">
        <v>64</v>
      </c>
      <c r="D2561" s="16" t="s">
        <v>64</v>
      </c>
      <c r="E2561" s="16">
        <v>0</v>
      </c>
      <c r="F2561" s="16" t="s">
        <v>64</v>
      </c>
      <c r="G2561" s="16" t="s">
        <v>64</v>
      </c>
    </row>
    <row r="2562" spans="1:7" x14ac:dyDescent="0.2">
      <c r="A2562" t="s">
        <v>64</v>
      </c>
      <c r="B2562" t="s">
        <v>64</v>
      </c>
      <c r="C2562" s="3" t="s">
        <v>64</v>
      </c>
      <c r="D2562" s="16" t="s">
        <v>64</v>
      </c>
      <c r="E2562" s="16">
        <v>0</v>
      </c>
      <c r="F2562" s="16" t="s">
        <v>64</v>
      </c>
      <c r="G2562" s="16" t="s">
        <v>64</v>
      </c>
    </row>
    <row r="2563" spans="1:7" x14ac:dyDescent="0.2">
      <c r="A2563" t="s">
        <v>64</v>
      </c>
      <c r="B2563" t="s">
        <v>64</v>
      </c>
      <c r="C2563" s="3" t="s">
        <v>64</v>
      </c>
      <c r="D2563" s="16" t="s">
        <v>64</v>
      </c>
      <c r="E2563" s="16">
        <v>0</v>
      </c>
      <c r="F2563" s="16" t="s">
        <v>64</v>
      </c>
      <c r="G2563" s="16" t="s">
        <v>64</v>
      </c>
    </row>
    <row r="2564" spans="1:7" x14ac:dyDescent="0.2">
      <c r="A2564" t="s">
        <v>64</v>
      </c>
      <c r="B2564" t="s">
        <v>64</v>
      </c>
      <c r="C2564" s="3" t="s">
        <v>64</v>
      </c>
      <c r="D2564" s="16" t="s">
        <v>64</v>
      </c>
      <c r="E2564" s="16">
        <v>0</v>
      </c>
      <c r="F2564" s="16" t="s">
        <v>64</v>
      </c>
      <c r="G2564" s="16" t="s">
        <v>64</v>
      </c>
    </row>
    <row r="2565" spans="1:7" x14ac:dyDescent="0.2">
      <c r="A2565" t="s">
        <v>64</v>
      </c>
      <c r="B2565" t="s">
        <v>64</v>
      </c>
      <c r="C2565" s="3" t="s">
        <v>64</v>
      </c>
      <c r="D2565" s="16" t="s">
        <v>64</v>
      </c>
      <c r="E2565" s="16">
        <v>0</v>
      </c>
      <c r="F2565" s="16" t="s">
        <v>64</v>
      </c>
      <c r="G2565" s="16" t="s">
        <v>64</v>
      </c>
    </row>
    <row r="2566" spans="1:7" x14ac:dyDescent="0.2">
      <c r="A2566" t="s">
        <v>64</v>
      </c>
      <c r="B2566" t="s">
        <v>64</v>
      </c>
      <c r="C2566" s="3" t="s">
        <v>64</v>
      </c>
      <c r="D2566" s="16" t="s">
        <v>64</v>
      </c>
      <c r="E2566" s="16">
        <v>0</v>
      </c>
      <c r="F2566" s="16" t="s">
        <v>64</v>
      </c>
      <c r="G2566" s="16" t="s">
        <v>64</v>
      </c>
    </row>
    <row r="2567" spans="1:7" x14ac:dyDescent="0.2">
      <c r="A2567" t="s">
        <v>64</v>
      </c>
      <c r="B2567" t="s">
        <v>64</v>
      </c>
      <c r="C2567" s="3" t="s">
        <v>64</v>
      </c>
      <c r="D2567" s="16" t="s">
        <v>64</v>
      </c>
      <c r="E2567" s="16">
        <v>0</v>
      </c>
      <c r="F2567" s="16" t="s">
        <v>64</v>
      </c>
      <c r="G2567" s="16" t="s">
        <v>64</v>
      </c>
    </row>
    <row r="2568" spans="1:7" x14ac:dyDescent="0.2">
      <c r="A2568" t="s">
        <v>64</v>
      </c>
      <c r="B2568" t="s">
        <v>64</v>
      </c>
      <c r="C2568" s="3" t="s">
        <v>64</v>
      </c>
      <c r="D2568" s="16" t="s">
        <v>64</v>
      </c>
      <c r="E2568" s="16">
        <v>0</v>
      </c>
      <c r="F2568" s="16" t="s">
        <v>64</v>
      </c>
      <c r="G2568" s="16" t="s">
        <v>64</v>
      </c>
    </row>
    <row r="2569" spans="1:7" x14ac:dyDescent="0.2">
      <c r="A2569" t="s">
        <v>64</v>
      </c>
      <c r="B2569" t="s">
        <v>64</v>
      </c>
      <c r="C2569" s="3" t="s">
        <v>64</v>
      </c>
      <c r="D2569" s="16" t="s">
        <v>64</v>
      </c>
      <c r="E2569" s="16">
        <v>0</v>
      </c>
      <c r="F2569" s="16" t="s">
        <v>64</v>
      </c>
      <c r="G2569" s="16" t="s">
        <v>64</v>
      </c>
    </row>
    <row r="2570" spans="1:7" x14ac:dyDescent="0.2">
      <c r="A2570" t="s">
        <v>64</v>
      </c>
      <c r="B2570" t="s">
        <v>64</v>
      </c>
      <c r="C2570" s="3" t="s">
        <v>64</v>
      </c>
      <c r="D2570" s="16" t="s">
        <v>64</v>
      </c>
      <c r="E2570" s="16">
        <v>0</v>
      </c>
      <c r="F2570" s="16" t="s">
        <v>64</v>
      </c>
      <c r="G2570" s="16" t="s">
        <v>64</v>
      </c>
    </row>
    <row r="2571" spans="1:7" x14ac:dyDescent="0.2">
      <c r="A2571" t="s">
        <v>64</v>
      </c>
      <c r="B2571" t="s">
        <v>64</v>
      </c>
      <c r="C2571" s="3" t="s">
        <v>64</v>
      </c>
      <c r="D2571" s="16" t="s">
        <v>64</v>
      </c>
      <c r="E2571" s="16">
        <v>0</v>
      </c>
      <c r="F2571" s="16" t="s">
        <v>64</v>
      </c>
      <c r="G2571" s="16" t="s">
        <v>64</v>
      </c>
    </row>
    <row r="2572" spans="1:7" x14ac:dyDescent="0.2">
      <c r="A2572" t="s">
        <v>64</v>
      </c>
      <c r="B2572" t="s">
        <v>64</v>
      </c>
      <c r="C2572" s="3" t="s">
        <v>64</v>
      </c>
      <c r="D2572" s="16" t="s">
        <v>64</v>
      </c>
      <c r="E2572" s="16">
        <v>0</v>
      </c>
      <c r="F2572" s="16" t="s">
        <v>64</v>
      </c>
      <c r="G2572" s="16" t="s">
        <v>64</v>
      </c>
    </row>
    <row r="2573" spans="1:7" x14ac:dyDescent="0.2">
      <c r="A2573" t="s">
        <v>64</v>
      </c>
      <c r="B2573" t="s">
        <v>64</v>
      </c>
      <c r="C2573" s="3" t="s">
        <v>64</v>
      </c>
      <c r="D2573" s="16" t="s">
        <v>64</v>
      </c>
      <c r="E2573" s="16">
        <v>0</v>
      </c>
      <c r="F2573" s="16" t="s">
        <v>64</v>
      </c>
      <c r="G2573" s="16" t="s">
        <v>64</v>
      </c>
    </row>
    <row r="2574" spans="1:7" x14ac:dyDescent="0.2">
      <c r="A2574" t="s">
        <v>64</v>
      </c>
      <c r="B2574" t="s">
        <v>64</v>
      </c>
      <c r="C2574" s="3" t="s">
        <v>64</v>
      </c>
      <c r="D2574" s="16" t="s">
        <v>64</v>
      </c>
      <c r="E2574" s="16">
        <v>0</v>
      </c>
      <c r="F2574" s="16" t="s">
        <v>64</v>
      </c>
      <c r="G2574" s="16" t="s">
        <v>64</v>
      </c>
    </row>
    <row r="2575" spans="1:7" x14ac:dyDescent="0.2">
      <c r="A2575" t="s">
        <v>64</v>
      </c>
      <c r="B2575" t="s">
        <v>64</v>
      </c>
      <c r="C2575" s="3" t="s">
        <v>64</v>
      </c>
      <c r="D2575" s="16" t="s">
        <v>64</v>
      </c>
      <c r="E2575" s="16">
        <v>0</v>
      </c>
      <c r="F2575" s="16" t="s">
        <v>64</v>
      </c>
      <c r="G2575" s="16" t="s">
        <v>64</v>
      </c>
    </row>
    <row r="2576" spans="1:7" x14ac:dyDescent="0.2">
      <c r="A2576" t="s">
        <v>64</v>
      </c>
      <c r="B2576" t="s">
        <v>64</v>
      </c>
      <c r="C2576" s="3" t="s">
        <v>64</v>
      </c>
      <c r="D2576" s="16" t="s">
        <v>64</v>
      </c>
      <c r="E2576" s="16">
        <v>0</v>
      </c>
      <c r="F2576" s="16" t="s">
        <v>64</v>
      </c>
      <c r="G2576" s="16" t="s">
        <v>64</v>
      </c>
    </row>
    <row r="2577" spans="1:7" x14ac:dyDescent="0.2">
      <c r="A2577" t="s">
        <v>64</v>
      </c>
      <c r="B2577" t="s">
        <v>64</v>
      </c>
      <c r="C2577" s="3" t="s">
        <v>64</v>
      </c>
      <c r="D2577" s="16" t="s">
        <v>64</v>
      </c>
      <c r="E2577" s="16">
        <v>0</v>
      </c>
      <c r="F2577" s="16" t="s">
        <v>64</v>
      </c>
      <c r="G2577" s="16" t="s">
        <v>64</v>
      </c>
    </row>
    <row r="2578" spans="1:7" x14ac:dyDescent="0.2">
      <c r="A2578" t="s">
        <v>64</v>
      </c>
      <c r="B2578" t="s">
        <v>64</v>
      </c>
      <c r="C2578" s="3" t="s">
        <v>64</v>
      </c>
      <c r="D2578" s="16" t="s">
        <v>64</v>
      </c>
      <c r="E2578" s="16">
        <v>0</v>
      </c>
      <c r="F2578" s="16" t="s">
        <v>64</v>
      </c>
      <c r="G2578" s="16" t="s">
        <v>64</v>
      </c>
    </row>
    <row r="2579" spans="1:7" x14ac:dyDescent="0.2">
      <c r="A2579" t="s">
        <v>64</v>
      </c>
      <c r="B2579" t="s">
        <v>64</v>
      </c>
      <c r="C2579" s="3" t="s">
        <v>64</v>
      </c>
      <c r="D2579" s="16" t="s">
        <v>64</v>
      </c>
      <c r="E2579" s="16">
        <v>0</v>
      </c>
      <c r="F2579" s="16" t="s">
        <v>64</v>
      </c>
      <c r="G2579" s="16" t="s">
        <v>64</v>
      </c>
    </row>
    <row r="2580" spans="1:7" x14ac:dyDescent="0.2">
      <c r="A2580" t="s">
        <v>64</v>
      </c>
      <c r="B2580" t="s">
        <v>64</v>
      </c>
      <c r="C2580" s="3" t="s">
        <v>64</v>
      </c>
      <c r="D2580" s="16" t="s">
        <v>64</v>
      </c>
      <c r="E2580" s="16">
        <v>0</v>
      </c>
      <c r="F2580" s="16" t="s">
        <v>64</v>
      </c>
      <c r="G2580" s="16" t="s">
        <v>64</v>
      </c>
    </row>
    <row r="2581" spans="1:7" x14ac:dyDescent="0.2">
      <c r="A2581" t="s">
        <v>64</v>
      </c>
      <c r="B2581" t="s">
        <v>64</v>
      </c>
      <c r="C2581" s="3" t="s">
        <v>64</v>
      </c>
      <c r="D2581" s="16" t="s">
        <v>64</v>
      </c>
      <c r="E2581" s="16">
        <v>0</v>
      </c>
      <c r="F2581" s="16" t="s">
        <v>64</v>
      </c>
      <c r="G2581" s="16" t="s">
        <v>64</v>
      </c>
    </row>
    <row r="2582" spans="1:7" x14ac:dyDescent="0.2">
      <c r="A2582" t="s">
        <v>64</v>
      </c>
      <c r="B2582" t="s">
        <v>64</v>
      </c>
      <c r="C2582" s="3" t="s">
        <v>64</v>
      </c>
      <c r="D2582" s="16" t="s">
        <v>64</v>
      </c>
      <c r="E2582" s="16">
        <v>0</v>
      </c>
      <c r="F2582" s="16" t="s">
        <v>64</v>
      </c>
      <c r="G2582" s="16" t="s">
        <v>64</v>
      </c>
    </row>
    <row r="2583" spans="1:7" x14ac:dyDescent="0.2">
      <c r="A2583" t="s">
        <v>64</v>
      </c>
      <c r="B2583" t="s">
        <v>64</v>
      </c>
      <c r="C2583" s="3" t="s">
        <v>64</v>
      </c>
      <c r="D2583" s="16" t="s">
        <v>64</v>
      </c>
      <c r="E2583" s="16">
        <v>0</v>
      </c>
      <c r="F2583" s="16" t="s">
        <v>64</v>
      </c>
      <c r="G2583" s="16" t="s">
        <v>64</v>
      </c>
    </row>
    <row r="2584" spans="1:7" x14ac:dyDescent="0.2">
      <c r="A2584" t="s">
        <v>64</v>
      </c>
      <c r="B2584" t="s">
        <v>64</v>
      </c>
      <c r="C2584" s="3" t="s">
        <v>64</v>
      </c>
      <c r="D2584" s="16" t="s">
        <v>64</v>
      </c>
      <c r="E2584" s="16">
        <v>0</v>
      </c>
      <c r="F2584" s="16" t="s">
        <v>64</v>
      </c>
      <c r="G2584" s="16" t="s">
        <v>64</v>
      </c>
    </row>
    <row r="2585" spans="1:7" x14ac:dyDescent="0.2">
      <c r="A2585" t="s">
        <v>64</v>
      </c>
      <c r="B2585" t="s">
        <v>64</v>
      </c>
      <c r="C2585" s="3" t="s">
        <v>64</v>
      </c>
      <c r="D2585" s="16" t="s">
        <v>64</v>
      </c>
      <c r="E2585" s="16">
        <v>0</v>
      </c>
      <c r="F2585" s="16" t="s">
        <v>64</v>
      </c>
      <c r="G2585" s="16" t="s">
        <v>64</v>
      </c>
    </row>
    <row r="2586" spans="1:7" x14ac:dyDescent="0.2">
      <c r="A2586" t="s">
        <v>64</v>
      </c>
      <c r="B2586" t="s">
        <v>64</v>
      </c>
      <c r="C2586" s="3" t="s">
        <v>64</v>
      </c>
      <c r="D2586" s="16" t="s">
        <v>64</v>
      </c>
      <c r="E2586" s="16">
        <v>0</v>
      </c>
      <c r="F2586" s="16" t="s">
        <v>64</v>
      </c>
      <c r="G2586" s="16" t="s">
        <v>64</v>
      </c>
    </row>
    <row r="2587" spans="1:7" x14ac:dyDescent="0.2">
      <c r="A2587" t="s">
        <v>64</v>
      </c>
      <c r="B2587" t="s">
        <v>64</v>
      </c>
      <c r="C2587" s="3" t="s">
        <v>64</v>
      </c>
      <c r="D2587" s="16" t="s">
        <v>64</v>
      </c>
      <c r="E2587" s="16">
        <v>0</v>
      </c>
      <c r="F2587" s="16" t="s">
        <v>64</v>
      </c>
      <c r="G2587" s="16" t="s">
        <v>64</v>
      </c>
    </row>
    <row r="2588" spans="1:7" x14ac:dyDescent="0.2">
      <c r="A2588" t="s">
        <v>64</v>
      </c>
      <c r="B2588" t="s">
        <v>64</v>
      </c>
      <c r="C2588" s="3" t="s">
        <v>64</v>
      </c>
      <c r="D2588" s="16" t="s">
        <v>64</v>
      </c>
      <c r="E2588" s="16">
        <v>0</v>
      </c>
      <c r="F2588" s="16" t="s">
        <v>64</v>
      </c>
      <c r="G2588" s="16" t="s">
        <v>64</v>
      </c>
    </row>
    <row r="2589" spans="1:7" x14ac:dyDescent="0.2">
      <c r="A2589" t="s">
        <v>64</v>
      </c>
      <c r="B2589" t="s">
        <v>64</v>
      </c>
      <c r="C2589" s="3" t="s">
        <v>64</v>
      </c>
      <c r="D2589" s="16" t="s">
        <v>64</v>
      </c>
      <c r="E2589" s="16">
        <v>0</v>
      </c>
      <c r="F2589" s="16" t="s">
        <v>64</v>
      </c>
      <c r="G2589" s="16" t="s">
        <v>64</v>
      </c>
    </row>
    <row r="2590" spans="1:7" x14ac:dyDescent="0.2">
      <c r="A2590" t="s">
        <v>64</v>
      </c>
      <c r="B2590" t="s">
        <v>64</v>
      </c>
      <c r="C2590" s="3" t="s">
        <v>64</v>
      </c>
      <c r="D2590" s="16" t="s">
        <v>64</v>
      </c>
      <c r="E2590" s="16">
        <v>0</v>
      </c>
      <c r="F2590" s="16" t="s">
        <v>64</v>
      </c>
      <c r="G2590" s="16" t="s">
        <v>64</v>
      </c>
    </row>
    <row r="2591" spans="1:7" x14ac:dyDescent="0.2">
      <c r="A2591" t="s">
        <v>64</v>
      </c>
      <c r="B2591" t="s">
        <v>64</v>
      </c>
      <c r="C2591" s="3" t="s">
        <v>64</v>
      </c>
      <c r="D2591" s="16" t="s">
        <v>64</v>
      </c>
      <c r="E2591" s="16">
        <v>0</v>
      </c>
      <c r="F2591" s="16" t="s">
        <v>64</v>
      </c>
      <c r="G2591" s="16" t="s">
        <v>64</v>
      </c>
    </row>
    <row r="2592" spans="1:7" x14ac:dyDescent="0.2">
      <c r="A2592" t="s">
        <v>64</v>
      </c>
      <c r="B2592" t="s">
        <v>64</v>
      </c>
      <c r="C2592" s="3" t="s">
        <v>64</v>
      </c>
      <c r="D2592" s="16" t="s">
        <v>64</v>
      </c>
      <c r="E2592" s="16">
        <v>0</v>
      </c>
      <c r="F2592" s="16" t="s">
        <v>64</v>
      </c>
      <c r="G2592" s="16" t="s">
        <v>64</v>
      </c>
    </row>
    <row r="2593" spans="1:7" x14ac:dyDescent="0.2">
      <c r="A2593" t="s">
        <v>64</v>
      </c>
      <c r="B2593" t="s">
        <v>64</v>
      </c>
      <c r="C2593" s="3" t="s">
        <v>64</v>
      </c>
      <c r="D2593" s="16" t="s">
        <v>64</v>
      </c>
      <c r="E2593" s="16">
        <v>0</v>
      </c>
      <c r="F2593" s="16" t="s">
        <v>64</v>
      </c>
      <c r="G2593" s="16" t="s">
        <v>64</v>
      </c>
    </row>
    <row r="2594" spans="1:7" x14ac:dyDescent="0.2">
      <c r="A2594" t="s">
        <v>64</v>
      </c>
      <c r="B2594" t="s">
        <v>64</v>
      </c>
      <c r="C2594" s="3" t="s">
        <v>64</v>
      </c>
      <c r="D2594" s="16" t="s">
        <v>64</v>
      </c>
      <c r="E2594" s="16">
        <v>0</v>
      </c>
      <c r="F2594" s="16" t="s">
        <v>64</v>
      </c>
      <c r="G2594" s="16" t="s">
        <v>64</v>
      </c>
    </row>
    <row r="2595" spans="1:7" x14ac:dyDescent="0.2">
      <c r="A2595" t="s">
        <v>64</v>
      </c>
      <c r="B2595" t="s">
        <v>64</v>
      </c>
      <c r="C2595" s="3" t="s">
        <v>64</v>
      </c>
      <c r="D2595" s="16" t="s">
        <v>64</v>
      </c>
      <c r="E2595" s="16">
        <v>0</v>
      </c>
      <c r="F2595" s="16" t="s">
        <v>64</v>
      </c>
      <c r="G2595" s="16" t="s">
        <v>64</v>
      </c>
    </row>
    <row r="2596" spans="1:7" x14ac:dyDescent="0.2">
      <c r="A2596" t="s">
        <v>64</v>
      </c>
      <c r="B2596" t="s">
        <v>64</v>
      </c>
      <c r="C2596" s="3" t="s">
        <v>64</v>
      </c>
      <c r="D2596" s="16" t="s">
        <v>64</v>
      </c>
      <c r="E2596" s="16">
        <v>0</v>
      </c>
      <c r="F2596" s="16" t="s">
        <v>64</v>
      </c>
      <c r="G2596" s="16" t="s">
        <v>64</v>
      </c>
    </row>
    <row r="2597" spans="1:7" x14ac:dyDescent="0.2">
      <c r="A2597" t="s">
        <v>64</v>
      </c>
      <c r="B2597" t="s">
        <v>64</v>
      </c>
      <c r="C2597" s="3" t="s">
        <v>64</v>
      </c>
      <c r="D2597" s="16" t="s">
        <v>64</v>
      </c>
      <c r="E2597" s="16">
        <v>0</v>
      </c>
      <c r="F2597" s="16" t="s">
        <v>64</v>
      </c>
      <c r="G2597" s="16" t="s">
        <v>64</v>
      </c>
    </row>
    <row r="2598" spans="1:7" x14ac:dyDescent="0.2">
      <c r="A2598" t="s">
        <v>64</v>
      </c>
      <c r="B2598" t="s">
        <v>64</v>
      </c>
      <c r="C2598" s="3" t="s">
        <v>64</v>
      </c>
      <c r="D2598" s="16" t="s">
        <v>64</v>
      </c>
      <c r="E2598" s="16">
        <v>0</v>
      </c>
      <c r="F2598" s="16" t="s">
        <v>64</v>
      </c>
      <c r="G2598" s="16" t="s">
        <v>64</v>
      </c>
    </row>
    <row r="2599" spans="1:7" x14ac:dyDescent="0.2">
      <c r="A2599" t="s">
        <v>64</v>
      </c>
      <c r="B2599" t="s">
        <v>64</v>
      </c>
      <c r="C2599" s="3" t="s">
        <v>64</v>
      </c>
      <c r="D2599" s="16" t="s">
        <v>64</v>
      </c>
      <c r="E2599" s="16">
        <v>0</v>
      </c>
      <c r="F2599" s="16" t="s">
        <v>64</v>
      </c>
      <c r="G2599" s="16" t="s">
        <v>64</v>
      </c>
    </row>
    <row r="2600" spans="1:7" x14ac:dyDescent="0.2">
      <c r="A2600" t="s">
        <v>64</v>
      </c>
      <c r="B2600" t="s">
        <v>64</v>
      </c>
      <c r="C2600" s="3" t="s">
        <v>64</v>
      </c>
      <c r="D2600" s="16" t="s">
        <v>64</v>
      </c>
      <c r="E2600" s="16">
        <v>0</v>
      </c>
      <c r="F2600" s="16" t="s">
        <v>64</v>
      </c>
      <c r="G2600" s="16" t="s">
        <v>64</v>
      </c>
    </row>
    <row r="2601" spans="1:7" x14ac:dyDescent="0.2">
      <c r="A2601" t="s">
        <v>64</v>
      </c>
      <c r="B2601" t="s">
        <v>64</v>
      </c>
      <c r="C2601" s="3" t="s">
        <v>64</v>
      </c>
      <c r="D2601" s="16" t="s">
        <v>64</v>
      </c>
      <c r="E2601" s="16">
        <v>0</v>
      </c>
      <c r="F2601" s="16" t="s">
        <v>64</v>
      </c>
      <c r="G2601" s="16" t="s">
        <v>64</v>
      </c>
    </row>
    <row r="2602" spans="1:7" x14ac:dyDescent="0.2">
      <c r="A2602" t="s">
        <v>64</v>
      </c>
      <c r="B2602" t="s">
        <v>64</v>
      </c>
      <c r="C2602" s="3" t="s">
        <v>64</v>
      </c>
      <c r="D2602" s="16" t="s">
        <v>64</v>
      </c>
      <c r="E2602" s="16">
        <v>0</v>
      </c>
      <c r="F2602" s="16" t="s">
        <v>64</v>
      </c>
      <c r="G2602" s="16" t="s">
        <v>64</v>
      </c>
    </row>
    <row r="2603" spans="1:7" x14ac:dyDescent="0.2">
      <c r="A2603" t="s">
        <v>64</v>
      </c>
      <c r="B2603" t="s">
        <v>64</v>
      </c>
      <c r="C2603" s="3" t="s">
        <v>64</v>
      </c>
      <c r="D2603" s="16" t="s">
        <v>64</v>
      </c>
      <c r="E2603" s="16">
        <v>0</v>
      </c>
      <c r="F2603" s="16" t="s">
        <v>64</v>
      </c>
      <c r="G2603" s="16" t="s">
        <v>64</v>
      </c>
    </row>
    <row r="2604" spans="1:7" x14ac:dyDescent="0.2">
      <c r="A2604" t="s">
        <v>64</v>
      </c>
      <c r="B2604" t="s">
        <v>64</v>
      </c>
      <c r="C2604" s="3" t="s">
        <v>64</v>
      </c>
      <c r="D2604" s="16" t="s">
        <v>64</v>
      </c>
      <c r="E2604" s="16">
        <v>0</v>
      </c>
      <c r="F2604" s="16" t="s">
        <v>64</v>
      </c>
      <c r="G2604" s="16" t="s">
        <v>64</v>
      </c>
    </row>
    <row r="2605" spans="1:7" x14ac:dyDescent="0.2">
      <c r="A2605" t="s">
        <v>64</v>
      </c>
      <c r="B2605" t="s">
        <v>64</v>
      </c>
      <c r="C2605" s="3" t="s">
        <v>64</v>
      </c>
      <c r="D2605" s="16" t="s">
        <v>64</v>
      </c>
      <c r="E2605" s="16">
        <v>0</v>
      </c>
      <c r="F2605" s="16" t="s">
        <v>64</v>
      </c>
      <c r="G2605" s="16" t="s">
        <v>64</v>
      </c>
    </row>
    <row r="2606" spans="1:7" x14ac:dyDescent="0.2">
      <c r="A2606" t="s">
        <v>64</v>
      </c>
      <c r="B2606" t="s">
        <v>64</v>
      </c>
      <c r="C2606" s="3" t="s">
        <v>64</v>
      </c>
      <c r="D2606" s="16" t="s">
        <v>64</v>
      </c>
      <c r="E2606" s="16">
        <v>0</v>
      </c>
      <c r="F2606" s="16" t="s">
        <v>64</v>
      </c>
      <c r="G2606" s="16" t="s">
        <v>64</v>
      </c>
    </row>
    <row r="2607" spans="1:7" x14ac:dyDescent="0.2">
      <c r="A2607" t="s">
        <v>64</v>
      </c>
      <c r="B2607" t="s">
        <v>64</v>
      </c>
      <c r="C2607" s="3" t="s">
        <v>64</v>
      </c>
      <c r="D2607" s="16" t="s">
        <v>64</v>
      </c>
      <c r="E2607" s="16">
        <v>0</v>
      </c>
      <c r="F2607" s="16" t="s">
        <v>64</v>
      </c>
      <c r="G2607" s="16" t="s">
        <v>64</v>
      </c>
    </row>
    <row r="2608" spans="1:7" x14ac:dyDescent="0.2">
      <c r="A2608" t="s">
        <v>64</v>
      </c>
      <c r="B2608" t="s">
        <v>64</v>
      </c>
      <c r="C2608" s="3" t="s">
        <v>64</v>
      </c>
      <c r="D2608" s="16" t="s">
        <v>64</v>
      </c>
      <c r="E2608" s="16">
        <v>0</v>
      </c>
      <c r="F2608" s="16" t="s">
        <v>64</v>
      </c>
      <c r="G2608" s="16" t="s">
        <v>64</v>
      </c>
    </row>
    <row r="2609" spans="1:7" x14ac:dyDescent="0.2">
      <c r="A2609" t="s">
        <v>64</v>
      </c>
      <c r="B2609" t="s">
        <v>64</v>
      </c>
      <c r="C2609" s="3" t="s">
        <v>64</v>
      </c>
      <c r="D2609" s="16" t="s">
        <v>64</v>
      </c>
      <c r="E2609" s="16">
        <v>0</v>
      </c>
      <c r="F2609" s="16" t="s">
        <v>64</v>
      </c>
      <c r="G2609" s="16" t="s">
        <v>64</v>
      </c>
    </row>
    <row r="2610" spans="1:7" x14ac:dyDescent="0.2">
      <c r="A2610" t="s">
        <v>64</v>
      </c>
      <c r="B2610" t="s">
        <v>64</v>
      </c>
      <c r="C2610" s="3" t="s">
        <v>64</v>
      </c>
      <c r="D2610" s="16" t="s">
        <v>64</v>
      </c>
      <c r="E2610" s="16">
        <v>0</v>
      </c>
      <c r="F2610" s="16" t="s">
        <v>64</v>
      </c>
      <c r="G2610" s="16" t="s">
        <v>64</v>
      </c>
    </row>
    <row r="2611" spans="1:7" x14ac:dyDescent="0.2">
      <c r="A2611" t="s">
        <v>64</v>
      </c>
      <c r="B2611" t="s">
        <v>64</v>
      </c>
      <c r="C2611" s="3" t="s">
        <v>64</v>
      </c>
      <c r="D2611" s="16" t="s">
        <v>64</v>
      </c>
      <c r="E2611" s="16">
        <v>0</v>
      </c>
      <c r="F2611" s="16" t="s">
        <v>64</v>
      </c>
      <c r="G2611" s="16" t="s">
        <v>64</v>
      </c>
    </row>
    <row r="2612" spans="1:7" x14ac:dyDescent="0.2">
      <c r="A2612" t="s">
        <v>64</v>
      </c>
      <c r="B2612" t="s">
        <v>64</v>
      </c>
      <c r="C2612" s="3" t="s">
        <v>64</v>
      </c>
      <c r="D2612" s="16" t="s">
        <v>64</v>
      </c>
      <c r="E2612" s="16">
        <v>0</v>
      </c>
      <c r="F2612" s="16" t="s">
        <v>64</v>
      </c>
      <c r="G2612" s="16" t="s">
        <v>64</v>
      </c>
    </row>
    <row r="2613" spans="1:7" x14ac:dyDescent="0.2">
      <c r="A2613" t="s">
        <v>64</v>
      </c>
      <c r="B2613" t="s">
        <v>64</v>
      </c>
      <c r="C2613" s="3" t="s">
        <v>64</v>
      </c>
      <c r="D2613" s="16" t="s">
        <v>64</v>
      </c>
      <c r="E2613" s="16">
        <v>0</v>
      </c>
      <c r="F2613" s="16" t="s">
        <v>64</v>
      </c>
      <c r="G2613" s="16" t="s">
        <v>64</v>
      </c>
    </row>
    <row r="2614" spans="1:7" x14ac:dyDescent="0.2">
      <c r="A2614" t="s">
        <v>64</v>
      </c>
      <c r="B2614" t="s">
        <v>64</v>
      </c>
      <c r="C2614" s="3" t="s">
        <v>64</v>
      </c>
      <c r="D2614" s="16" t="s">
        <v>64</v>
      </c>
      <c r="E2614" s="16">
        <v>0</v>
      </c>
      <c r="F2614" s="16" t="s">
        <v>64</v>
      </c>
      <c r="G2614" s="16" t="s">
        <v>64</v>
      </c>
    </row>
    <row r="2615" spans="1:7" x14ac:dyDescent="0.2">
      <c r="A2615" t="s">
        <v>64</v>
      </c>
      <c r="B2615" t="s">
        <v>64</v>
      </c>
      <c r="C2615" s="3" t="s">
        <v>64</v>
      </c>
      <c r="D2615" s="16" t="s">
        <v>64</v>
      </c>
      <c r="E2615" s="16">
        <v>0</v>
      </c>
      <c r="F2615" s="16" t="s">
        <v>64</v>
      </c>
      <c r="G2615" s="16" t="s">
        <v>64</v>
      </c>
    </row>
    <row r="2616" spans="1:7" x14ac:dyDescent="0.2">
      <c r="A2616" t="s">
        <v>64</v>
      </c>
      <c r="B2616" t="s">
        <v>64</v>
      </c>
      <c r="C2616" s="3" t="s">
        <v>64</v>
      </c>
      <c r="D2616" s="16" t="s">
        <v>64</v>
      </c>
      <c r="E2616" s="16">
        <v>0</v>
      </c>
      <c r="F2616" s="16" t="s">
        <v>64</v>
      </c>
      <c r="G2616" s="16" t="s">
        <v>64</v>
      </c>
    </row>
    <row r="2617" spans="1:7" x14ac:dyDescent="0.2">
      <c r="A2617" t="s">
        <v>64</v>
      </c>
      <c r="B2617" t="s">
        <v>64</v>
      </c>
      <c r="C2617" s="3" t="s">
        <v>64</v>
      </c>
      <c r="D2617" s="16" t="s">
        <v>64</v>
      </c>
      <c r="E2617" s="16">
        <v>0</v>
      </c>
      <c r="F2617" s="16" t="s">
        <v>64</v>
      </c>
      <c r="G2617" s="16" t="s">
        <v>64</v>
      </c>
    </row>
    <row r="2618" spans="1:7" x14ac:dyDescent="0.2">
      <c r="A2618" t="s">
        <v>64</v>
      </c>
      <c r="B2618" t="s">
        <v>64</v>
      </c>
      <c r="C2618" s="3" t="s">
        <v>64</v>
      </c>
      <c r="D2618" s="16" t="s">
        <v>64</v>
      </c>
      <c r="E2618" s="16">
        <v>0</v>
      </c>
      <c r="F2618" s="16" t="s">
        <v>64</v>
      </c>
      <c r="G2618" s="16" t="s">
        <v>64</v>
      </c>
    </row>
    <row r="2619" spans="1:7" x14ac:dyDescent="0.2">
      <c r="A2619" t="s">
        <v>64</v>
      </c>
      <c r="B2619" t="s">
        <v>64</v>
      </c>
      <c r="C2619" s="3" t="s">
        <v>64</v>
      </c>
      <c r="D2619" s="16" t="s">
        <v>64</v>
      </c>
      <c r="E2619" s="16">
        <v>0</v>
      </c>
      <c r="F2619" s="16" t="s">
        <v>64</v>
      </c>
      <c r="G2619" s="16" t="s">
        <v>64</v>
      </c>
    </row>
    <row r="2620" spans="1:7" x14ac:dyDescent="0.2">
      <c r="A2620" t="s">
        <v>64</v>
      </c>
      <c r="B2620" t="s">
        <v>64</v>
      </c>
      <c r="C2620" s="3" t="s">
        <v>64</v>
      </c>
      <c r="D2620" s="16" t="s">
        <v>64</v>
      </c>
      <c r="E2620" s="16">
        <v>0</v>
      </c>
      <c r="F2620" s="16" t="s">
        <v>64</v>
      </c>
      <c r="G2620" s="16" t="s">
        <v>64</v>
      </c>
    </row>
    <row r="2621" spans="1:7" x14ac:dyDescent="0.2">
      <c r="A2621" t="s">
        <v>64</v>
      </c>
      <c r="B2621" t="s">
        <v>64</v>
      </c>
      <c r="C2621" s="3" t="s">
        <v>64</v>
      </c>
      <c r="D2621" s="16" t="s">
        <v>64</v>
      </c>
      <c r="E2621" s="16">
        <v>0</v>
      </c>
      <c r="F2621" s="16" t="s">
        <v>64</v>
      </c>
      <c r="G2621" s="16" t="s">
        <v>64</v>
      </c>
    </row>
    <row r="2622" spans="1:7" x14ac:dyDescent="0.2">
      <c r="A2622" t="s">
        <v>64</v>
      </c>
      <c r="B2622" t="s">
        <v>64</v>
      </c>
      <c r="C2622" s="3" t="s">
        <v>64</v>
      </c>
      <c r="D2622" s="16" t="s">
        <v>64</v>
      </c>
      <c r="E2622" s="16">
        <v>0</v>
      </c>
      <c r="F2622" s="16" t="s">
        <v>64</v>
      </c>
      <c r="G2622" s="16" t="s">
        <v>64</v>
      </c>
    </row>
    <row r="2623" spans="1:7" x14ac:dyDescent="0.2">
      <c r="A2623" t="s">
        <v>64</v>
      </c>
      <c r="B2623" t="s">
        <v>64</v>
      </c>
      <c r="C2623" s="3" t="s">
        <v>64</v>
      </c>
      <c r="D2623" s="16" t="s">
        <v>64</v>
      </c>
      <c r="E2623" s="16">
        <v>0</v>
      </c>
      <c r="F2623" s="16" t="s">
        <v>64</v>
      </c>
      <c r="G2623" s="16" t="s">
        <v>64</v>
      </c>
    </row>
    <row r="2624" spans="1:7" x14ac:dyDescent="0.2">
      <c r="A2624" t="s">
        <v>64</v>
      </c>
      <c r="B2624" t="s">
        <v>64</v>
      </c>
      <c r="C2624" s="3" t="s">
        <v>64</v>
      </c>
      <c r="D2624" s="16" t="s">
        <v>64</v>
      </c>
      <c r="E2624" s="16">
        <v>0</v>
      </c>
      <c r="F2624" s="16" t="s">
        <v>64</v>
      </c>
      <c r="G2624" s="16" t="s">
        <v>64</v>
      </c>
    </row>
    <row r="2625" spans="1:7" x14ac:dyDescent="0.2">
      <c r="A2625" t="s">
        <v>64</v>
      </c>
      <c r="B2625" t="s">
        <v>64</v>
      </c>
      <c r="C2625" s="3" t="s">
        <v>64</v>
      </c>
      <c r="D2625" s="16" t="s">
        <v>64</v>
      </c>
      <c r="E2625" s="16">
        <v>0</v>
      </c>
      <c r="F2625" s="16" t="s">
        <v>64</v>
      </c>
      <c r="G2625" s="16" t="s">
        <v>64</v>
      </c>
    </row>
    <row r="2626" spans="1:7" x14ac:dyDescent="0.2">
      <c r="A2626" t="s">
        <v>64</v>
      </c>
      <c r="B2626" t="s">
        <v>64</v>
      </c>
      <c r="C2626" s="3" t="s">
        <v>64</v>
      </c>
      <c r="D2626" s="16" t="s">
        <v>64</v>
      </c>
      <c r="E2626" s="16">
        <v>0</v>
      </c>
      <c r="F2626" s="16" t="s">
        <v>64</v>
      </c>
      <c r="G2626" s="16" t="s">
        <v>64</v>
      </c>
    </row>
    <row r="2627" spans="1:7" x14ac:dyDescent="0.2">
      <c r="A2627" t="s">
        <v>64</v>
      </c>
      <c r="B2627" t="s">
        <v>64</v>
      </c>
      <c r="C2627" s="3" t="s">
        <v>64</v>
      </c>
      <c r="D2627" s="16" t="s">
        <v>64</v>
      </c>
      <c r="E2627" s="16">
        <v>0</v>
      </c>
      <c r="F2627" s="16" t="s">
        <v>64</v>
      </c>
      <c r="G2627" s="16" t="s">
        <v>64</v>
      </c>
    </row>
    <row r="2628" spans="1:7" x14ac:dyDescent="0.2">
      <c r="A2628" t="s">
        <v>64</v>
      </c>
      <c r="B2628" t="s">
        <v>64</v>
      </c>
      <c r="C2628" s="3" t="s">
        <v>64</v>
      </c>
      <c r="D2628" s="16" t="s">
        <v>64</v>
      </c>
      <c r="E2628" s="16">
        <v>0</v>
      </c>
      <c r="F2628" s="16" t="s">
        <v>64</v>
      </c>
      <c r="G2628" s="16" t="s">
        <v>64</v>
      </c>
    </row>
    <row r="2629" spans="1:7" x14ac:dyDescent="0.2">
      <c r="A2629" t="s">
        <v>64</v>
      </c>
      <c r="B2629" t="s">
        <v>64</v>
      </c>
      <c r="C2629" s="3" t="s">
        <v>64</v>
      </c>
      <c r="D2629" s="16" t="s">
        <v>64</v>
      </c>
      <c r="E2629" s="16">
        <v>0</v>
      </c>
      <c r="F2629" s="16" t="s">
        <v>64</v>
      </c>
      <c r="G2629" s="16" t="s">
        <v>64</v>
      </c>
    </row>
    <row r="2630" spans="1:7" x14ac:dyDescent="0.2">
      <c r="A2630" t="s">
        <v>64</v>
      </c>
      <c r="B2630" t="s">
        <v>64</v>
      </c>
      <c r="C2630" s="3" t="s">
        <v>64</v>
      </c>
      <c r="D2630" s="16" t="s">
        <v>64</v>
      </c>
      <c r="E2630" s="16">
        <v>0</v>
      </c>
      <c r="F2630" s="16" t="s">
        <v>64</v>
      </c>
      <c r="G2630" s="16" t="s">
        <v>64</v>
      </c>
    </row>
    <row r="2631" spans="1:7" x14ac:dyDescent="0.2">
      <c r="A2631" t="s">
        <v>64</v>
      </c>
      <c r="B2631" t="s">
        <v>64</v>
      </c>
      <c r="C2631" s="3" t="s">
        <v>64</v>
      </c>
      <c r="D2631" s="16" t="s">
        <v>64</v>
      </c>
      <c r="E2631" s="16">
        <v>0</v>
      </c>
      <c r="F2631" s="16" t="s">
        <v>64</v>
      </c>
      <c r="G2631" s="16" t="s">
        <v>64</v>
      </c>
    </row>
    <row r="2632" spans="1:7" x14ac:dyDescent="0.2">
      <c r="A2632" t="s">
        <v>64</v>
      </c>
      <c r="B2632" t="s">
        <v>64</v>
      </c>
      <c r="C2632" s="3" t="s">
        <v>64</v>
      </c>
      <c r="D2632" s="16" t="s">
        <v>64</v>
      </c>
      <c r="E2632" s="16">
        <v>0</v>
      </c>
      <c r="F2632" s="16" t="s">
        <v>64</v>
      </c>
      <c r="G2632" s="16" t="s">
        <v>64</v>
      </c>
    </row>
    <row r="2633" spans="1:7" x14ac:dyDescent="0.2">
      <c r="A2633" t="s">
        <v>64</v>
      </c>
      <c r="B2633" t="s">
        <v>64</v>
      </c>
      <c r="C2633" s="3" t="s">
        <v>64</v>
      </c>
      <c r="D2633" s="16" t="s">
        <v>64</v>
      </c>
      <c r="E2633" s="16">
        <v>0</v>
      </c>
      <c r="F2633" s="16" t="s">
        <v>64</v>
      </c>
      <c r="G2633" s="16" t="s">
        <v>64</v>
      </c>
    </row>
    <row r="2634" spans="1:7" x14ac:dyDescent="0.2">
      <c r="A2634" t="s">
        <v>64</v>
      </c>
      <c r="B2634" t="s">
        <v>64</v>
      </c>
      <c r="C2634" s="3" t="s">
        <v>64</v>
      </c>
      <c r="D2634" s="16" t="s">
        <v>64</v>
      </c>
      <c r="E2634" s="16">
        <v>0</v>
      </c>
      <c r="F2634" s="16" t="s">
        <v>64</v>
      </c>
      <c r="G2634" s="16" t="s">
        <v>64</v>
      </c>
    </row>
    <row r="2635" spans="1:7" x14ac:dyDescent="0.2">
      <c r="A2635" t="s">
        <v>64</v>
      </c>
      <c r="B2635" t="s">
        <v>64</v>
      </c>
      <c r="C2635" s="3" t="s">
        <v>64</v>
      </c>
      <c r="D2635" s="16" t="s">
        <v>64</v>
      </c>
      <c r="E2635" s="16">
        <v>0</v>
      </c>
      <c r="F2635" s="16" t="s">
        <v>64</v>
      </c>
      <c r="G2635" s="16" t="s">
        <v>64</v>
      </c>
    </row>
    <row r="2636" spans="1:7" x14ac:dyDescent="0.2">
      <c r="A2636" t="s">
        <v>64</v>
      </c>
      <c r="B2636" t="s">
        <v>64</v>
      </c>
      <c r="C2636" s="3" t="s">
        <v>64</v>
      </c>
      <c r="D2636" s="16" t="s">
        <v>64</v>
      </c>
      <c r="E2636" s="16">
        <v>0</v>
      </c>
      <c r="F2636" s="16" t="s">
        <v>64</v>
      </c>
      <c r="G2636" s="16" t="s">
        <v>64</v>
      </c>
    </row>
    <row r="2637" spans="1:7" x14ac:dyDescent="0.2">
      <c r="A2637" t="s">
        <v>64</v>
      </c>
      <c r="B2637" t="s">
        <v>64</v>
      </c>
      <c r="C2637" s="3" t="s">
        <v>64</v>
      </c>
      <c r="D2637" s="16" t="s">
        <v>64</v>
      </c>
      <c r="E2637" s="16">
        <v>0</v>
      </c>
      <c r="F2637" s="16" t="s">
        <v>64</v>
      </c>
      <c r="G2637" s="16" t="s">
        <v>64</v>
      </c>
    </row>
    <row r="2638" spans="1:7" x14ac:dyDescent="0.2">
      <c r="A2638" t="s">
        <v>64</v>
      </c>
      <c r="B2638" t="s">
        <v>64</v>
      </c>
      <c r="C2638" s="3" t="s">
        <v>64</v>
      </c>
      <c r="D2638" s="16" t="s">
        <v>64</v>
      </c>
      <c r="E2638" s="16">
        <v>0</v>
      </c>
      <c r="F2638" s="16" t="s">
        <v>64</v>
      </c>
      <c r="G2638" s="16" t="s">
        <v>64</v>
      </c>
    </row>
    <row r="2639" spans="1:7" x14ac:dyDescent="0.2">
      <c r="A2639" t="s">
        <v>64</v>
      </c>
      <c r="B2639" t="s">
        <v>64</v>
      </c>
      <c r="C2639" s="3" t="s">
        <v>64</v>
      </c>
      <c r="D2639" s="16" t="s">
        <v>64</v>
      </c>
      <c r="E2639" s="16">
        <v>0</v>
      </c>
      <c r="F2639" s="16" t="s">
        <v>64</v>
      </c>
      <c r="G2639" s="16" t="s">
        <v>64</v>
      </c>
    </row>
    <row r="2640" spans="1:7" x14ac:dyDescent="0.2">
      <c r="A2640" t="s">
        <v>64</v>
      </c>
      <c r="B2640" t="s">
        <v>64</v>
      </c>
      <c r="C2640" s="3" t="s">
        <v>64</v>
      </c>
      <c r="D2640" s="16" t="s">
        <v>64</v>
      </c>
      <c r="E2640" s="16">
        <v>0</v>
      </c>
      <c r="F2640" s="16" t="s">
        <v>64</v>
      </c>
      <c r="G2640" s="16" t="s">
        <v>64</v>
      </c>
    </row>
    <row r="2641" spans="1:7" x14ac:dyDescent="0.2">
      <c r="A2641" t="s">
        <v>64</v>
      </c>
      <c r="B2641" t="s">
        <v>64</v>
      </c>
      <c r="C2641" s="3" t="s">
        <v>64</v>
      </c>
      <c r="D2641" s="16" t="s">
        <v>64</v>
      </c>
      <c r="E2641" s="16">
        <v>0</v>
      </c>
      <c r="F2641" s="16" t="s">
        <v>64</v>
      </c>
      <c r="G2641" s="16" t="s">
        <v>64</v>
      </c>
    </row>
    <row r="2642" spans="1:7" x14ac:dyDescent="0.2">
      <c r="A2642" t="s">
        <v>64</v>
      </c>
      <c r="B2642" t="s">
        <v>64</v>
      </c>
      <c r="C2642" s="3" t="s">
        <v>64</v>
      </c>
      <c r="D2642" s="16" t="s">
        <v>64</v>
      </c>
      <c r="E2642" s="16">
        <v>0</v>
      </c>
      <c r="F2642" s="16" t="s">
        <v>64</v>
      </c>
      <c r="G2642" s="16" t="s">
        <v>64</v>
      </c>
    </row>
    <row r="2643" spans="1:7" x14ac:dyDescent="0.2">
      <c r="A2643" t="s">
        <v>64</v>
      </c>
      <c r="B2643" t="s">
        <v>64</v>
      </c>
      <c r="C2643" s="3" t="s">
        <v>64</v>
      </c>
      <c r="D2643" s="16" t="s">
        <v>64</v>
      </c>
      <c r="E2643" s="16">
        <v>0</v>
      </c>
      <c r="F2643" s="16" t="s">
        <v>64</v>
      </c>
      <c r="G2643" s="16" t="s">
        <v>64</v>
      </c>
    </row>
    <row r="2644" spans="1:7" x14ac:dyDescent="0.2">
      <c r="A2644" t="s">
        <v>64</v>
      </c>
      <c r="B2644" t="s">
        <v>64</v>
      </c>
      <c r="C2644" s="3" t="s">
        <v>64</v>
      </c>
      <c r="D2644" s="16" t="s">
        <v>64</v>
      </c>
      <c r="E2644" s="16">
        <v>0</v>
      </c>
      <c r="F2644" s="16" t="s">
        <v>64</v>
      </c>
      <c r="G2644" s="16" t="s">
        <v>64</v>
      </c>
    </row>
    <row r="2645" spans="1:7" x14ac:dyDescent="0.2">
      <c r="A2645" t="s">
        <v>64</v>
      </c>
      <c r="B2645" t="s">
        <v>64</v>
      </c>
      <c r="C2645" s="3" t="s">
        <v>64</v>
      </c>
      <c r="D2645" s="16" t="s">
        <v>64</v>
      </c>
      <c r="E2645" s="16">
        <v>0</v>
      </c>
      <c r="F2645" s="16" t="s">
        <v>64</v>
      </c>
      <c r="G2645" s="16" t="s">
        <v>64</v>
      </c>
    </row>
    <row r="2646" spans="1:7" x14ac:dyDescent="0.2">
      <c r="A2646" t="s">
        <v>64</v>
      </c>
      <c r="B2646" t="s">
        <v>64</v>
      </c>
      <c r="C2646" s="3" t="s">
        <v>64</v>
      </c>
      <c r="D2646" s="16" t="s">
        <v>64</v>
      </c>
      <c r="E2646" s="16">
        <v>0</v>
      </c>
      <c r="F2646" s="16" t="s">
        <v>64</v>
      </c>
      <c r="G2646" s="16" t="s">
        <v>64</v>
      </c>
    </row>
    <row r="2647" spans="1:7" x14ac:dyDescent="0.2">
      <c r="A2647" t="s">
        <v>64</v>
      </c>
      <c r="B2647" t="s">
        <v>64</v>
      </c>
      <c r="C2647" s="3" t="s">
        <v>64</v>
      </c>
      <c r="D2647" s="16" t="s">
        <v>64</v>
      </c>
      <c r="E2647" s="16">
        <v>0</v>
      </c>
      <c r="F2647" s="16" t="s">
        <v>64</v>
      </c>
      <c r="G2647" s="16" t="s">
        <v>64</v>
      </c>
    </row>
    <row r="2648" spans="1:7" x14ac:dyDescent="0.2">
      <c r="A2648" t="s">
        <v>64</v>
      </c>
      <c r="B2648" t="s">
        <v>64</v>
      </c>
      <c r="C2648" s="3" t="s">
        <v>64</v>
      </c>
      <c r="D2648" s="16" t="s">
        <v>64</v>
      </c>
      <c r="E2648" s="16">
        <v>0</v>
      </c>
      <c r="F2648" s="16" t="s">
        <v>64</v>
      </c>
      <c r="G2648" s="16" t="s">
        <v>64</v>
      </c>
    </row>
    <row r="2649" spans="1:7" x14ac:dyDescent="0.2">
      <c r="A2649" t="s">
        <v>64</v>
      </c>
      <c r="B2649" t="s">
        <v>64</v>
      </c>
      <c r="C2649" s="3" t="s">
        <v>64</v>
      </c>
      <c r="D2649" s="16" t="s">
        <v>64</v>
      </c>
      <c r="E2649" s="16">
        <v>0</v>
      </c>
      <c r="F2649" s="16" t="s">
        <v>64</v>
      </c>
      <c r="G2649" s="16" t="s">
        <v>64</v>
      </c>
    </row>
    <row r="2650" spans="1:7" x14ac:dyDescent="0.2">
      <c r="A2650" t="s">
        <v>64</v>
      </c>
      <c r="B2650" t="s">
        <v>64</v>
      </c>
      <c r="C2650" s="3" t="s">
        <v>64</v>
      </c>
      <c r="D2650" s="16" t="s">
        <v>64</v>
      </c>
      <c r="E2650" s="16">
        <v>0</v>
      </c>
      <c r="F2650" s="16" t="s">
        <v>64</v>
      </c>
      <c r="G2650" s="16" t="s">
        <v>64</v>
      </c>
    </row>
    <row r="2651" spans="1:7" x14ac:dyDescent="0.2">
      <c r="A2651" t="s">
        <v>64</v>
      </c>
      <c r="B2651" t="s">
        <v>64</v>
      </c>
      <c r="C2651" s="3" t="s">
        <v>64</v>
      </c>
      <c r="D2651" s="16" t="s">
        <v>64</v>
      </c>
      <c r="E2651" s="16">
        <v>0</v>
      </c>
      <c r="F2651" s="16" t="s">
        <v>64</v>
      </c>
      <c r="G2651" s="16" t="s">
        <v>64</v>
      </c>
    </row>
    <row r="2652" spans="1:7" x14ac:dyDescent="0.2">
      <c r="A2652" t="s">
        <v>64</v>
      </c>
      <c r="B2652" t="s">
        <v>64</v>
      </c>
      <c r="C2652" s="3" t="s">
        <v>64</v>
      </c>
      <c r="D2652" s="16" t="s">
        <v>64</v>
      </c>
      <c r="E2652" s="16">
        <v>0</v>
      </c>
      <c r="F2652" s="16" t="s">
        <v>64</v>
      </c>
      <c r="G2652" s="16" t="s">
        <v>64</v>
      </c>
    </row>
    <row r="2653" spans="1:7" x14ac:dyDescent="0.2">
      <c r="A2653" t="s">
        <v>64</v>
      </c>
      <c r="B2653" t="s">
        <v>64</v>
      </c>
      <c r="C2653" s="3" t="s">
        <v>64</v>
      </c>
      <c r="D2653" s="16" t="s">
        <v>64</v>
      </c>
      <c r="E2653" s="16">
        <v>0</v>
      </c>
      <c r="F2653" s="16" t="s">
        <v>64</v>
      </c>
      <c r="G2653" s="16" t="s">
        <v>64</v>
      </c>
    </row>
    <row r="2654" spans="1:7" x14ac:dyDescent="0.2">
      <c r="A2654" t="s">
        <v>64</v>
      </c>
      <c r="B2654" t="s">
        <v>64</v>
      </c>
      <c r="C2654" s="3" t="s">
        <v>64</v>
      </c>
      <c r="D2654" s="16" t="s">
        <v>64</v>
      </c>
      <c r="E2654" s="16">
        <v>0</v>
      </c>
      <c r="F2654" s="16" t="s">
        <v>64</v>
      </c>
      <c r="G2654" s="16" t="s">
        <v>64</v>
      </c>
    </row>
    <row r="2655" spans="1:7" x14ac:dyDescent="0.2">
      <c r="A2655" t="s">
        <v>64</v>
      </c>
      <c r="B2655" t="s">
        <v>64</v>
      </c>
      <c r="C2655" s="3" t="s">
        <v>64</v>
      </c>
      <c r="D2655" s="16" t="s">
        <v>64</v>
      </c>
      <c r="E2655" s="16">
        <v>0</v>
      </c>
      <c r="F2655" s="16" t="s">
        <v>64</v>
      </c>
      <c r="G2655" s="16" t="s">
        <v>64</v>
      </c>
    </row>
    <row r="2656" spans="1:7" x14ac:dyDescent="0.2">
      <c r="A2656" t="s">
        <v>64</v>
      </c>
      <c r="B2656" t="s">
        <v>64</v>
      </c>
      <c r="C2656" s="3" t="s">
        <v>64</v>
      </c>
      <c r="D2656" s="16" t="s">
        <v>64</v>
      </c>
      <c r="E2656" s="16">
        <v>0</v>
      </c>
      <c r="F2656" s="16" t="s">
        <v>64</v>
      </c>
      <c r="G2656" s="16" t="s">
        <v>64</v>
      </c>
    </row>
    <row r="2657" spans="1:7" x14ac:dyDescent="0.2">
      <c r="A2657" t="s">
        <v>64</v>
      </c>
      <c r="B2657" t="s">
        <v>64</v>
      </c>
      <c r="C2657" s="3" t="s">
        <v>64</v>
      </c>
      <c r="D2657" s="16" t="s">
        <v>64</v>
      </c>
      <c r="E2657" s="16">
        <v>0</v>
      </c>
      <c r="F2657" s="16" t="s">
        <v>64</v>
      </c>
      <c r="G2657" s="16" t="s">
        <v>64</v>
      </c>
    </row>
    <row r="2658" spans="1:7" x14ac:dyDescent="0.2">
      <c r="A2658" t="s">
        <v>64</v>
      </c>
      <c r="B2658" t="s">
        <v>64</v>
      </c>
      <c r="C2658" s="3" t="s">
        <v>64</v>
      </c>
      <c r="D2658" s="16" t="s">
        <v>64</v>
      </c>
      <c r="E2658" s="16">
        <v>0</v>
      </c>
      <c r="F2658" s="16" t="s">
        <v>64</v>
      </c>
      <c r="G2658" s="16" t="s">
        <v>64</v>
      </c>
    </row>
    <row r="2659" spans="1:7" x14ac:dyDescent="0.2">
      <c r="A2659" t="s">
        <v>64</v>
      </c>
      <c r="B2659" t="s">
        <v>64</v>
      </c>
      <c r="C2659" s="3" t="s">
        <v>64</v>
      </c>
      <c r="D2659" s="16" t="s">
        <v>64</v>
      </c>
      <c r="E2659" s="16">
        <v>0</v>
      </c>
      <c r="F2659" s="16" t="s">
        <v>64</v>
      </c>
      <c r="G2659" s="16" t="s">
        <v>64</v>
      </c>
    </row>
    <row r="2660" spans="1:7" x14ac:dyDescent="0.2">
      <c r="A2660" t="s">
        <v>64</v>
      </c>
      <c r="B2660" t="s">
        <v>64</v>
      </c>
      <c r="C2660" s="3" t="s">
        <v>64</v>
      </c>
      <c r="D2660" s="16" t="s">
        <v>64</v>
      </c>
      <c r="E2660" s="16">
        <v>0</v>
      </c>
      <c r="F2660" s="16" t="s">
        <v>64</v>
      </c>
      <c r="G2660" s="16" t="s">
        <v>64</v>
      </c>
    </row>
    <row r="2661" spans="1:7" x14ac:dyDescent="0.2">
      <c r="A2661" t="s">
        <v>64</v>
      </c>
      <c r="B2661" t="s">
        <v>64</v>
      </c>
      <c r="C2661" s="3" t="s">
        <v>64</v>
      </c>
      <c r="D2661" s="16" t="s">
        <v>64</v>
      </c>
      <c r="E2661" s="16">
        <v>0</v>
      </c>
      <c r="F2661" s="16" t="s">
        <v>64</v>
      </c>
      <c r="G2661" s="16" t="s">
        <v>64</v>
      </c>
    </row>
    <row r="2662" spans="1:7" x14ac:dyDescent="0.2">
      <c r="A2662" t="s">
        <v>64</v>
      </c>
      <c r="B2662" t="s">
        <v>64</v>
      </c>
      <c r="C2662" s="3" t="s">
        <v>64</v>
      </c>
      <c r="D2662" s="16" t="s">
        <v>64</v>
      </c>
      <c r="E2662" s="16">
        <v>0</v>
      </c>
      <c r="F2662" s="16" t="s">
        <v>64</v>
      </c>
      <c r="G2662" s="16" t="s">
        <v>64</v>
      </c>
    </row>
    <row r="2663" spans="1:7" x14ac:dyDescent="0.2">
      <c r="A2663" t="s">
        <v>64</v>
      </c>
      <c r="B2663" t="s">
        <v>64</v>
      </c>
      <c r="C2663" s="3" t="s">
        <v>64</v>
      </c>
      <c r="D2663" s="16" t="s">
        <v>64</v>
      </c>
      <c r="E2663" s="16">
        <v>0</v>
      </c>
      <c r="F2663" s="16" t="s">
        <v>64</v>
      </c>
      <c r="G2663" s="16" t="s">
        <v>64</v>
      </c>
    </row>
    <row r="2664" spans="1:7" x14ac:dyDescent="0.2">
      <c r="A2664" t="s">
        <v>64</v>
      </c>
      <c r="B2664" t="s">
        <v>64</v>
      </c>
      <c r="C2664" s="3" t="s">
        <v>64</v>
      </c>
      <c r="D2664" s="16" t="s">
        <v>64</v>
      </c>
      <c r="E2664" s="16">
        <v>0</v>
      </c>
      <c r="F2664" s="16" t="s">
        <v>64</v>
      </c>
      <c r="G2664" s="16" t="s">
        <v>64</v>
      </c>
    </row>
    <row r="2665" spans="1:7" x14ac:dyDescent="0.2">
      <c r="A2665" t="s">
        <v>64</v>
      </c>
      <c r="B2665" t="s">
        <v>64</v>
      </c>
      <c r="C2665" s="3" t="s">
        <v>64</v>
      </c>
      <c r="D2665" s="16" t="s">
        <v>64</v>
      </c>
      <c r="E2665" s="16">
        <v>0</v>
      </c>
      <c r="F2665" s="16" t="s">
        <v>64</v>
      </c>
      <c r="G2665" s="16" t="s">
        <v>64</v>
      </c>
    </row>
    <row r="2666" spans="1:7" x14ac:dyDescent="0.2">
      <c r="A2666" t="s">
        <v>64</v>
      </c>
      <c r="B2666" t="s">
        <v>64</v>
      </c>
      <c r="C2666" s="3" t="s">
        <v>64</v>
      </c>
      <c r="D2666" s="16" t="s">
        <v>64</v>
      </c>
      <c r="E2666" s="16">
        <v>0</v>
      </c>
      <c r="F2666" s="16" t="s">
        <v>64</v>
      </c>
      <c r="G2666" s="16" t="s">
        <v>64</v>
      </c>
    </row>
    <row r="2667" spans="1:7" x14ac:dyDescent="0.2">
      <c r="A2667" t="s">
        <v>64</v>
      </c>
      <c r="B2667" t="s">
        <v>64</v>
      </c>
      <c r="C2667" s="3" t="s">
        <v>64</v>
      </c>
      <c r="D2667" s="16" t="s">
        <v>64</v>
      </c>
      <c r="E2667" s="16">
        <v>0</v>
      </c>
      <c r="F2667" s="16" t="s">
        <v>64</v>
      </c>
      <c r="G2667" s="16" t="s">
        <v>64</v>
      </c>
    </row>
    <row r="2668" spans="1:7" x14ac:dyDescent="0.2">
      <c r="A2668" t="s">
        <v>64</v>
      </c>
      <c r="B2668" t="s">
        <v>64</v>
      </c>
      <c r="C2668" s="3" t="s">
        <v>64</v>
      </c>
      <c r="D2668" s="16" t="s">
        <v>64</v>
      </c>
      <c r="E2668" s="16">
        <v>0</v>
      </c>
      <c r="F2668" s="16" t="s">
        <v>64</v>
      </c>
      <c r="G2668" s="16" t="s">
        <v>64</v>
      </c>
    </row>
    <row r="2669" spans="1:7" x14ac:dyDescent="0.2">
      <c r="A2669" t="s">
        <v>64</v>
      </c>
      <c r="B2669" t="s">
        <v>64</v>
      </c>
      <c r="C2669" s="3" t="s">
        <v>64</v>
      </c>
      <c r="D2669" s="16" t="s">
        <v>64</v>
      </c>
      <c r="E2669" s="16">
        <v>0</v>
      </c>
      <c r="F2669" s="16" t="s">
        <v>64</v>
      </c>
      <c r="G2669" s="16" t="s">
        <v>64</v>
      </c>
    </row>
    <row r="2670" spans="1:7" x14ac:dyDescent="0.2">
      <c r="A2670" t="s">
        <v>64</v>
      </c>
      <c r="B2670" t="s">
        <v>64</v>
      </c>
      <c r="C2670" s="3" t="s">
        <v>64</v>
      </c>
      <c r="D2670" s="16" t="s">
        <v>64</v>
      </c>
      <c r="E2670" s="16">
        <v>0</v>
      </c>
      <c r="F2670" s="16" t="s">
        <v>64</v>
      </c>
      <c r="G2670" s="16" t="s">
        <v>64</v>
      </c>
    </row>
    <row r="2671" spans="1:7" x14ac:dyDescent="0.2">
      <c r="A2671" t="s">
        <v>64</v>
      </c>
      <c r="B2671" t="s">
        <v>64</v>
      </c>
      <c r="C2671" s="3" t="s">
        <v>64</v>
      </c>
      <c r="D2671" s="16" t="s">
        <v>64</v>
      </c>
      <c r="E2671" s="16">
        <v>0</v>
      </c>
      <c r="F2671" s="16" t="s">
        <v>64</v>
      </c>
      <c r="G2671" s="16" t="s">
        <v>64</v>
      </c>
    </row>
    <row r="2672" spans="1:7" x14ac:dyDescent="0.2">
      <c r="A2672" t="s">
        <v>64</v>
      </c>
      <c r="B2672" t="s">
        <v>64</v>
      </c>
      <c r="C2672" s="3" t="s">
        <v>64</v>
      </c>
      <c r="D2672" s="16" t="s">
        <v>64</v>
      </c>
      <c r="E2672" s="16">
        <v>0</v>
      </c>
      <c r="F2672" s="16" t="s">
        <v>64</v>
      </c>
      <c r="G2672" s="16" t="s">
        <v>64</v>
      </c>
    </row>
    <row r="2673" spans="1:7" x14ac:dyDescent="0.2">
      <c r="A2673" t="s">
        <v>64</v>
      </c>
      <c r="B2673" t="s">
        <v>64</v>
      </c>
      <c r="C2673" s="3" t="s">
        <v>64</v>
      </c>
      <c r="D2673" s="16" t="s">
        <v>64</v>
      </c>
      <c r="E2673" s="16">
        <v>0</v>
      </c>
      <c r="F2673" s="16" t="s">
        <v>64</v>
      </c>
      <c r="G2673" s="16" t="s">
        <v>64</v>
      </c>
    </row>
    <row r="2674" spans="1:7" x14ac:dyDescent="0.2">
      <c r="A2674" t="s">
        <v>64</v>
      </c>
      <c r="B2674" t="s">
        <v>64</v>
      </c>
      <c r="C2674" s="3" t="s">
        <v>64</v>
      </c>
      <c r="D2674" s="16" t="s">
        <v>64</v>
      </c>
      <c r="E2674" s="16">
        <v>0</v>
      </c>
      <c r="F2674" s="16" t="s">
        <v>64</v>
      </c>
      <c r="G2674" s="16" t="s">
        <v>64</v>
      </c>
    </row>
    <row r="2675" spans="1:7" x14ac:dyDescent="0.2">
      <c r="A2675" t="s">
        <v>64</v>
      </c>
      <c r="B2675" t="s">
        <v>64</v>
      </c>
      <c r="C2675" s="3" t="s">
        <v>64</v>
      </c>
      <c r="D2675" s="16" t="s">
        <v>64</v>
      </c>
      <c r="E2675" s="16">
        <v>0</v>
      </c>
      <c r="F2675" s="16" t="s">
        <v>64</v>
      </c>
      <c r="G2675" s="16" t="s">
        <v>64</v>
      </c>
    </row>
    <row r="2676" spans="1:7" x14ac:dyDescent="0.2">
      <c r="A2676" t="s">
        <v>64</v>
      </c>
      <c r="B2676" t="s">
        <v>64</v>
      </c>
      <c r="C2676" s="3" t="s">
        <v>64</v>
      </c>
      <c r="D2676" s="16" t="s">
        <v>64</v>
      </c>
      <c r="E2676" s="16">
        <v>0</v>
      </c>
      <c r="F2676" s="16" t="s">
        <v>64</v>
      </c>
      <c r="G2676" s="16" t="s">
        <v>64</v>
      </c>
    </row>
    <row r="2677" spans="1:7" x14ac:dyDescent="0.2">
      <c r="A2677" t="s">
        <v>64</v>
      </c>
      <c r="B2677" t="s">
        <v>64</v>
      </c>
      <c r="C2677" s="3" t="s">
        <v>64</v>
      </c>
      <c r="D2677" s="16" t="s">
        <v>64</v>
      </c>
      <c r="E2677" s="16">
        <v>0</v>
      </c>
      <c r="F2677" s="16" t="s">
        <v>64</v>
      </c>
      <c r="G2677" s="16" t="s">
        <v>64</v>
      </c>
    </row>
    <row r="2678" spans="1:7" x14ac:dyDescent="0.2">
      <c r="A2678" t="s">
        <v>64</v>
      </c>
      <c r="B2678" t="s">
        <v>64</v>
      </c>
      <c r="C2678" s="3" t="s">
        <v>64</v>
      </c>
      <c r="D2678" s="16" t="s">
        <v>64</v>
      </c>
      <c r="E2678" s="16">
        <v>0</v>
      </c>
      <c r="F2678" s="16" t="s">
        <v>64</v>
      </c>
      <c r="G2678" s="16" t="s">
        <v>64</v>
      </c>
    </row>
    <row r="2679" spans="1:7" x14ac:dyDescent="0.2">
      <c r="A2679" t="s">
        <v>64</v>
      </c>
      <c r="B2679" t="s">
        <v>64</v>
      </c>
      <c r="C2679" s="3" t="s">
        <v>64</v>
      </c>
      <c r="D2679" s="16" t="s">
        <v>64</v>
      </c>
      <c r="E2679" s="16">
        <v>0</v>
      </c>
      <c r="F2679" s="16" t="s">
        <v>64</v>
      </c>
      <c r="G2679" s="16" t="s">
        <v>64</v>
      </c>
    </row>
    <row r="2680" spans="1:7" x14ac:dyDescent="0.2">
      <c r="A2680" t="s">
        <v>64</v>
      </c>
      <c r="B2680" t="s">
        <v>64</v>
      </c>
      <c r="C2680" s="3" t="s">
        <v>64</v>
      </c>
      <c r="D2680" s="16" t="s">
        <v>64</v>
      </c>
      <c r="E2680" s="16">
        <v>0</v>
      </c>
      <c r="F2680" s="16" t="s">
        <v>64</v>
      </c>
      <c r="G2680" s="16" t="s">
        <v>64</v>
      </c>
    </row>
    <row r="2681" spans="1:7" x14ac:dyDescent="0.2">
      <c r="A2681" t="s">
        <v>64</v>
      </c>
      <c r="B2681" t="s">
        <v>64</v>
      </c>
      <c r="C2681" s="3" t="s">
        <v>64</v>
      </c>
      <c r="D2681" s="16" t="s">
        <v>64</v>
      </c>
      <c r="E2681" s="16">
        <v>0</v>
      </c>
      <c r="F2681" s="16" t="s">
        <v>64</v>
      </c>
      <c r="G2681" s="16" t="s">
        <v>64</v>
      </c>
    </row>
    <row r="2682" spans="1:7" x14ac:dyDescent="0.2">
      <c r="A2682" t="s">
        <v>64</v>
      </c>
      <c r="B2682" t="s">
        <v>64</v>
      </c>
      <c r="C2682" s="3" t="s">
        <v>64</v>
      </c>
      <c r="D2682" s="16" t="s">
        <v>64</v>
      </c>
      <c r="E2682" s="16">
        <v>0</v>
      </c>
      <c r="F2682" s="16" t="s">
        <v>64</v>
      </c>
      <c r="G2682" s="16" t="s">
        <v>64</v>
      </c>
    </row>
    <row r="2683" spans="1:7" x14ac:dyDescent="0.2">
      <c r="A2683" t="s">
        <v>64</v>
      </c>
      <c r="B2683" t="s">
        <v>64</v>
      </c>
      <c r="C2683" s="3" t="s">
        <v>64</v>
      </c>
      <c r="D2683" s="16" t="s">
        <v>64</v>
      </c>
      <c r="E2683" s="16">
        <v>0</v>
      </c>
      <c r="F2683" s="16" t="s">
        <v>64</v>
      </c>
      <c r="G2683" s="16" t="s">
        <v>64</v>
      </c>
    </row>
    <row r="2684" spans="1:7" x14ac:dyDescent="0.2">
      <c r="A2684" t="s">
        <v>64</v>
      </c>
      <c r="B2684" t="s">
        <v>64</v>
      </c>
      <c r="C2684" s="3" t="s">
        <v>64</v>
      </c>
      <c r="D2684" s="16" t="s">
        <v>64</v>
      </c>
      <c r="E2684" s="16">
        <v>0</v>
      </c>
      <c r="F2684" s="16" t="s">
        <v>64</v>
      </c>
      <c r="G2684" s="16" t="s">
        <v>64</v>
      </c>
    </row>
    <row r="2685" spans="1:7" x14ac:dyDescent="0.2">
      <c r="A2685" t="s">
        <v>64</v>
      </c>
      <c r="B2685" t="s">
        <v>64</v>
      </c>
      <c r="C2685" s="3" t="s">
        <v>64</v>
      </c>
      <c r="D2685" s="16" t="s">
        <v>64</v>
      </c>
      <c r="E2685" s="16">
        <v>0</v>
      </c>
      <c r="F2685" s="16" t="s">
        <v>64</v>
      </c>
      <c r="G2685" s="16" t="s">
        <v>64</v>
      </c>
    </row>
    <row r="2686" spans="1:7" x14ac:dyDescent="0.2">
      <c r="A2686" t="s">
        <v>64</v>
      </c>
      <c r="B2686" t="s">
        <v>64</v>
      </c>
      <c r="C2686" s="3" t="s">
        <v>64</v>
      </c>
      <c r="D2686" s="16" t="s">
        <v>64</v>
      </c>
      <c r="E2686" s="16">
        <v>0</v>
      </c>
      <c r="F2686" s="16" t="s">
        <v>64</v>
      </c>
      <c r="G2686" s="16" t="s">
        <v>64</v>
      </c>
    </row>
    <row r="2687" spans="1:7" x14ac:dyDescent="0.2">
      <c r="A2687" t="s">
        <v>64</v>
      </c>
      <c r="B2687" t="s">
        <v>64</v>
      </c>
      <c r="C2687" s="3" t="s">
        <v>64</v>
      </c>
      <c r="D2687" s="16" t="s">
        <v>64</v>
      </c>
      <c r="E2687" s="16">
        <v>0</v>
      </c>
      <c r="F2687" s="16" t="s">
        <v>64</v>
      </c>
      <c r="G2687" s="16" t="s">
        <v>64</v>
      </c>
    </row>
    <row r="2688" spans="1:7" x14ac:dyDescent="0.2">
      <c r="A2688" t="s">
        <v>64</v>
      </c>
      <c r="B2688" t="s">
        <v>64</v>
      </c>
      <c r="C2688" s="3" t="s">
        <v>64</v>
      </c>
      <c r="D2688" s="16" t="s">
        <v>64</v>
      </c>
      <c r="E2688" s="16">
        <v>0</v>
      </c>
      <c r="F2688" s="16" t="s">
        <v>64</v>
      </c>
      <c r="G2688" s="16" t="s">
        <v>64</v>
      </c>
    </row>
    <row r="2689" spans="1:7" x14ac:dyDescent="0.2">
      <c r="A2689" t="s">
        <v>64</v>
      </c>
      <c r="B2689" t="s">
        <v>64</v>
      </c>
      <c r="C2689" s="3" t="s">
        <v>64</v>
      </c>
      <c r="D2689" s="16" t="s">
        <v>64</v>
      </c>
      <c r="E2689" s="16">
        <v>0</v>
      </c>
      <c r="F2689" s="16" t="s">
        <v>64</v>
      </c>
      <c r="G2689" s="16" t="s">
        <v>64</v>
      </c>
    </row>
    <row r="2690" spans="1:7" x14ac:dyDescent="0.2">
      <c r="A2690" t="s">
        <v>64</v>
      </c>
      <c r="B2690" t="s">
        <v>64</v>
      </c>
      <c r="C2690" s="3" t="s">
        <v>64</v>
      </c>
      <c r="D2690" s="16" t="s">
        <v>64</v>
      </c>
      <c r="E2690" s="16">
        <v>0</v>
      </c>
      <c r="F2690" s="16" t="s">
        <v>64</v>
      </c>
      <c r="G2690" s="16" t="s">
        <v>64</v>
      </c>
    </row>
    <row r="2691" spans="1:7" x14ac:dyDescent="0.2">
      <c r="A2691" t="s">
        <v>64</v>
      </c>
      <c r="B2691" t="s">
        <v>64</v>
      </c>
      <c r="C2691" s="3" t="s">
        <v>64</v>
      </c>
      <c r="D2691" s="16" t="s">
        <v>64</v>
      </c>
      <c r="E2691" s="16">
        <v>0</v>
      </c>
      <c r="F2691" s="16" t="s">
        <v>64</v>
      </c>
      <c r="G2691" s="16" t="s">
        <v>64</v>
      </c>
    </row>
    <row r="2692" spans="1:7" x14ac:dyDescent="0.2">
      <c r="A2692" t="s">
        <v>64</v>
      </c>
      <c r="B2692" t="s">
        <v>64</v>
      </c>
      <c r="C2692" s="3" t="s">
        <v>64</v>
      </c>
      <c r="D2692" s="16" t="s">
        <v>64</v>
      </c>
      <c r="E2692" s="16">
        <v>0</v>
      </c>
      <c r="F2692" s="16" t="s">
        <v>64</v>
      </c>
      <c r="G2692" s="16" t="s">
        <v>64</v>
      </c>
    </row>
    <row r="2693" spans="1:7" x14ac:dyDescent="0.2">
      <c r="A2693" t="s">
        <v>64</v>
      </c>
      <c r="B2693" t="s">
        <v>64</v>
      </c>
      <c r="C2693" s="3" t="s">
        <v>64</v>
      </c>
      <c r="D2693" s="16" t="s">
        <v>64</v>
      </c>
      <c r="E2693" s="16">
        <v>0</v>
      </c>
      <c r="F2693" s="16" t="s">
        <v>64</v>
      </c>
      <c r="G2693" s="16" t="s">
        <v>64</v>
      </c>
    </row>
    <row r="2694" spans="1:7" x14ac:dyDescent="0.2">
      <c r="A2694" t="s">
        <v>64</v>
      </c>
      <c r="B2694" t="s">
        <v>64</v>
      </c>
      <c r="C2694" s="3" t="s">
        <v>64</v>
      </c>
      <c r="D2694" s="16" t="s">
        <v>64</v>
      </c>
      <c r="E2694" s="16">
        <v>0</v>
      </c>
      <c r="F2694" s="16" t="s">
        <v>64</v>
      </c>
      <c r="G2694" s="16" t="s">
        <v>64</v>
      </c>
    </row>
    <row r="2695" spans="1:7" x14ac:dyDescent="0.2">
      <c r="A2695" t="s">
        <v>64</v>
      </c>
      <c r="B2695" t="s">
        <v>64</v>
      </c>
      <c r="C2695" s="3" t="s">
        <v>64</v>
      </c>
      <c r="D2695" s="16" t="s">
        <v>64</v>
      </c>
      <c r="E2695" s="16">
        <v>0</v>
      </c>
      <c r="F2695" s="16" t="s">
        <v>64</v>
      </c>
      <c r="G2695" s="16" t="s">
        <v>64</v>
      </c>
    </row>
    <row r="2696" spans="1:7" x14ac:dyDescent="0.2">
      <c r="A2696" t="s">
        <v>64</v>
      </c>
      <c r="B2696" t="s">
        <v>64</v>
      </c>
      <c r="C2696" s="3" t="s">
        <v>64</v>
      </c>
      <c r="D2696" s="16" t="s">
        <v>64</v>
      </c>
      <c r="E2696" s="16">
        <v>0</v>
      </c>
      <c r="F2696" s="16" t="s">
        <v>64</v>
      </c>
      <c r="G2696" s="16" t="s">
        <v>64</v>
      </c>
    </row>
    <row r="2697" spans="1:7" x14ac:dyDescent="0.2">
      <c r="A2697" t="s">
        <v>64</v>
      </c>
      <c r="B2697" t="s">
        <v>64</v>
      </c>
      <c r="C2697" s="3" t="s">
        <v>64</v>
      </c>
      <c r="D2697" s="16" t="s">
        <v>64</v>
      </c>
      <c r="E2697" s="16">
        <v>0</v>
      </c>
      <c r="F2697" s="16" t="s">
        <v>64</v>
      </c>
      <c r="G2697" s="16" t="s">
        <v>64</v>
      </c>
    </row>
    <row r="2698" spans="1:7" x14ac:dyDescent="0.2">
      <c r="A2698" t="s">
        <v>64</v>
      </c>
      <c r="B2698" t="s">
        <v>64</v>
      </c>
      <c r="C2698" s="3" t="s">
        <v>64</v>
      </c>
      <c r="D2698" s="16" t="s">
        <v>64</v>
      </c>
      <c r="E2698" s="16">
        <v>0</v>
      </c>
      <c r="F2698" s="16" t="s">
        <v>64</v>
      </c>
      <c r="G2698" s="16" t="s">
        <v>64</v>
      </c>
    </row>
    <row r="2699" spans="1:7" x14ac:dyDescent="0.2">
      <c r="A2699" t="s">
        <v>64</v>
      </c>
      <c r="B2699" t="s">
        <v>64</v>
      </c>
      <c r="C2699" s="3" t="s">
        <v>64</v>
      </c>
      <c r="D2699" s="16" t="s">
        <v>64</v>
      </c>
      <c r="E2699" s="16">
        <v>0</v>
      </c>
      <c r="F2699" s="16" t="s">
        <v>64</v>
      </c>
      <c r="G2699" s="16" t="s">
        <v>64</v>
      </c>
    </row>
    <row r="2700" spans="1:7" x14ac:dyDescent="0.2">
      <c r="A2700" t="s">
        <v>64</v>
      </c>
      <c r="B2700" t="s">
        <v>64</v>
      </c>
      <c r="C2700" s="3" t="s">
        <v>64</v>
      </c>
      <c r="D2700" s="16" t="s">
        <v>64</v>
      </c>
      <c r="E2700" s="16">
        <v>0</v>
      </c>
      <c r="F2700" s="16" t="s">
        <v>64</v>
      </c>
      <c r="G2700" s="16" t="s">
        <v>64</v>
      </c>
    </row>
    <row r="2701" spans="1:7" x14ac:dyDescent="0.2">
      <c r="A2701" t="s">
        <v>64</v>
      </c>
      <c r="B2701" t="s">
        <v>64</v>
      </c>
      <c r="C2701" s="3" t="s">
        <v>64</v>
      </c>
      <c r="D2701" s="16" t="s">
        <v>64</v>
      </c>
      <c r="E2701" s="16">
        <v>0</v>
      </c>
      <c r="F2701" s="16" t="s">
        <v>64</v>
      </c>
      <c r="G2701" s="16" t="s">
        <v>64</v>
      </c>
    </row>
    <row r="2702" spans="1:7" x14ac:dyDescent="0.2">
      <c r="A2702" t="s">
        <v>64</v>
      </c>
      <c r="B2702" t="s">
        <v>64</v>
      </c>
      <c r="C2702" s="3" t="s">
        <v>64</v>
      </c>
      <c r="D2702" s="16" t="s">
        <v>64</v>
      </c>
      <c r="E2702" s="16">
        <v>0</v>
      </c>
      <c r="F2702" s="16" t="s">
        <v>64</v>
      </c>
      <c r="G2702" s="16" t="s">
        <v>64</v>
      </c>
    </row>
    <row r="2703" spans="1:7" x14ac:dyDescent="0.2">
      <c r="A2703" t="s">
        <v>64</v>
      </c>
      <c r="B2703" t="s">
        <v>64</v>
      </c>
      <c r="C2703" s="3" t="s">
        <v>64</v>
      </c>
      <c r="D2703" s="16" t="s">
        <v>64</v>
      </c>
      <c r="E2703" s="16">
        <v>0</v>
      </c>
      <c r="F2703" s="16" t="s">
        <v>64</v>
      </c>
      <c r="G2703" s="16" t="s">
        <v>64</v>
      </c>
    </row>
    <row r="2704" spans="1:7" x14ac:dyDescent="0.2">
      <c r="A2704" t="s">
        <v>64</v>
      </c>
      <c r="B2704" t="s">
        <v>64</v>
      </c>
      <c r="C2704" s="3" t="s">
        <v>64</v>
      </c>
      <c r="D2704" s="16" t="s">
        <v>64</v>
      </c>
      <c r="E2704" s="16">
        <v>0</v>
      </c>
      <c r="F2704" s="16" t="s">
        <v>64</v>
      </c>
      <c r="G2704" s="16" t="s">
        <v>64</v>
      </c>
    </row>
    <row r="2705" spans="1:7" x14ac:dyDescent="0.2">
      <c r="A2705" t="s">
        <v>64</v>
      </c>
      <c r="B2705" t="s">
        <v>64</v>
      </c>
      <c r="C2705" s="3" t="s">
        <v>64</v>
      </c>
      <c r="D2705" s="16" t="s">
        <v>64</v>
      </c>
      <c r="E2705" s="16">
        <v>0</v>
      </c>
      <c r="F2705" s="16" t="s">
        <v>64</v>
      </c>
      <c r="G2705" s="16" t="s">
        <v>64</v>
      </c>
    </row>
    <row r="2706" spans="1:7" x14ac:dyDescent="0.2">
      <c r="A2706" t="s">
        <v>64</v>
      </c>
      <c r="B2706" t="s">
        <v>64</v>
      </c>
      <c r="C2706" s="3" t="s">
        <v>64</v>
      </c>
      <c r="D2706" s="16" t="s">
        <v>64</v>
      </c>
      <c r="E2706" s="16">
        <v>0</v>
      </c>
      <c r="F2706" s="16" t="s">
        <v>64</v>
      </c>
      <c r="G2706" s="16" t="s">
        <v>64</v>
      </c>
    </row>
    <row r="2707" spans="1:7" x14ac:dyDescent="0.2">
      <c r="A2707" t="s">
        <v>64</v>
      </c>
      <c r="B2707" t="s">
        <v>64</v>
      </c>
      <c r="C2707" s="3" t="s">
        <v>64</v>
      </c>
      <c r="D2707" s="16" t="s">
        <v>64</v>
      </c>
      <c r="E2707" s="16">
        <v>0</v>
      </c>
      <c r="F2707" s="16" t="s">
        <v>64</v>
      </c>
      <c r="G2707" s="16" t="s">
        <v>64</v>
      </c>
    </row>
    <row r="2708" spans="1:7" x14ac:dyDescent="0.2">
      <c r="A2708" t="s">
        <v>64</v>
      </c>
      <c r="B2708" t="s">
        <v>64</v>
      </c>
      <c r="C2708" s="3" t="s">
        <v>64</v>
      </c>
      <c r="D2708" s="16" t="s">
        <v>64</v>
      </c>
      <c r="E2708" s="16">
        <v>0</v>
      </c>
      <c r="F2708" s="16" t="s">
        <v>64</v>
      </c>
      <c r="G2708" s="16" t="s">
        <v>64</v>
      </c>
    </row>
    <row r="2709" spans="1:7" x14ac:dyDescent="0.2">
      <c r="A2709" t="s">
        <v>64</v>
      </c>
      <c r="B2709" t="s">
        <v>64</v>
      </c>
      <c r="C2709" s="3" t="s">
        <v>64</v>
      </c>
      <c r="D2709" s="16" t="s">
        <v>64</v>
      </c>
      <c r="E2709" s="16">
        <v>0</v>
      </c>
      <c r="F2709" s="16" t="s">
        <v>64</v>
      </c>
      <c r="G2709" s="16" t="s">
        <v>64</v>
      </c>
    </row>
    <row r="2710" spans="1:7" x14ac:dyDescent="0.2">
      <c r="A2710" t="s">
        <v>64</v>
      </c>
      <c r="B2710" t="s">
        <v>64</v>
      </c>
      <c r="C2710" s="3" t="s">
        <v>64</v>
      </c>
      <c r="D2710" s="16" t="s">
        <v>64</v>
      </c>
      <c r="E2710" s="16">
        <v>0</v>
      </c>
      <c r="F2710" s="16" t="s">
        <v>64</v>
      </c>
      <c r="G2710" s="16" t="s">
        <v>64</v>
      </c>
    </row>
    <row r="2711" spans="1:7" x14ac:dyDescent="0.2">
      <c r="A2711" t="s">
        <v>64</v>
      </c>
      <c r="B2711" t="s">
        <v>64</v>
      </c>
      <c r="C2711" s="3" t="s">
        <v>64</v>
      </c>
      <c r="D2711" s="16" t="s">
        <v>64</v>
      </c>
      <c r="E2711" s="16">
        <v>0</v>
      </c>
      <c r="F2711" s="16" t="s">
        <v>64</v>
      </c>
      <c r="G2711" s="16" t="s">
        <v>64</v>
      </c>
    </row>
    <row r="2712" spans="1:7" x14ac:dyDescent="0.2">
      <c r="A2712" t="s">
        <v>64</v>
      </c>
      <c r="B2712" t="s">
        <v>64</v>
      </c>
      <c r="C2712" s="3" t="s">
        <v>64</v>
      </c>
      <c r="D2712" s="16" t="s">
        <v>64</v>
      </c>
      <c r="E2712" s="16">
        <v>0</v>
      </c>
      <c r="F2712" s="16" t="s">
        <v>64</v>
      </c>
      <c r="G2712" s="16" t="s">
        <v>64</v>
      </c>
    </row>
    <row r="2713" spans="1:7" x14ac:dyDescent="0.2">
      <c r="A2713" t="s">
        <v>64</v>
      </c>
      <c r="B2713" t="s">
        <v>64</v>
      </c>
      <c r="C2713" s="3" t="s">
        <v>64</v>
      </c>
      <c r="D2713" s="16" t="s">
        <v>64</v>
      </c>
      <c r="E2713" s="16">
        <v>0</v>
      </c>
      <c r="F2713" s="16" t="s">
        <v>64</v>
      </c>
      <c r="G2713" s="16" t="s">
        <v>64</v>
      </c>
    </row>
    <row r="2714" spans="1:7" x14ac:dyDescent="0.2">
      <c r="A2714" t="s">
        <v>64</v>
      </c>
      <c r="B2714" t="s">
        <v>64</v>
      </c>
      <c r="C2714" s="3" t="s">
        <v>64</v>
      </c>
      <c r="D2714" s="16" t="s">
        <v>64</v>
      </c>
      <c r="E2714" s="16">
        <v>0</v>
      </c>
      <c r="F2714" s="16" t="s">
        <v>64</v>
      </c>
      <c r="G2714" s="16" t="s">
        <v>64</v>
      </c>
    </row>
    <row r="2715" spans="1:7" x14ac:dyDescent="0.2">
      <c r="A2715" t="s">
        <v>64</v>
      </c>
      <c r="B2715" t="s">
        <v>64</v>
      </c>
      <c r="C2715" s="3" t="s">
        <v>64</v>
      </c>
      <c r="D2715" s="16" t="s">
        <v>64</v>
      </c>
      <c r="E2715" s="16">
        <v>0</v>
      </c>
      <c r="F2715" s="16" t="s">
        <v>64</v>
      </c>
      <c r="G2715" s="16" t="s">
        <v>64</v>
      </c>
    </row>
    <row r="2716" spans="1:7" x14ac:dyDescent="0.2">
      <c r="A2716" t="s">
        <v>64</v>
      </c>
      <c r="B2716" t="s">
        <v>64</v>
      </c>
      <c r="C2716" s="3" t="s">
        <v>64</v>
      </c>
      <c r="D2716" s="16" t="s">
        <v>64</v>
      </c>
      <c r="E2716" s="16">
        <v>0</v>
      </c>
      <c r="F2716" s="16" t="s">
        <v>64</v>
      </c>
      <c r="G2716" s="16" t="s">
        <v>64</v>
      </c>
    </row>
    <row r="2717" spans="1:7" x14ac:dyDescent="0.2">
      <c r="A2717" t="s">
        <v>64</v>
      </c>
      <c r="B2717" t="s">
        <v>64</v>
      </c>
      <c r="C2717" s="3" t="s">
        <v>64</v>
      </c>
      <c r="D2717" s="16" t="s">
        <v>64</v>
      </c>
      <c r="E2717" s="16">
        <v>0</v>
      </c>
      <c r="F2717" s="16" t="s">
        <v>64</v>
      </c>
      <c r="G2717" s="16" t="s">
        <v>64</v>
      </c>
    </row>
    <row r="2718" spans="1:7" x14ac:dyDescent="0.2">
      <c r="A2718" t="s">
        <v>64</v>
      </c>
      <c r="B2718" t="s">
        <v>64</v>
      </c>
      <c r="C2718" s="3" t="s">
        <v>64</v>
      </c>
      <c r="D2718" s="16" t="s">
        <v>64</v>
      </c>
      <c r="E2718" s="16">
        <v>0</v>
      </c>
      <c r="F2718" s="16" t="s">
        <v>64</v>
      </c>
      <c r="G2718" s="16" t="s">
        <v>64</v>
      </c>
    </row>
    <row r="2719" spans="1:7" x14ac:dyDescent="0.2">
      <c r="A2719" t="s">
        <v>64</v>
      </c>
      <c r="B2719" t="s">
        <v>64</v>
      </c>
      <c r="C2719" s="3" t="s">
        <v>64</v>
      </c>
      <c r="D2719" s="16" t="s">
        <v>64</v>
      </c>
      <c r="E2719" s="16">
        <v>0</v>
      </c>
      <c r="F2719" s="16" t="s">
        <v>64</v>
      </c>
      <c r="G2719" s="16" t="s">
        <v>64</v>
      </c>
    </row>
    <row r="2720" spans="1:7" x14ac:dyDescent="0.2">
      <c r="A2720" t="s">
        <v>64</v>
      </c>
      <c r="B2720" t="s">
        <v>64</v>
      </c>
      <c r="C2720" s="3" t="s">
        <v>64</v>
      </c>
      <c r="D2720" s="16" t="s">
        <v>64</v>
      </c>
      <c r="E2720" s="16">
        <v>0</v>
      </c>
      <c r="F2720" s="16" t="s">
        <v>64</v>
      </c>
      <c r="G2720" s="16" t="s">
        <v>64</v>
      </c>
    </row>
    <row r="2721" spans="1:7" x14ac:dyDescent="0.2">
      <c r="A2721" t="s">
        <v>64</v>
      </c>
      <c r="B2721" t="s">
        <v>64</v>
      </c>
      <c r="C2721" s="3" t="s">
        <v>64</v>
      </c>
      <c r="D2721" s="16" t="s">
        <v>64</v>
      </c>
      <c r="E2721" s="16">
        <v>0</v>
      </c>
      <c r="F2721" s="16" t="s">
        <v>64</v>
      </c>
      <c r="G2721" s="16" t="s">
        <v>64</v>
      </c>
    </row>
    <row r="2722" spans="1:7" x14ac:dyDescent="0.2">
      <c r="A2722" t="s">
        <v>64</v>
      </c>
      <c r="B2722" t="s">
        <v>64</v>
      </c>
      <c r="C2722" s="3" t="s">
        <v>64</v>
      </c>
      <c r="D2722" s="16" t="s">
        <v>64</v>
      </c>
      <c r="E2722" s="16">
        <v>0</v>
      </c>
      <c r="F2722" s="16" t="s">
        <v>64</v>
      </c>
      <c r="G2722" s="16" t="s">
        <v>64</v>
      </c>
    </row>
    <row r="2723" spans="1:7" x14ac:dyDescent="0.2">
      <c r="A2723" t="s">
        <v>64</v>
      </c>
      <c r="B2723" t="s">
        <v>64</v>
      </c>
      <c r="C2723" s="3" t="s">
        <v>64</v>
      </c>
      <c r="D2723" s="16" t="s">
        <v>64</v>
      </c>
      <c r="E2723" s="16">
        <v>0</v>
      </c>
      <c r="F2723" s="16" t="s">
        <v>64</v>
      </c>
      <c r="G2723" s="16" t="s">
        <v>64</v>
      </c>
    </row>
    <row r="2724" spans="1:7" x14ac:dyDescent="0.2">
      <c r="A2724" t="s">
        <v>64</v>
      </c>
      <c r="B2724" t="s">
        <v>64</v>
      </c>
      <c r="C2724" s="3" t="s">
        <v>64</v>
      </c>
      <c r="D2724" s="16" t="s">
        <v>64</v>
      </c>
      <c r="E2724" s="16">
        <v>0</v>
      </c>
      <c r="F2724" s="16" t="s">
        <v>64</v>
      </c>
      <c r="G2724" s="16" t="s">
        <v>64</v>
      </c>
    </row>
    <row r="2725" spans="1:7" x14ac:dyDescent="0.2">
      <c r="A2725" t="s">
        <v>64</v>
      </c>
      <c r="B2725" t="s">
        <v>64</v>
      </c>
      <c r="C2725" s="3" t="s">
        <v>64</v>
      </c>
      <c r="D2725" s="16" t="s">
        <v>64</v>
      </c>
      <c r="E2725" s="16">
        <v>0</v>
      </c>
      <c r="F2725" s="16" t="s">
        <v>64</v>
      </c>
      <c r="G2725" s="16" t="s">
        <v>64</v>
      </c>
    </row>
    <row r="2726" spans="1:7" x14ac:dyDescent="0.2">
      <c r="A2726" t="s">
        <v>64</v>
      </c>
      <c r="B2726" t="s">
        <v>64</v>
      </c>
      <c r="C2726" s="3" t="s">
        <v>64</v>
      </c>
      <c r="D2726" s="16" t="s">
        <v>64</v>
      </c>
      <c r="E2726" s="16">
        <v>0</v>
      </c>
      <c r="F2726" s="16" t="s">
        <v>64</v>
      </c>
      <c r="G2726" s="16" t="s">
        <v>64</v>
      </c>
    </row>
    <row r="2727" spans="1:7" x14ac:dyDescent="0.2">
      <c r="A2727" t="s">
        <v>64</v>
      </c>
      <c r="B2727" t="s">
        <v>64</v>
      </c>
      <c r="C2727" s="3" t="s">
        <v>64</v>
      </c>
      <c r="D2727" s="16" t="s">
        <v>64</v>
      </c>
      <c r="E2727" s="16">
        <v>0</v>
      </c>
      <c r="F2727" s="16" t="s">
        <v>64</v>
      </c>
      <c r="G2727" s="16" t="s">
        <v>64</v>
      </c>
    </row>
    <row r="2728" spans="1:7" x14ac:dyDescent="0.2">
      <c r="A2728" t="s">
        <v>64</v>
      </c>
      <c r="B2728" t="s">
        <v>64</v>
      </c>
      <c r="C2728" s="3" t="s">
        <v>64</v>
      </c>
      <c r="D2728" s="16" t="s">
        <v>64</v>
      </c>
      <c r="E2728" s="16">
        <v>0</v>
      </c>
      <c r="F2728" s="16" t="s">
        <v>64</v>
      </c>
      <c r="G2728" s="16" t="s">
        <v>64</v>
      </c>
    </row>
    <row r="2729" spans="1:7" x14ac:dyDescent="0.2">
      <c r="A2729" t="s">
        <v>64</v>
      </c>
      <c r="B2729" t="s">
        <v>64</v>
      </c>
      <c r="C2729" s="3" t="s">
        <v>64</v>
      </c>
      <c r="D2729" s="16" t="s">
        <v>64</v>
      </c>
      <c r="E2729" s="16">
        <v>0</v>
      </c>
      <c r="F2729" s="16" t="s">
        <v>64</v>
      </c>
      <c r="G2729" s="16" t="s">
        <v>64</v>
      </c>
    </row>
    <row r="2730" spans="1:7" x14ac:dyDescent="0.2">
      <c r="A2730" t="s">
        <v>64</v>
      </c>
      <c r="B2730" t="s">
        <v>64</v>
      </c>
      <c r="C2730" s="3" t="s">
        <v>64</v>
      </c>
      <c r="D2730" s="16" t="s">
        <v>64</v>
      </c>
      <c r="E2730" s="16">
        <v>0</v>
      </c>
      <c r="F2730" s="16" t="s">
        <v>64</v>
      </c>
      <c r="G2730" s="16" t="s">
        <v>64</v>
      </c>
    </row>
    <row r="2731" spans="1:7" x14ac:dyDescent="0.2">
      <c r="A2731" t="s">
        <v>64</v>
      </c>
      <c r="B2731" t="s">
        <v>64</v>
      </c>
      <c r="C2731" s="3" t="s">
        <v>64</v>
      </c>
      <c r="D2731" s="16" t="s">
        <v>64</v>
      </c>
      <c r="E2731" s="16">
        <v>0</v>
      </c>
      <c r="F2731" s="16" t="s">
        <v>64</v>
      </c>
      <c r="G2731" s="16" t="s">
        <v>64</v>
      </c>
    </row>
    <row r="2732" spans="1:7" x14ac:dyDescent="0.2">
      <c r="A2732" t="s">
        <v>64</v>
      </c>
      <c r="B2732" t="s">
        <v>64</v>
      </c>
      <c r="C2732" s="3" t="s">
        <v>64</v>
      </c>
      <c r="D2732" s="16" t="s">
        <v>64</v>
      </c>
      <c r="E2732" s="16">
        <v>0</v>
      </c>
      <c r="F2732" s="16" t="s">
        <v>64</v>
      </c>
      <c r="G2732" s="16" t="s">
        <v>64</v>
      </c>
    </row>
    <row r="2733" spans="1:7" x14ac:dyDescent="0.2">
      <c r="A2733" t="s">
        <v>64</v>
      </c>
      <c r="B2733" t="s">
        <v>64</v>
      </c>
      <c r="C2733" s="3" t="s">
        <v>64</v>
      </c>
      <c r="D2733" s="16" t="s">
        <v>64</v>
      </c>
      <c r="E2733" s="16">
        <v>0</v>
      </c>
      <c r="F2733" s="16" t="s">
        <v>64</v>
      </c>
      <c r="G2733" s="16" t="s">
        <v>64</v>
      </c>
    </row>
    <row r="2734" spans="1:7" x14ac:dyDescent="0.2">
      <c r="A2734" t="s">
        <v>64</v>
      </c>
      <c r="B2734" t="s">
        <v>64</v>
      </c>
      <c r="C2734" s="3" t="s">
        <v>64</v>
      </c>
      <c r="D2734" s="16" t="s">
        <v>64</v>
      </c>
      <c r="E2734" s="16">
        <v>0</v>
      </c>
      <c r="F2734" s="16" t="s">
        <v>64</v>
      </c>
      <c r="G2734" s="16" t="s">
        <v>64</v>
      </c>
    </row>
    <row r="2735" spans="1:7" x14ac:dyDescent="0.2">
      <c r="A2735" t="s">
        <v>64</v>
      </c>
      <c r="B2735" t="s">
        <v>64</v>
      </c>
      <c r="C2735" s="3" t="s">
        <v>64</v>
      </c>
      <c r="D2735" s="16" t="s">
        <v>64</v>
      </c>
      <c r="E2735" s="16">
        <v>0</v>
      </c>
      <c r="F2735" s="16" t="s">
        <v>64</v>
      </c>
      <c r="G2735" s="16" t="s">
        <v>64</v>
      </c>
    </row>
    <row r="2736" spans="1:7" x14ac:dyDescent="0.2">
      <c r="A2736" t="s">
        <v>64</v>
      </c>
      <c r="B2736" t="s">
        <v>64</v>
      </c>
      <c r="C2736" s="3" t="s">
        <v>64</v>
      </c>
      <c r="D2736" s="16" t="s">
        <v>64</v>
      </c>
      <c r="E2736" s="16">
        <v>0</v>
      </c>
      <c r="F2736" s="16" t="s">
        <v>64</v>
      </c>
      <c r="G2736" s="16" t="s">
        <v>64</v>
      </c>
    </row>
    <row r="2737" spans="1:7" x14ac:dyDescent="0.2">
      <c r="A2737" t="s">
        <v>64</v>
      </c>
      <c r="B2737" t="s">
        <v>64</v>
      </c>
      <c r="C2737" s="3" t="s">
        <v>64</v>
      </c>
      <c r="D2737" s="16" t="s">
        <v>64</v>
      </c>
      <c r="E2737" s="16">
        <v>0</v>
      </c>
      <c r="F2737" s="16" t="s">
        <v>64</v>
      </c>
      <c r="G2737" s="16" t="s">
        <v>64</v>
      </c>
    </row>
    <row r="2738" spans="1:7" x14ac:dyDescent="0.2">
      <c r="A2738" t="s">
        <v>64</v>
      </c>
      <c r="B2738" t="s">
        <v>64</v>
      </c>
      <c r="C2738" s="3" t="s">
        <v>64</v>
      </c>
      <c r="D2738" s="16" t="s">
        <v>64</v>
      </c>
      <c r="E2738" s="16">
        <v>0</v>
      </c>
      <c r="F2738" s="16" t="s">
        <v>64</v>
      </c>
      <c r="G2738" s="16" t="s">
        <v>64</v>
      </c>
    </row>
    <row r="2739" spans="1:7" x14ac:dyDescent="0.2">
      <c r="A2739" t="s">
        <v>64</v>
      </c>
      <c r="B2739" t="s">
        <v>64</v>
      </c>
      <c r="C2739" s="3" t="s">
        <v>64</v>
      </c>
      <c r="D2739" s="16" t="s">
        <v>64</v>
      </c>
      <c r="E2739" s="16">
        <v>0</v>
      </c>
      <c r="F2739" s="16" t="s">
        <v>64</v>
      </c>
      <c r="G2739" s="16" t="s">
        <v>64</v>
      </c>
    </row>
    <row r="2740" spans="1:7" x14ac:dyDescent="0.2">
      <c r="A2740" t="s">
        <v>64</v>
      </c>
      <c r="B2740" t="s">
        <v>64</v>
      </c>
      <c r="C2740" s="3" t="s">
        <v>64</v>
      </c>
      <c r="D2740" s="16" t="s">
        <v>64</v>
      </c>
      <c r="E2740" s="16">
        <v>0</v>
      </c>
      <c r="F2740" s="16" t="s">
        <v>64</v>
      </c>
      <c r="G2740" s="16" t="s">
        <v>64</v>
      </c>
    </row>
    <row r="2741" spans="1:7" x14ac:dyDescent="0.2">
      <c r="A2741" t="s">
        <v>64</v>
      </c>
      <c r="B2741" t="s">
        <v>64</v>
      </c>
      <c r="C2741" s="3" t="s">
        <v>64</v>
      </c>
      <c r="D2741" s="16" t="s">
        <v>64</v>
      </c>
      <c r="E2741" s="16">
        <v>0</v>
      </c>
      <c r="F2741" s="16" t="s">
        <v>64</v>
      </c>
      <c r="G2741" s="16" t="s">
        <v>64</v>
      </c>
    </row>
    <row r="2742" spans="1:7" x14ac:dyDescent="0.2">
      <c r="A2742" t="s">
        <v>64</v>
      </c>
      <c r="B2742" t="s">
        <v>64</v>
      </c>
      <c r="C2742" s="3" t="s">
        <v>64</v>
      </c>
      <c r="D2742" s="16" t="s">
        <v>64</v>
      </c>
      <c r="E2742" s="16">
        <v>0</v>
      </c>
      <c r="F2742" s="16" t="s">
        <v>64</v>
      </c>
      <c r="G2742" s="16" t="s">
        <v>64</v>
      </c>
    </row>
    <row r="2743" spans="1:7" x14ac:dyDescent="0.2">
      <c r="A2743" t="s">
        <v>64</v>
      </c>
      <c r="B2743" t="s">
        <v>64</v>
      </c>
      <c r="C2743" s="3" t="s">
        <v>64</v>
      </c>
      <c r="D2743" s="16" t="s">
        <v>64</v>
      </c>
      <c r="E2743" s="16">
        <v>0</v>
      </c>
      <c r="F2743" s="16" t="s">
        <v>64</v>
      </c>
      <c r="G2743" s="16" t="s">
        <v>64</v>
      </c>
    </row>
    <row r="2744" spans="1:7" x14ac:dyDescent="0.2">
      <c r="A2744" t="s">
        <v>64</v>
      </c>
      <c r="B2744" t="s">
        <v>64</v>
      </c>
      <c r="C2744" s="3" t="s">
        <v>64</v>
      </c>
      <c r="D2744" s="16" t="s">
        <v>64</v>
      </c>
      <c r="E2744" s="16">
        <v>0</v>
      </c>
      <c r="F2744" s="16" t="s">
        <v>64</v>
      </c>
      <c r="G2744" s="16" t="s">
        <v>64</v>
      </c>
    </row>
    <row r="2745" spans="1:7" x14ac:dyDescent="0.2">
      <c r="A2745" t="s">
        <v>64</v>
      </c>
      <c r="B2745" t="s">
        <v>64</v>
      </c>
      <c r="C2745" s="3" t="s">
        <v>64</v>
      </c>
      <c r="D2745" s="16" t="s">
        <v>64</v>
      </c>
      <c r="E2745" s="16">
        <v>0</v>
      </c>
      <c r="F2745" s="16" t="s">
        <v>64</v>
      </c>
      <c r="G2745" s="16" t="s">
        <v>64</v>
      </c>
    </row>
    <row r="2746" spans="1:7" x14ac:dyDescent="0.2">
      <c r="A2746" t="s">
        <v>64</v>
      </c>
      <c r="B2746" t="s">
        <v>64</v>
      </c>
      <c r="C2746" s="3" t="s">
        <v>64</v>
      </c>
      <c r="D2746" s="16" t="s">
        <v>64</v>
      </c>
      <c r="E2746" s="16">
        <v>0</v>
      </c>
      <c r="F2746" s="16" t="s">
        <v>64</v>
      </c>
      <c r="G2746" s="16" t="s">
        <v>64</v>
      </c>
    </row>
    <row r="2747" spans="1:7" x14ac:dyDescent="0.2">
      <c r="A2747" t="s">
        <v>64</v>
      </c>
      <c r="B2747" t="s">
        <v>64</v>
      </c>
      <c r="C2747" s="3" t="s">
        <v>64</v>
      </c>
      <c r="D2747" s="16" t="s">
        <v>64</v>
      </c>
      <c r="E2747" s="16">
        <v>0</v>
      </c>
      <c r="F2747" s="16" t="s">
        <v>64</v>
      </c>
      <c r="G2747" s="16" t="s">
        <v>64</v>
      </c>
    </row>
    <row r="2748" spans="1:7" x14ac:dyDescent="0.2">
      <c r="A2748" t="s">
        <v>64</v>
      </c>
      <c r="B2748" t="s">
        <v>64</v>
      </c>
      <c r="C2748" s="3" t="s">
        <v>64</v>
      </c>
      <c r="D2748" s="16" t="s">
        <v>64</v>
      </c>
      <c r="E2748" s="16">
        <v>0</v>
      </c>
      <c r="F2748" s="16" t="s">
        <v>64</v>
      </c>
      <c r="G2748" s="16" t="s">
        <v>64</v>
      </c>
    </row>
    <row r="2749" spans="1:7" x14ac:dyDescent="0.2">
      <c r="A2749" t="s">
        <v>64</v>
      </c>
      <c r="B2749" t="s">
        <v>64</v>
      </c>
      <c r="C2749" s="3" t="s">
        <v>64</v>
      </c>
      <c r="D2749" s="16" t="s">
        <v>64</v>
      </c>
      <c r="E2749" s="16">
        <v>0</v>
      </c>
      <c r="F2749" s="16" t="s">
        <v>64</v>
      </c>
      <c r="G2749" s="16" t="s">
        <v>64</v>
      </c>
    </row>
    <row r="2750" spans="1:7" x14ac:dyDescent="0.2">
      <c r="A2750" t="s">
        <v>64</v>
      </c>
      <c r="B2750" t="s">
        <v>64</v>
      </c>
      <c r="C2750" s="3" t="s">
        <v>64</v>
      </c>
      <c r="D2750" s="16" t="s">
        <v>64</v>
      </c>
      <c r="E2750" s="16">
        <v>0</v>
      </c>
      <c r="F2750" s="16" t="s">
        <v>64</v>
      </c>
      <c r="G2750" s="16" t="s">
        <v>64</v>
      </c>
    </row>
    <row r="2751" spans="1:7" x14ac:dyDescent="0.2">
      <c r="A2751" t="s">
        <v>64</v>
      </c>
      <c r="B2751" t="s">
        <v>64</v>
      </c>
      <c r="C2751" s="3" t="s">
        <v>64</v>
      </c>
      <c r="D2751" s="16" t="s">
        <v>64</v>
      </c>
      <c r="E2751" s="16">
        <v>0</v>
      </c>
      <c r="F2751" s="16" t="s">
        <v>64</v>
      </c>
      <c r="G2751" s="16" t="s">
        <v>64</v>
      </c>
    </row>
    <row r="2752" spans="1:7" x14ac:dyDescent="0.2">
      <c r="A2752" t="s">
        <v>64</v>
      </c>
      <c r="B2752" t="s">
        <v>64</v>
      </c>
      <c r="C2752" s="3" t="s">
        <v>64</v>
      </c>
      <c r="D2752" s="16" t="s">
        <v>64</v>
      </c>
      <c r="E2752" s="16">
        <v>0</v>
      </c>
      <c r="F2752" s="16" t="s">
        <v>64</v>
      </c>
      <c r="G2752" s="16" t="s">
        <v>64</v>
      </c>
    </row>
    <row r="2753" spans="1:7" x14ac:dyDescent="0.2">
      <c r="A2753" t="s">
        <v>64</v>
      </c>
      <c r="B2753" t="s">
        <v>64</v>
      </c>
      <c r="C2753" s="3" t="s">
        <v>64</v>
      </c>
      <c r="D2753" s="16" t="s">
        <v>64</v>
      </c>
      <c r="E2753" s="16">
        <v>0</v>
      </c>
      <c r="F2753" s="16" t="s">
        <v>64</v>
      </c>
      <c r="G2753" s="16" t="s">
        <v>64</v>
      </c>
    </row>
    <row r="2754" spans="1:7" x14ac:dyDescent="0.2">
      <c r="A2754" t="s">
        <v>64</v>
      </c>
      <c r="B2754" t="s">
        <v>64</v>
      </c>
      <c r="C2754" s="3" t="s">
        <v>64</v>
      </c>
      <c r="D2754" s="16" t="s">
        <v>64</v>
      </c>
      <c r="E2754" s="16">
        <v>0</v>
      </c>
      <c r="F2754" s="16" t="s">
        <v>64</v>
      </c>
      <c r="G2754" s="16" t="s">
        <v>64</v>
      </c>
    </row>
    <row r="2755" spans="1:7" x14ac:dyDescent="0.2">
      <c r="A2755" t="s">
        <v>64</v>
      </c>
      <c r="B2755" t="s">
        <v>64</v>
      </c>
      <c r="C2755" s="3" t="s">
        <v>64</v>
      </c>
      <c r="D2755" s="16" t="s">
        <v>64</v>
      </c>
      <c r="E2755" s="16">
        <v>0</v>
      </c>
      <c r="F2755" s="16" t="s">
        <v>64</v>
      </c>
      <c r="G2755" s="16" t="s">
        <v>64</v>
      </c>
    </row>
    <row r="2756" spans="1:7" x14ac:dyDescent="0.2">
      <c r="A2756" t="s">
        <v>64</v>
      </c>
      <c r="B2756" t="s">
        <v>64</v>
      </c>
      <c r="C2756" s="3" t="s">
        <v>64</v>
      </c>
      <c r="D2756" s="16" t="s">
        <v>64</v>
      </c>
      <c r="E2756" s="16">
        <v>0</v>
      </c>
      <c r="F2756" s="16" t="s">
        <v>64</v>
      </c>
      <c r="G2756" s="16" t="s">
        <v>64</v>
      </c>
    </row>
    <row r="2757" spans="1:7" x14ac:dyDescent="0.2">
      <c r="A2757" t="s">
        <v>64</v>
      </c>
      <c r="B2757" t="s">
        <v>64</v>
      </c>
      <c r="C2757" s="3" t="s">
        <v>64</v>
      </c>
      <c r="D2757" s="16" t="s">
        <v>64</v>
      </c>
      <c r="E2757" s="16">
        <v>0</v>
      </c>
      <c r="F2757" s="16" t="s">
        <v>64</v>
      </c>
      <c r="G2757" s="16" t="s">
        <v>64</v>
      </c>
    </row>
    <row r="2758" spans="1:7" x14ac:dyDescent="0.2">
      <c r="A2758" t="s">
        <v>64</v>
      </c>
      <c r="B2758" t="s">
        <v>64</v>
      </c>
      <c r="C2758" s="3" t="s">
        <v>64</v>
      </c>
      <c r="D2758" s="16" t="s">
        <v>64</v>
      </c>
      <c r="E2758" s="16">
        <v>0</v>
      </c>
      <c r="F2758" s="16" t="s">
        <v>64</v>
      </c>
      <c r="G2758" s="16" t="s">
        <v>64</v>
      </c>
    </row>
    <row r="2759" spans="1:7" x14ac:dyDescent="0.2">
      <c r="A2759" t="s">
        <v>64</v>
      </c>
      <c r="B2759" t="s">
        <v>64</v>
      </c>
      <c r="C2759" s="3" t="s">
        <v>64</v>
      </c>
      <c r="D2759" s="16" t="s">
        <v>64</v>
      </c>
      <c r="E2759" s="16">
        <v>0</v>
      </c>
      <c r="F2759" s="16" t="s">
        <v>64</v>
      </c>
      <c r="G2759" s="16" t="s">
        <v>64</v>
      </c>
    </row>
    <row r="2760" spans="1:7" x14ac:dyDescent="0.2">
      <c r="A2760" t="s">
        <v>64</v>
      </c>
      <c r="B2760" t="s">
        <v>64</v>
      </c>
      <c r="C2760" s="3" t="s">
        <v>64</v>
      </c>
      <c r="D2760" s="16" t="s">
        <v>64</v>
      </c>
      <c r="E2760" s="16">
        <v>0</v>
      </c>
      <c r="F2760" s="16" t="s">
        <v>64</v>
      </c>
      <c r="G2760" s="16" t="s">
        <v>64</v>
      </c>
    </row>
    <row r="2761" spans="1:7" x14ac:dyDescent="0.2">
      <c r="A2761" t="s">
        <v>64</v>
      </c>
      <c r="B2761" t="s">
        <v>64</v>
      </c>
      <c r="C2761" s="3" t="s">
        <v>64</v>
      </c>
      <c r="D2761" s="16" t="s">
        <v>64</v>
      </c>
      <c r="E2761" s="16">
        <v>0</v>
      </c>
      <c r="F2761" s="16" t="s">
        <v>64</v>
      </c>
      <c r="G2761" s="16" t="s">
        <v>64</v>
      </c>
    </row>
    <row r="2762" spans="1:7" x14ac:dyDescent="0.2">
      <c r="A2762" t="s">
        <v>64</v>
      </c>
      <c r="B2762" t="s">
        <v>64</v>
      </c>
      <c r="C2762" s="3" t="s">
        <v>64</v>
      </c>
      <c r="D2762" s="16" t="s">
        <v>64</v>
      </c>
      <c r="E2762" s="16">
        <v>0</v>
      </c>
      <c r="F2762" s="16" t="s">
        <v>64</v>
      </c>
      <c r="G2762" s="16" t="s">
        <v>64</v>
      </c>
    </row>
    <row r="2763" spans="1:7" x14ac:dyDescent="0.2">
      <c r="A2763" t="s">
        <v>64</v>
      </c>
      <c r="B2763" t="s">
        <v>64</v>
      </c>
      <c r="C2763" s="3" t="s">
        <v>64</v>
      </c>
      <c r="D2763" s="16" t="s">
        <v>64</v>
      </c>
      <c r="E2763" s="16">
        <v>0</v>
      </c>
      <c r="F2763" s="16" t="s">
        <v>64</v>
      </c>
      <c r="G2763" s="16" t="s">
        <v>64</v>
      </c>
    </row>
    <row r="2764" spans="1:7" x14ac:dyDescent="0.2">
      <c r="A2764" t="s">
        <v>64</v>
      </c>
      <c r="B2764" t="s">
        <v>64</v>
      </c>
      <c r="C2764" s="3" t="s">
        <v>64</v>
      </c>
      <c r="D2764" s="16" t="s">
        <v>64</v>
      </c>
      <c r="E2764" s="16">
        <v>0</v>
      </c>
      <c r="F2764" s="16" t="s">
        <v>64</v>
      </c>
      <c r="G2764" s="16" t="s">
        <v>64</v>
      </c>
    </row>
    <row r="2765" spans="1:7" x14ac:dyDescent="0.2">
      <c r="A2765" t="s">
        <v>64</v>
      </c>
      <c r="B2765" t="s">
        <v>64</v>
      </c>
      <c r="C2765" s="3" t="s">
        <v>64</v>
      </c>
      <c r="D2765" s="16" t="s">
        <v>64</v>
      </c>
      <c r="E2765" s="16">
        <v>0</v>
      </c>
      <c r="F2765" s="16" t="s">
        <v>64</v>
      </c>
      <c r="G2765" s="16" t="s">
        <v>64</v>
      </c>
    </row>
    <row r="2766" spans="1:7" x14ac:dyDescent="0.2">
      <c r="A2766" t="s">
        <v>64</v>
      </c>
      <c r="B2766" t="s">
        <v>64</v>
      </c>
      <c r="C2766" s="3" t="s">
        <v>64</v>
      </c>
      <c r="D2766" s="16" t="s">
        <v>64</v>
      </c>
      <c r="E2766" s="16">
        <v>0</v>
      </c>
      <c r="F2766" s="16" t="s">
        <v>64</v>
      </c>
      <c r="G2766" s="16" t="s">
        <v>64</v>
      </c>
    </row>
    <row r="2767" spans="1:7" x14ac:dyDescent="0.2">
      <c r="A2767" t="s">
        <v>64</v>
      </c>
      <c r="B2767" t="s">
        <v>64</v>
      </c>
      <c r="C2767" s="3" t="s">
        <v>64</v>
      </c>
      <c r="D2767" s="16" t="s">
        <v>64</v>
      </c>
      <c r="E2767" s="16">
        <v>0</v>
      </c>
      <c r="F2767" s="16" t="s">
        <v>64</v>
      </c>
      <c r="G2767" s="16" t="s">
        <v>64</v>
      </c>
    </row>
    <row r="2768" spans="1:7" x14ac:dyDescent="0.2">
      <c r="A2768" t="s">
        <v>64</v>
      </c>
      <c r="B2768" t="s">
        <v>64</v>
      </c>
      <c r="C2768" s="3" t="s">
        <v>64</v>
      </c>
      <c r="D2768" s="16" t="s">
        <v>64</v>
      </c>
      <c r="E2768" s="16">
        <v>0</v>
      </c>
      <c r="F2768" s="16" t="s">
        <v>64</v>
      </c>
      <c r="G2768" s="16" t="s">
        <v>64</v>
      </c>
    </row>
    <row r="2769" spans="1:7" x14ac:dyDescent="0.2">
      <c r="A2769" t="s">
        <v>64</v>
      </c>
      <c r="B2769" t="s">
        <v>64</v>
      </c>
      <c r="C2769" s="3" t="s">
        <v>64</v>
      </c>
      <c r="D2769" s="16" t="s">
        <v>64</v>
      </c>
      <c r="E2769" s="16">
        <v>0</v>
      </c>
      <c r="F2769" s="16" t="s">
        <v>64</v>
      </c>
      <c r="G2769" s="16" t="s">
        <v>64</v>
      </c>
    </row>
    <row r="2770" spans="1:7" x14ac:dyDescent="0.2">
      <c r="A2770" t="s">
        <v>64</v>
      </c>
      <c r="B2770" t="s">
        <v>64</v>
      </c>
      <c r="C2770" s="3" t="s">
        <v>64</v>
      </c>
      <c r="D2770" s="16" t="s">
        <v>64</v>
      </c>
      <c r="E2770" s="16">
        <v>0</v>
      </c>
      <c r="F2770" s="16" t="s">
        <v>64</v>
      </c>
      <c r="G2770" s="16" t="s">
        <v>64</v>
      </c>
    </row>
    <row r="2771" spans="1:7" x14ac:dyDescent="0.2">
      <c r="A2771" t="s">
        <v>64</v>
      </c>
      <c r="B2771" t="s">
        <v>64</v>
      </c>
      <c r="C2771" s="3" t="s">
        <v>64</v>
      </c>
      <c r="D2771" s="16" t="s">
        <v>64</v>
      </c>
      <c r="E2771" s="16">
        <v>0</v>
      </c>
      <c r="F2771" s="16" t="s">
        <v>64</v>
      </c>
      <c r="G2771" s="16" t="s">
        <v>64</v>
      </c>
    </row>
    <row r="2772" spans="1:7" x14ac:dyDescent="0.2">
      <c r="A2772" t="s">
        <v>64</v>
      </c>
      <c r="B2772" t="s">
        <v>64</v>
      </c>
      <c r="C2772" s="3" t="s">
        <v>64</v>
      </c>
      <c r="D2772" s="16" t="s">
        <v>64</v>
      </c>
      <c r="E2772" s="16">
        <v>0</v>
      </c>
      <c r="F2772" s="16" t="s">
        <v>64</v>
      </c>
      <c r="G2772" s="16" t="s">
        <v>64</v>
      </c>
    </row>
    <row r="2773" spans="1:7" x14ac:dyDescent="0.2">
      <c r="A2773" t="s">
        <v>64</v>
      </c>
      <c r="B2773" t="s">
        <v>64</v>
      </c>
      <c r="C2773" s="3" t="s">
        <v>64</v>
      </c>
      <c r="D2773" s="16" t="s">
        <v>64</v>
      </c>
      <c r="E2773" s="16">
        <v>0</v>
      </c>
      <c r="F2773" s="16" t="s">
        <v>64</v>
      </c>
      <c r="G2773" s="16" t="s">
        <v>64</v>
      </c>
    </row>
    <row r="2774" spans="1:7" x14ac:dyDescent="0.2">
      <c r="A2774" t="s">
        <v>64</v>
      </c>
      <c r="B2774" t="s">
        <v>64</v>
      </c>
      <c r="C2774" s="3" t="s">
        <v>64</v>
      </c>
      <c r="D2774" s="16" t="s">
        <v>64</v>
      </c>
      <c r="E2774" s="16">
        <v>0</v>
      </c>
      <c r="F2774" s="16" t="s">
        <v>64</v>
      </c>
      <c r="G2774" s="16" t="s">
        <v>64</v>
      </c>
    </row>
    <row r="2775" spans="1:7" x14ac:dyDescent="0.2">
      <c r="A2775" t="s">
        <v>64</v>
      </c>
      <c r="B2775" t="s">
        <v>64</v>
      </c>
      <c r="C2775" s="3" t="s">
        <v>64</v>
      </c>
      <c r="D2775" s="16" t="s">
        <v>64</v>
      </c>
      <c r="E2775" s="16">
        <v>0</v>
      </c>
      <c r="F2775" s="16" t="s">
        <v>64</v>
      </c>
      <c r="G2775" s="16" t="s">
        <v>64</v>
      </c>
    </row>
    <row r="2776" spans="1:7" x14ac:dyDescent="0.2">
      <c r="A2776" t="s">
        <v>64</v>
      </c>
      <c r="B2776" t="s">
        <v>64</v>
      </c>
      <c r="C2776" s="3" t="s">
        <v>64</v>
      </c>
      <c r="D2776" s="16" t="s">
        <v>64</v>
      </c>
      <c r="E2776" s="16">
        <v>0</v>
      </c>
      <c r="F2776" s="16" t="s">
        <v>64</v>
      </c>
      <c r="G2776" s="16" t="s">
        <v>64</v>
      </c>
    </row>
    <row r="2777" spans="1:7" x14ac:dyDescent="0.2">
      <c r="A2777" t="s">
        <v>64</v>
      </c>
      <c r="B2777" t="s">
        <v>64</v>
      </c>
      <c r="C2777" s="3" t="s">
        <v>64</v>
      </c>
      <c r="D2777" s="16" t="s">
        <v>64</v>
      </c>
      <c r="E2777" s="16">
        <v>0</v>
      </c>
      <c r="F2777" s="16" t="s">
        <v>64</v>
      </c>
      <c r="G2777" s="16" t="s">
        <v>64</v>
      </c>
    </row>
    <row r="2778" spans="1:7" x14ac:dyDescent="0.2">
      <c r="A2778" t="s">
        <v>64</v>
      </c>
      <c r="B2778" t="s">
        <v>64</v>
      </c>
      <c r="C2778" s="3" t="s">
        <v>64</v>
      </c>
      <c r="D2778" s="16" t="s">
        <v>64</v>
      </c>
      <c r="E2778" s="16">
        <v>0</v>
      </c>
      <c r="F2778" s="16" t="s">
        <v>64</v>
      </c>
      <c r="G2778" s="16" t="s">
        <v>64</v>
      </c>
    </row>
    <row r="2779" spans="1:7" x14ac:dyDescent="0.2">
      <c r="A2779" t="s">
        <v>64</v>
      </c>
      <c r="B2779" t="s">
        <v>64</v>
      </c>
      <c r="C2779" s="3" t="s">
        <v>64</v>
      </c>
      <c r="D2779" s="16" t="s">
        <v>64</v>
      </c>
      <c r="E2779" s="16">
        <v>0</v>
      </c>
      <c r="F2779" s="16" t="s">
        <v>64</v>
      </c>
      <c r="G2779" s="16" t="s">
        <v>64</v>
      </c>
    </row>
    <row r="2780" spans="1:7" x14ac:dyDescent="0.2">
      <c r="A2780" t="s">
        <v>64</v>
      </c>
      <c r="B2780" t="s">
        <v>64</v>
      </c>
      <c r="C2780" s="3" t="s">
        <v>64</v>
      </c>
      <c r="D2780" s="16" t="s">
        <v>64</v>
      </c>
      <c r="E2780" s="16">
        <v>0</v>
      </c>
      <c r="F2780" s="16" t="s">
        <v>64</v>
      </c>
      <c r="G2780" s="16" t="s">
        <v>64</v>
      </c>
    </row>
    <row r="2781" spans="1:7" x14ac:dyDescent="0.2">
      <c r="A2781" t="s">
        <v>64</v>
      </c>
      <c r="B2781" t="s">
        <v>64</v>
      </c>
      <c r="C2781" s="3" t="s">
        <v>64</v>
      </c>
      <c r="D2781" s="16" t="s">
        <v>64</v>
      </c>
      <c r="E2781" s="16">
        <v>0</v>
      </c>
      <c r="F2781" s="16" t="s">
        <v>64</v>
      </c>
      <c r="G2781" s="16" t="s">
        <v>64</v>
      </c>
    </row>
    <row r="2782" spans="1:7" x14ac:dyDescent="0.2">
      <c r="A2782" t="s">
        <v>64</v>
      </c>
      <c r="B2782" t="s">
        <v>64</v>
      </c>
      <c r="C2782" s="3" t="s">
        <v>64</v>
      </c>
      <c r="D2782" s="16" t="s">
        <v>64</v>
      </c>
      <c r="E2782" s="16">
        <v>0</v>
      </c>
      <c r="F2782" s="16" t="s">
        <v>64</v>
      </c>
      <c r="G2782" s="16" t="s">
        <v>64</v>
      </c>
    </row>
    <row r="2783" spans="1:7" x14ac:dyDescent="0.2">
      <c r="A2783" t="s">
        <v>64</v>
      </c>
      <c r="B2783" t="s">
        <v>64</v>
      </c>
      <c r="C2783" s="3" t="s">
        <v>64</v>
      </c>
      <c r="D2783" s="16" t="s">
        <v>64</v>
      </c>
      <c r="E2783" s="16">
        <v>0</v>
      </c>
      <c r="F2783" s="16" t="s">
        <v>64</v>
      </c>
      <c r="G2783" s="16" t="s">
        <v>64</v>
      </c>
    </row>
    <row r="2784" spans="1:7" x14ac:dyDescent="0.2">
      <c r="A2784" t="s">
        <v>64</v>
      </c>
      <c r="B2784" t="s">
        <v>64</v>
      </c>
      <c r="C2784" s="3" t="s">
        <v>64</v>
      </c>
      <c r="D2784" s="16" t="s">
        <v>64</v>
      </c>
      <c r="E2784" s="16">
        <v>0</v>
      </c>
      <c r="F2784" s="16" t="s">
        <v>64</v>
      </c>
      <c r="G2784" s="16" t="s">
        <v>64</v>
      </c>
    </row>
    <row r="2785" spans="1:7" x14ac:dyDescent="0.2">
      <c r="A2785" t="s">
        <v>64</v>
      </c>
      <c r="B2785" t="s">
        <v>64</v>
      </c>
      <c r="C2785" s="3" t="s">
        <v>64</v>
      </c>
      <c r="D2785" s="16" t="s">
        <v>64</v>
      </c>
      <c r="E2785" s="16">
        <v>0</v>
      </c>
      <c r="F2785" s="16" t="s">
        <v>64</v>
      </c>
      <c r="G2785" s="16" t="s">
        <v>64</v>
      </c>
    </row>
    <row r="2786" spans="1:7" x14ac:dyDescent="0.2">
      <c r="A2786" t="s">
        <v>64</v>
      </c>
      <c r="B2786" t="s">
        <v>64</v>
      </c>
      <c r="C2786" s="3" t="s">
        <v>64</v>
      </c>
      <c r="D2786" s="16" t="s">
        <v>64</v>
      </c>
      <c r="E2786" s="16">
        <v>0</v>
      </c>
      <c r="F2786" s="16" t="s">
        <v>64</v>
      </c>
      <c r="G2786" s="16" t="s">
        <v>64</v>
      </c>
    </row>
    <row r="2787" spans="1:7" x14ac:dyDescent="0.2">
      <c r="A2787" t="s">
        <v>64</v>
      </c>
      <c r="B2787" t="s">
        <v>64</v>
      </c>
      <c r="C2787" s="3" t="s">
        <v>64</v>
      </c>
      <c r="D2787" s="16" t="s">
        <v>64</v>
      </c>
      <c r="E2787" s="16">
        <v>0</v>
      </c>
      <c r="F2787" s="16" t="s">
        <v>64</v>
      </c>
      <c r="G2787" s="16" t="s">
        <v>64</v>
      </c>
    </row>
    <row r="2788" spans="1:7" x14ac:dyDescent="0.2">
      <c r="A2788" t="s">
        <v>64</v>
      </c>
      <c r="B2788" t="s">
        <v>64</v>
      </c>
      <c r="C2788" s="3" t="s">
        <v>64</v>
      </c>
      <c r="D2788" s="16" t="s">
        <v>64</v>
      </c>
      <c r="E2788" s="16">
        <v>0</v>
      </c>
      <c r="F2788" s="16" t="s">
        <v>64</v>
      </c>
      <c r="G2788" s="16" t="s">
        <v>64</v>
      </c>
    </row>
    <row r="2789" spans="1:7" x14ac:dyDescent="0.2">
      <c r="A2789" t="s">
        <v>64</v>
      </c>
      <c r="B2789" t="s">
        <v>64</v>
      </c>
      <c r="C2789" s="3" t="s">
        <v>64</v>
      </c>
      <c r="D2789" s="16" t="s">
        <v>64</v>
      </c>
      <c r="E2789" s="16">
        <v>0</v>
      </c>
      <c r="F2789" s="16" t="s">
        <v>64</v>
      </c>
      <c r="G2789" s="16" t="s">
        <v>64</v>
      </c>
    </row>
    <row r="2790" spans="1:7" x14ac:dyDescent="0.2">
      <c r="A2790" t="s">
        <v>64</v>
      </c>
      <c r="B2790" t="s">
        <v>64</v>
      </c>
      <c r="C2790" s="3" t="s">
        <v>64</v>
      </c>
      <c r="D2790" s="16" t="s">
        <v>64</v>
      </c>
      <c r="E2790" s="16">
        <v>0</v>
      </c>
      <c r="F2790" s="16" t="s">
        <v>64</v>
      </c>
      <c r="G2790" s="16" t="s">
        <v>64</v>
      </c>
    </row>
    <row r="2791" spans="1:7" x14ac:dyDescent="0.2">
      <c r="A2791" t="s">
        <v>64</v>
      </c>
      <c r="B2791" t="s">
        <v>64</v>
      </c>
      <c r="C2791" s="3" t="s">
        <v>64</v>
      </c>
      <c r="D2791" s="16" t="s">
        <v>64</v>
      </c>
      <c r="E2791" s="16">
        <v>0</v>
      </c>
      <c r="F2791" s="16" t="s">
        <v>64</v>
      </c>
      <c r="G2791" s="16" t="s">
        <v>64</v>
      </c>
    </row>
    <row r="2792" spans="1:7" x14ac:dyDescent="0.2">
      <c r="A2792" t="s">
        <v>64</v>
      </c>
      <c r="B2792" t="s">
        <v>64</v>
      </c>
      <c r="C2792" s="3" t="s">
        <v>64</v>
      </c>
      <c r="D2792" s="16" t="s">
        <v>64</v>
      </c>
      <c r="E2792" s="16">
        <v>0</v>
      </c>
      <c r="F2792" s="16" t="s">
        <v>64</v>
      </c>
      <c r="G2792" s="16" t="s">
        <v>64</v>
      </c>
    </row>
    <row r="2793" spans="1:7" x14ac:dyDescent="0.2">
      <c r="A2793" t="s">
        <v>64</v>
      </c>
      <c r="B2793" t="s">
        <v>64</v>
      </c>
      <c r="C2793" s="3" t="s">
        <v>64</v>
      </c>
      <c r="D2793" s="16" t="s">
        <v>64</v>
      </c>
      <c r="E2793" s="16">
        <v>0</v>
      </c>
      <c r="F2793" s="16" t="s">
        <v>64</v>
      </c>
      <c r="G2793" s="16" t="s">
        <v>64</v>
      </c>
    </row>
    <row r="2794" spans="1:7" x14ac:dyDescent="0.2">
      <c r="A2794" t="s">
        <v>64</v>
      </c>
      <c r="B2794" t="s">
        <v>64</v>
      </c>
      <c r="C2794" s="3" t="s">
        <v>64</v>
      </c>
      <c r="D2794" s="16" t="s">
        <v>64</v>
      </c>
      <c r="E2794" s="16">
        <v>0</v>
      </c>
      <c r="F2794" s="16" t="s">
        <v>64</v>
      </c>
      <c r="G2794" s="16" t="s">
        <v>64</v>
      </c>
    </row>
    <row r="2795" spans="1:7" x14ac:dyDescent="0.2">
      <c r="A2795" t="s">
        <v>64</v>
      </c>
      <c r="B2795" t="s">
        <v>64</v>
      </c>
      <c r="C2795" s="3" t="s">
        <v>64</v>
      </c>
      <c r="D2795" s="16" t="s">
        <v>64</v>
      </c>
      <c r="E2795" s="16">
        <v>0</v>
      </c>
      <c r="F2795" s="16" t="s">
        <v>64</v>
      </c>
      <c r="G2795" s="16" t="s">
        <v>64</v>
      </c>
    </row>
    <row r="2796" spans="1:7" x14ac:dyDescent="0.2">
      <c r="A2796" t="s">
        <v>64</v>
      </c>
      <c r="B2796" t="s">
        <v>64</v>
      </c>
      <c r="C2796" s="3" t="s">
        <v>64</v>
      </c>
      <c r="D2796" s="16" t="s">
        <v>64</v>
      </c>
      <c r="E2796" s="16">
        <v>0</v>
      </c>
      <c r="F2796" s="16" t="s">
        <v>64</v>
      </c>
      <c r="G2796" s="16" t="s">
        <v>64</v>
      </c>
    </row>
    <row r="2797" spans="1:7" x14ac:dyDescent="0.2">
      <c r="A2797" t="s">
        <v>64</v>
      </c>
      <c r="B2797" t="s">
        <v>64</v>
      </c>
      <c r="C2797" s="3" t="s">
        <v>64</v>
      </c>
      <c r="D2797" s="16" t="s">
        <v>64</v>
      </c>
      <c r="E2797" s="16">
        <v>0</v>
      </c>
      <c r="F2797" s="16" t="s">
        <v>64</v>
      </c>
      <c r="G2797" s="16" t="s">
        <v>64</v>
      </c>
    </row>
    <row r="2798" spans="1:7" x14ac:dyDescent="0.2">
      <c r="A2798" t="s">
        <v>64</v>
      </c>
      <c r="B2798" t="s">
        <v>64</v>
      </c>
      <c r="C2798" s="3" t="s">
        <v>64</v>
      </c>
      <c r="D2798" s="16" t="s">
        <v>64</v>
      </c>
      <c r="E2798" s="16">
        <v>0</v>
      </c>
      <c r="F2798" s="16" t="s">
        <v>64</v>
      </c>
      <c r="G2798" s="16" t="s">
        <v>64</v>
      </c>
    </row>
    <row r="2799" spans="1:7" x14ac:dyDescent="0.2">
      <c r="A2799" t="s">
        <v>64</v>
      </c>
      <c r="B2799" t="s">
        <v>64</v>
      </c>
      <c r="C2799" s="3" t="s">
        <v>64</v>
      </c>
      <c r="D2799" s="16" t="s">
        <v>64</v>
      </c>
      <c r="E2799" s="16">
        <v>0</v>
      </c>
      <c r="F2799" s="16" t="s">
        <v>64</v>
      </c>
      <c r="G2799" s="16" t="s">
        <v>64</v>
      </c>
    </row>
    <row r="2800" spans="1:7" x14ac:dyDescent="0.2">
      <c r="A2800" t="s">
        <v>64</v>
      </c>
      <c r="B2800" t="s">
        <v>64</v>
      </c>
      <c r="C2800" s="3" t="s">
        <v>64</v>
      </c>
      <c r="D2800" s="16" t="s">
        <v>64</v>
      </c>
      <c r="E2800" s="16">
        <v>0</v>
      </c>
      <c r="F2800" s="16" t="s">
        <v>64</v>
      </c>
      <c r="G2800" s="16" t="s">
        <v>64</v>
      </c>
    </row>
    <row r="2801" spans="1:7" x14ac:dyDescent="0.2">
      <c r="A2801" t="s">
        <v>64</v>
      </c>
      <c r="B2801" t="s">
        <v>64</v>
      </c>
      <c r="C2801" s="3" t="s">
        <v>64</v>
      </c>
      <c r="D2801" s="16" t="s">
        <v>64</v>
      </c>
      <c r="E2801" s="16">
        <v>0</v>
      </c>
      <c r="F2801" s="16" t="s">
        <v>64</v>
      </c>
      <c r="G2801" s="16" t="s">
        <v>64</v>
      </c>
    </row>
    <row r="2802" spans="1:7" x14ac:dyDescent="0.2">
      <c r="A2802" t="s">
        <v>64</v>
      </c>
      <c r="B2802" t="s">
        <v>64</v>
      </c>
      <c r="C2802" s="3" t="s">
        <v>64</v>
      </c>
      <c r="D2802" s="16" t="s">
        <v>64</v>
      </c>
      <c r="E2802" s="16">
        <v>0</v>
      </c>
      <c r="F2802" s="16" t="s">
        <v>64</v>
      </c>
      <c r="G2802" s="16" t="s">
        <v>64</v>
      </c>
    </row>
    <row r="2803" spans="1:7" x14ac:dyDescent="0.2">
      <c r="A2803" t="s">
        <v>64</v>
      </c>
      <c r="B2803" t="s">
        <v>64</v>
      </c>
      <c r="C2803" s="3" t="s">
        <v>64</v>
      </c>
      <c r="D2803" s="16" t="s">
        <v>64</v>
      </c>
      <c r="E2803" s="16">
        <v>0</v>
      </c>
      <c r="F2803" s="16" t="s">
        <v>64</v>
      </c>
      <c r="G2803" s="16" t="s">
        <v>64</v>
      </c>
    </row>
    <row r="2804" spans="1:7" x14ac:dyDescent="0.2">
      <c r="A2804" t="s">
        <v>64</v>
      </c>
      <c r="B2804" t="s">
        <v>64</v>
      </c>
      <c r="C2804" s="3" t="s">
        <v>64</v>
      </c>
      <c r="D2804" s="16" t="s">
        <v>64</v>
      </c>
      <c r="E2804" s="16">
        <v>0</v>
      </c>
      <c r="F2804" s="16" t="s">
        <v>64</v>
      </c>
      <c r="G2804" s="16" t="s">
        <v>64</v>
      </c>
    </row>
    <row r="2805" spans="1:7" x14ac:dyDescent="0.2">
      <c r="A2805" t="s">
        <v>64</v>
      </c>
      <c r="B2805" t="s">
        <v>64</v>
      </c>
      <c r="C2805" s="3" t="s">
        <v>64</v>
      </c>
      <c r="D2805" s="16" t="s">
        <v>64</v>
      </c>
      <c r="E2805" s="16">
        <v>0</v>
      </c>
      <c r="F2805" s="16" t="s">
        <v>64</v>
      </c>
      <c r="G2805" s="16" t="s">
        <v>64</v>
      </c>
    </row>
    <row r="2806" spans="1:7" x14ac:dyDescent="0.2">
      <c r="A2806" t="s">
        <v>64</v>
      </c>
      <c r="B2806" t="s">
        <v>64</v>
      </c>
      <c r="C2806" s="3" t="s">
        <v>64</v>
      </c>
      <c r="D2806" s="16" t="s">
        <v>64</v>
      </c>
      <c r="E2806" s="16">
        <v>0</v>
      </c>
      <c r="F2806" s="16" t="s">
        <v>64</v>
      </c>
      <c r="G2806" s="16" t="s">
        <v>64</v>
      </c>
    </row>
    <row r="2807" spans="1:7" x14ac:dyDescent="0.2">
      <c r="A2807" t="s">
        <v>64</v>
      </c>
      <c r="B2807" t="s">
        <v>64</v>
      </c>
      <c r="C2807" s="3" t="s">
        <v>64</v>
      </c>
      <c r="D2807" s="16" t="s">
        <v>64</v>
      </c>
      <c r="E2807" s="16">
        <v>0</v>
      </c>
      <c r="F2807" s="16" t="s">
        <v>64</v>
      </c>
      <c r="G2807" s="16" t="s">
        <v>64</v>
      </c>
    </row>
    <row r="2808" spans="1:7" x14ac:dyDescent="0.2">
      <c r="A2808" t="s">
        <v>64</v>
      </c>
      <c r="B2808" t="s">
        <v>64</v>
      </c>
      <c r="C2808" s="3" t="s">
        <v>64</v>
      </c>
      <c r="D2808" s="16" t="s">
        <v>64</v>
      </c>
      <c r="E2808" s="16">
        <v>0</v>
      </c>
      <c r="F2808" s="16" t="s">
        <v>64</v>
      </c>
      <c r="G2808" s="16" t="s">
        <v>64</v>
      </c>
    </row>
    <row r="2809" spans="1:7" x14ac:dyDescent="0.2">
      <c r="A2809" t="s">
        <v>64</v>
      </c>
      <c r="B2809" t="s">
        <v>64</v>
      </c>
      <c r="C2809" s="3" t="s">
        <v>64</v>
      </c>
      <c r="D2809" s="16" t="s">
        <v>64</v>
      </c>
      <c r="E2809" s="16">
        <v>0</v>
      </c>
      <c r="F2809" s="16" t="s">
        <v>64</v>
      </c>
      <c r="G2809" s="16" t="s">
        <v>64</v>
      </c>
    </row>
    <row r="2810" spans="1:7" x14ac:dyDescent="0.2">
      <c r="A2810" t="s">
        <v>64</v>
      </c>
      <c r="B2810" t="s">
        <v>64</v>
      </c>
      <c r="C2810" s="3" t="s">
        <v>64</v>
      </c>
      <c r="D2810" s="16" t="s">
        <v>64</v>
      </c>
      <c r="E2810" s="16">
        <v>0</v>
      </c>
      <c r="F2810" s="16" t="s">
        <v>64</v>
      </c>
      <c r="G2810" s="16" t="s">
        <v>64</v>
      </c>
    </row>
    <row r="2811" spans="1:7" x14ac:dyDescent="0.2">
      <c r="A2811" t="s">
        <v>64</v>
      </c>
      <c r="B2811" t="s">
        <v>64</v>
      </c>
      <c r="C2811" s="3" t="s">
        <v>64</v>
      </c>
      <c r="D2811" s="16" t="s">
        <v>64</v>
      </c>
      <c r="E2811" s="16">
        <v>0</v>
      </c>
      <c r="F2811" s="16" t="s">
        <v>64</v>
      </c>
      <c r="G2811" s="16" t="s">
        <v>64</v>
      </c>
    </row>
    <row r="2812" spans="1:7" x14ac:dyDescent="0.2">
      <c r="A2812" t="s">
        <v>64</v>
      </c>
      <c r="B2812" t="s">
        <v>64</v>
      </c>
      <c r="C2812" s="3" t="s">
        <v>64</v>
      </c>
      <c r="D2812" s="16" t="s">
        <v>64</v>
      </c>
      <c r="E2812" s="16">
        <v>0</v>
      </c>
      <c r="F2812" s="16" t="s">
        <v>64</v>
      </c>
      <c r="G2812" s="16" t="s">
        <v>64</v>
      </c>
    </row>
    <row r="2813" spans="1:7" x14ac:dyDescent="0.2">
      <c r="A2813" t="s">
        <v>64</v>
      </c>
      <c r="B2813" t="s">
        <v>64</v>
      </c>
      <c r="C2813" s="3" t="s">
        <v>64</v>
      </c>
      <c r="D2813" s="16" t="s">
        <v>64</v>
      </c>
      <c r="E2813" s="16">
        <v>0</v>
      </c>
      <c r="F2813" s="16" t="s">
        <v>64</v>
      </c>
      <c r="G2813" s="16" t="s">
        <v>64</v>
      </c>
    </row>
    <row r="2814" spans="1:7" x14ac:dyDescent="0.2">
      <c r="A2814" t="s">
        <v>64</v>
      </c>
      <c r="B2814" t="s">
        <v>64</v>
      </c>
      <c r="C2814" s="3" t="s">
        <v>64</v>
      </c>
      <c r="D2814" s="16" t="s">
        <v>64</v>
      </c>
      <c r="E2814" s="16">
        <v>0</v>
      </c>
      <c r="F2814" s="16" t="s">
        <v>64</v>
      </c>
      <c r="G2814" s="16" t="s">
        <v>64</v>
      </c>
    </row>
    <row r="2815" spans="1:7" x14ac:dyDescent="0.2">
      <c r="A2815" t="s">
        <v>64</v>
      </c>
      <c r="B2815" t="s">
        <v>64</v>
      </c>
      <c r="C2815" s="3" t="s">
        <v>64</v>
      </c>
      <c r="D2815" s="16" t="s">
        <v>64</v>
      </c>
      <c r="E2815" s="16">
        <v>0</v>
      </c>
      <c r="F2815" s="16" t="s">
        <v>64</v>
      </c>
      <c r="G2815" s="16" t="s">
        <v>64</v>
      </c>
    </row>
    <row r="2816" spans="1:7" x14ac:dyDescent="0.2">
      <c r="A2816" t="s">
        <v>64</v>
      </c>
      <c r="B2816" t="s">
        <v>64</v>
      </c>
      <c r="C2816" s="3" t="s">
        <v>64</v>
      </c>
      <c r="D2816" s="16" t="s">
        <v>64</v>
      </c>
      <c r="E2816" s="16">
        <v>0</v>
      </c>
      <c r="F2816" s="16" t="s">
        <v>64</v>
      </c>
      <c r="G2816" s="16" t="s">
        <v>64</v>
      </c>
    </row>
    <row r="2817" spans="1:7" x14ac:dyDescent="0.2">
      <c r="A2817" t="s">
        <v>64</v>
      </c>
      <c r="B2817" t="s">
        <v>64</v>
      </c>
      <c r="C2817" s="3" t="s">
        <v>64</v>
      </c>
      <c r="D2817" s="16" t="s">
        <v>64</v>
      </c>
      <c r="E2817" s="16">
        <v>0</v>
      </c>
      <c r="F2817" s="16" t="s">
        <v>64</v>
      </c>
      <c r="G2817" s="16" t="s">
        <v>64</v>
      </c>
    </row>
    <row r="2818" spans="1:7" x14ac:dyDescent="0.2">
      <c r="A2818" t="s">
        <v>64</v>
      </c>
      <c r="B2818" t="s">
        <v>64</v>
      </c>
      <c r="C2818" s="3" t="s">
        <v>64</v>
      </c>
      <c r="D2818" s="16" t="s">
        <v>64</v>
      </c>
      <c r="E2818" s="16">
        <v>0</v>
      </c>
      <c r="F2818" s="16" t="s">
        <v>64</v>
      </c>
      <c r="G2818" s="16" t="s">
        <v>64</v>
      </c>
    </row>
    <row r="2819" spans="1:7" x14ac:dyDescent="0.2">
      <c r="A2819" t="s">
        <v>64</v>
      </c>
      <c r="B2819" t="s">
        <v>64</v>
      </c>
      <c r="C2819" s="3" t="s">
        <v>64</v>
      </c>
      <c r="D2819" s="16" t="s">
        <v>64</v>
      </c>
      <c r="E2819" s="16">
        <v>0</v>
      </c>
      <c r="F2819" s="16" t="s">
        <v>64</v>
      </c>
      <c r="G2819" s="16" t="s">
        <v>64</v>
      </c>
    </row>
    <row r="2820" spans="1:7" x14ac:dyDescent="0.2">
      <c r="A2820" t="s">
        <v>64</v>
      </c>
      <c r="B2820" t="s">
        <v>64</v>
      </c>
      <c r="C2820" s="3" t="s">
        <v>64</v>
      </c>
      <c r="D2820" s="16" t="s">
        <v>64</v>
      </c>
      <c r="E2820" s="16">
        <v>0</v>
      </c>
      <c r="F2820" s="16" t="s">
        <v>64</v>
      </c>
      <c r="G2820" s="16" t="s">
        <v>64</v>
      </c>
    </row>
    <row r="2821" spans="1:7" x14ac:dyDescent="0.2">
      <c r="A2821" t="s">
        <v>64</v>
      </c>
      <c r="B2821" t="s">
        <v>64</v>
      </c>
      <c r="C2821" s="3" t="s">
        <v>64</v>
      </c>
      <c r="D2821" s="16" t="s">
        <v>64</v>
      </c>
      <c r="E2821" s="16">
        <v>0</v>
      </c>
      <c r="F2821" s="16" t="s">
        <v>64</v>
      </c>
      <c r="G2821" s="16" t="s">
        <v>64</v>
      </c>
    </row>
    <row r="2822" spans="1:7" x14ac:dyDescent="0.2">
      <c r="A2822" t="s">
        <v>64</v>
      </c>
      <c r="B2822" t="s">
        <v>64</v>
      </c>
      <c r="C2822" s="3" t="s">
        <v>64</v>
      </c>
      <c r="D2822" s="16" t="s">
        <v>64</v>
      </c>
      <c r="E2822" s="16">
        <v>0</v>
      </c>
      <c r="F2822" s="16" t="s">
        <v>64</v>
      </c>
      <c r="G2822" s="16" t="s">
        <v>64</v>
      </c>
    </row>
    <row r="2823" spans="1:7" x14ac:dyDescent="0.2">
      <c r="A2823" t="s">
        <v>64</v>
      </c>
      <c r="B2823" t="s">
        <v>64</v>
      </c>
      <c r="C2823" s="3" t="s">
        <v>64</v>
      </c>
      <c r="D2823" s="16" t="s">
        <v>64</v>
      </c>
      <c r="E2823" s="16">
        <v>0</v>
      </c>
      <c r="F2823" s="16" t="s">
        <v>64</v>
      </c>
      <c r="G2823" s="16" t="s">
        <v>64</v>
      </c>
    </row>
    <row r="2824" spans="1:7" x14ac:dyDescent="0.2">
      <c r="A2824" t="s">
        <v>64</v>
      </c>
      <c r="B2824" t="s">
        <v>64</v>
      </c>
      <c r="C2824" s="3" t="s">
        <v>64</v>
      </c>
      <c r="D2824" s="16" t="s">
        <v>64</v>
      </c>
      <c r="E2824" s="16">
        <v>0</v>
      </c>
      <c r="F2824" s="16" t="s">
        <v>64</v>
      </c>
      <c r="G2824" s="16" t="s">
        <v>64</v>
      </c>
    </row>
    <row r="2825" spans="1:7" x14ac:dyDescent="0.2">
      <c r="A2825" t="s">
        <v>64</v>
      </c>
      <c r="B2825" t="s">
        <v>64</v>
      </c>
      <c r="C2825" s="3" t="s">
        <v>64</v>
      </c>
      <c r="D2825" s="16" t="s">
        <v>64</v>
      </c>
      <c r="E2825" s="16">
        <v>0</v>
      </c>
      <c r="F2825" s="16" t="s">
        <v>64</v>
      </c>
      <c r="G2825" s="16" t="s">
        <v>64</v>
      </c>
    </row>
    <row r="2826" spans="1:7" x14ac:dyDescent="0.2">
      <c r="A2826" t="s">
        <v>64</v>
      </c>
      <c r="B2826" t="s">
        <v>64</v>
      </c>
      <c r="C2826" s="3" t="s">
        <v>64</v>
      </c>
      <c r="D2826" s="16" t="s">
        <v>64</v>
      </c>
      <c r="E2826" s="16">
        <v>0</v>
      </c>
      <c r="F2826" s="16" t="s">
        <v>64</v>
      </c>
      <c r="G2826" s="16" t="s">
        <v>64</v>
      </c>
    </row>
    <row r="2827" spans="1:7" x14ac:dyDescent="0.2">
      <c r="A2827" t="s">
        <v>64</v>
      </c>
      <c r="B2827" t="s">
        <v>64</v>
      </c>
      <c r="C2827" s="3" t="s">
        <v>64</v>
      </c>
      <c r="D2827" s="16" t="s">
        <v>64</v>
      </c>
      <c r="E2827" s="16">
        <v>0</v>
      </c>
      <c r="F2827" s="16" t="s">
        <v>64</v>
      </c>
      <c r="G2827" s="16" t="s">
        <v>64</v>
      </c>
    </row>
    <row r="2828" spans="1:7" x14ac:dyDescent="0.2">
      <c r="A2828" t="s">
        <v>64</v>
      </c>
      <c r="B2828" t="s">
        <v>64</v>
      </c>
      <c r="C2828" s="3" t="s">
        <v>64</v>
      </c>
      <c r="D2828" s="16" t="s">
        <v>64</v>
      </c>
      <c r="E2828" s="16">
        <v>0</v>
      </c>
      <c r="F2828" s="16" t="s">
        <v>64</v>
      </c>
      <c r="G2828" s="16" t="s">
        <v>64</v>
      </c>
    </row>
    <row r="2829" spans="1:7" x14ac:dyDescent="0.2">
      <c r="A2829" t="s">
        <v>64</v>
      </c>
      <c r="B2829" t="s">
        <v>64</v>
      </c>
      <c r="C2829" s="3" t="s">
        <v>64</v>
      </c>
      <c r="D2829" s="16" t="s">
        <v>64</v>
      </c>
      <c r="E2829" s="16">
        <v>0</v>
      </c>
      <c r="F2829" s="16" t="s">
        <v>64</v>
      </c>
      <c r="G2829" s="16" t="s">
        <v>64</v>
      </c>
    </row>
    <row r="2830" spans="1:7" x14ac:dyDescent="0.2">
      <c r="A2830" t="s">
        <v>64</v>
      </c>
      <c r="B2830" t="s">
        <v>64</v>
      </c>
      <c r="C2830" s="3" t="s">
        <v>64</v>
      </c>
      <c r="D2830" s="16" t="s">
        <v>64</v>
      </c>
      <c r="E2830" s="16">
        <v>0</v>
      </c>
      <c r="F2830" s="16" t="s">
        <v>64</v>
      </c>
      <c r="G2830" s="16" t="s">
        <v>64</v>
      </c>
    </row>
    <row r="2831" spans="1:7" x14ac:dyDescent="0.2">
      <c r="A2831" t="s">
        <v>64</v>
      </c>
      <c r="B2831" t="s">
        <v>64</v>
      </c>
      <c r="C2831" s="3" t="s">
        <v>64</v>
      </c>
      <c r="D2831" s="16" t="s">
        <v>64</v>
      </c>
      <c r="E2831" s="16">
        <v>0</v>
      </c>
      <c r="F2831" s="16" t="s">
        <v>64</v>
      </c>
      <c r="G2831" s="16" t="s">
        <v>64</v>
      </c>
    </row>
    <row r="2832" spans="1:7" x14ac:dyDescent="0.2">
      <c r="A2832" t="s">
        <v>64</v>
      </c>
      <c r="B2832" t="s">
        <v>64</v>
      </c>
      <c r="C2832" s="3" t="s">
        <v>64</v>
      </c>
      <c r="D2832" s="16" t="s">
        <v>64</v>
      </c>
      <c r="E2832" s="16">
        <v>0</v>
      </c>
      <c r="F2832" s="16" t="s">
        <v>64</v>
      </c>
      <c r="G2832" s="16" t="s">
        <v>64</v>
      </c>
    </row>
    <row r="2833" spans="1:7" x14ac:dyDescent="0.2">
      <c r="A2833" t="s">
        <v>64</v>
      </c>
      <c r="B2833" t="s">
        <v>64</v>
      </c>
      <c r="C2833" s="3" t="s">
        <v>64</v>
      </c>
      <c r="D2833" s="16" t="s">
        <v>64</v>
      </c>
      <c r="E2833" s="16">
        <v>0</v>
      </c>
      <c r="F2833" s="16" t="s">
        <v>64</v>
      </c>
      <c r="G2833" s="16" t="s">
        <v>64</v>
      </c>
    </row>
    <row r="2834" spans="1:7" x14ac:dyDescent="0.2">
      <c r="A2834" t="s">
        <v>64</v>
      </c>
      <c r="B2834" t="s">
        <v>64</v>
      </c>
      <c r="C2834" s="3" t="s">
        <v>64</v>
      </c>
      <c r="D2834" s="16" t="s">
        <v>64</v>
      </c>
      <c r="E2834" s="16">
        <v>0</v>
      </c>
      <c r="F2834" s="16" t="s">
        <v>64</v>
      </c>
      <c r="G2834" s="16" t="s">
        <v>64</v>
      </c>
    </row>
    <row r="2835" spans="1:7" x14ac:dyDescent="0.2">
      <c r="A2835" t="s">
        <v>64</v>
      </c>
      <c r="B2835" t="s">
        <v>64</v>
      </c>
      <c r="C2835" s="3" t="s">
        <v>64</v>
      </c>
      <c r="D2835" s="16" t="s">
        <v>64</v>
      </c>
      <c r="E2835" s="16">
        <v>0</v>
      </c>
      <c r="F2835" s="16" t="s">
        <v>64</v>
      </c>
      <c r="G2835" s="16" t="s">
        <v>64</v>
      </c>
    </row>
    <row r="2836" spans="1:7" x14ac:dyDescent="0.2">
      <c r="A2836" t="s">
        <v>64</v>
      </c>
      <c r="B2836" t="s">
        <v>64</v>
      </c>
      <c r="C2836" s="3" t="s">
        <v>64</v>
      </c>
      <c r="D2836" s="16" t="s">
        <v>64</v>
      </c>
      <c r="E2836" s="16">
        <v>0</v>
      </c>
      <c r="F2836" s="16" t="s">
        <v>64</v>
      </c>
      <c r="G2836" s="16" t="s">
        <v>64</v>
      </c>
    </row>
    <row r="2837" spans="1:7" x14ac:dyDescent="0.2">
      <c r="A2837" t="s">
        <v>64</v>
      </c>
      <c r="B2837" t="s">
        <v>64</v>
      </c>
      <c r="C2837" s="3" t="s">
        <v>64</v>
      </c>
      <c r="D2837" s="16" t="s">
        <v>64</v>
      </c>
      <c r="E2837" s="16">
        <v>0</v>
      </c>
      <c r="F2837" s="16" t="s">
        <v>64</v>
      </c>
      <c r="G2837" s="16" t="s">
        <v>64</v>
      </c>
    </row>
    <row r="2838" spans="1:7" x14ac:dyDescent="0.2">
      <c r="A2838" t="s">
        <v>64</v>
      </c>
      <c r="B2838" t="s">
        <v>64</v>
      </c>
      <c r="C2838" s="3" t="s">
        <v>64</v>
      </c>
      <c r="D2838" s="16" t="s">
        <v>64</v>
      </c>
      <c r="E2838" s="16">
        <v>0</v>
      </c>
      <c r="F2838" s="16" t="s">
        <v>64</v>
      </c>
      <c r="G2838" s="16" t="s">
        <v>64</v>
      </c>
    </row>
    <row r="2839" spans="1:7" x14ac:dyDescent="0.2">
      <c r="A2839" t="s">
        <v>64</v>
      </c>
      <c r="B2839" t="s">
        <v>64</v>
      </c>
      <c r="C2839" s="3" t="s">
        <v>64</v>
      </c>
      <c r="D2839" s="16" t="s">
        <v>64</v>
      </c>
      <c r="E2839" s="16">
        <v>0</v>
      </c>
      <c r="F2839" s="16" t="s">
        <v>64</v>
      </c>
      <c r="G2839" s="16" t="s">
        <v>64</v>
      </c>
    </row>
    <row r="2840" spans="1:7" x14ac:dyDescent="0.2">
      <c r="A2840" t="s">
        <v>64</v>
      </c>
      <c r="B2840" t="s">
        <v>64</v>
      </c>
      <c r="C2840" s="3" t="s">
        <v>64</v>
      </c>
      <c r="D2840" s="16" t="s">
        <v>64</v>
      </c>
      <c r="E2840" s="16">
        <v>0</v>
      </c>
      <c r="F2840" s="16" t="s">
        <v>64</v>
      </c>
      <c r="G2840" s="16" t="s">
        <v>64</v>
      </c>
    </row>
    <row r="2841" spans="1:7" x14ac:dyDescent="0.2">
      <c r="A2841" t="s">
        <v>64</v>
      </c>
      <c r="B2841" t="s">
        <v>64</v>
      </c>
      <c r="C2841" s="3" t="s">
        <v>64</v>
      </c>
      <c r="D2841" s="16" t="s">
        <v>64</v>
      </c>
      <c r="E2841" s="16">
        <v>0</v>
      </c>
      <c r="F2841" s="16" t="s">
        <v>64</v>
      </c>
      <c r="G2841" s="16" t="s">
        <v>64</v>
      </c>
    </row>
    <row r="2842" spans="1:7" x14ac:dyDescent="0.2">
      <c r="A2842" t="s">
        <v>64</v>
      </c>
      <c r="B2842" t="s">
        <v>64</v>
      </c>
      <c r="C2842" s="3" t="s">
        <v>64</v>
      </c>
      <c r="D2842" s="16" t="s">
        <v>64</v>
      </c>
      <c r="E2842" s="16">
        <v>0</v>
      </c>
      <c r="F2842" s="16" t="s">
        <v>64</v>
      </c>
      <c r="G2842" s="16" t="s">
        <v>64</v>
      </c>
    </row>
    <row r="2843" spans="1:7" x14ac:dyDescent="0.2">
      <c r="A2843" t="s">
        <v>64</v>
      </c>
      <c r="B2843" t="s">
        <v>64</v>
      </c>
      <c r="C2843" s="3" t="s">
        <v>64</v>
      </c>
      <c r="D2843" s="16" t="s">
        <v>64</v>
      </c>
      <c r="E2843" s="16">
        <v>0</v>
      </c>
      <c r="F2843" s="16" t="s">
        <v>64</v>
      </c>
      <c r="G2843" s="16" t="s">
        <v>64</v>
      </c>
    </row>
    <row r="2844" spans="1:7" x14ac:dyDescent="0.2">
      <c r="A2844" t="s">
        <v>64</v>
      </c>
      <c r="B2844" t="s">
        <v>64</v>
      </c>
      <c r="C2844" s="3" t="s">
        <v>64</v>
      </c>
      <c r="D2844" s="16" t="s">
        <v>64</v>
      </c>
      <c r="E2844" s="16">
        <v>0</v>
      </c>
      <c r="F2844" s="16" t="s">
        <v>64</v>
      </c>
      <c r="G2844" s="16" t="s">
        <v>64</v>
      </c>
    </row>
    <row r="2845" spans="1:7" x14ac:dyDescent="0.2">
      <c r="A2845" t="s">
        <v>64</v>
      </c>
      <c r="B2845" t="s">
        <v>64</v>
      </c>
      <c r="C2845" s="3" t="s">
        <v>64</v>
      </c>
      <c r="D2845" s="16" t="s">
        <v>64</v>
      </c>
      <c r="E2845" s="16">
        <v>0</v>
      </c>
      <c r="F2845" s="16" t="s">
        <v>64</v>
      </c>
      <c r="G2845" s="16" t="s">
        <v>64</v>
      </c>
    </row>
    <row r="2846" spans="1:7" x14ac:dyDescent="0.2">
      <c r="A2846" t="s">
        <v>64</v>
      </c>
      <c r="B2846" t="s">
        <v>64</v>
      </c>
      <c r="C2846" s="3" t="s">
        <v>64</v>
      </c>
      <c r="D2846" s="16" t="s">
        <v>64</v>
      </c>
      <c r="E2846" s="16">
        <v>0</v>
      </c>
      <c r="F2846" s="16" t="s">
        <v>64</v>
      </c>
      <c r="G2846" s="16" t="s">
        <v>64</v>
      </c>
    </row>
    <row r="2847" spans="1:7" x14ac:dyDescent="0.2">
      <c r="A2847" t="s">
        <v>64</v>
      </c>
      <c r="B2847" t="s">
        <v>64</v>
      </c>
      <c r="C2847" s="3" t="s">
        <v>64</v>
      </c>
      <c r="D2847" s="16" t="s">
        <v>64</v>
      </c>
      <c r="E2847" s="16">
        <v>0</v>
      </c>
      <c r="F2847" s="16" t="s">
        <v>64</v>
      </c>
      <c r="G2847" s="16" t="s">
        <v>64</v>
      </c>
    </row>
    <row r="2848" spans="1:7" x14ac:dyDescent="0.2">
      <c r="A2848" t="s">
        <v>64</v>
      </c>
      <c r="B2848" t="s">
        <v>64</v>
      </c>
      <c r="C2848" s="3" t="s">
        <v>64</v>
      </c>
      <c r="D2848" s="16" t="s">
        <v>64</v>
      </c>
      <c r="E2848" s="16">
        <v>0</v>
      </c>
      <c r="F2848" s="16" t="s">
        <v>64</v>
      </c>
      <c r="G2848" s="16" t="s">
        <v>64</v>
      </c>
    </row>
    <row r="2849" spans="1:7" x14ac:dyDescent="0.2">
      <c r="A2849" t="s">
        <v>64</v>
      </c>
      <c r="B2849" t="s">
        <v>64</v>
      </c>
      <c r="C2849" s="3" t="s">
        <v>64</v>
      </c>
      <c r="D2849" s="16" t="s">
        <v>64</v>
      </c>
      <c r="E2849" s="16">
        <v>0</v>
      </c>
      <c r="F2849" s="16" t="s">
        <v>64</v>
      </c>
      <c r="G2849" s="16" t="s">
        <v>64</v>
      </c>
    </row>
    <row r="2850" spans="1:7" x14ac:dyDescent="0.2">
      <c r="A2850" t="s">
        <v>64</v>
      </c>
      <c r="B2850" t="s">
        <v>64</v>
      </c>
      <c r="C2850" s="3" t="s">
        <v>64</v>
      </c>
      <c r="D2850" s="16" t="s">
        <v>64</v>
      </c>
      <c r="E2850" s="16">
        <v>0</v>
      </c>
      <c r="F2850" s="16" t="s">
        <v>64</v>
      </c>
      <c r="G2850" s="16" t="s">
        <v>64</v>
      </c>
    </row>
    <row r="2851" spans="1:7" x14ac:dyDescent="0.2">
      <c r="A2851" t="s">
        <v>64</v>
      </c>
      <c r="B2851" t="s">
        <v>64</v>
      </c>
      <c r="C2851" s="3" t="s">
        <v>64</v>
      </c>
      <c r="D2851" s="16" t="s">
        <v>64</v>
      </c>
      <c r="E2851" s="16">
        <v>0</v>
      </c>
      <c r="F2851" s="16" t="s">
        <v>64</v>
      </c>
      <c r="G2851" s="16" t="s">
        <v>64</v>
      </c>
    </row>
    <row r="2852" spans="1:7" x14ac:dyDescent="0.2">
      <c r="A2852" t="s">
        <v>64</v>
      </c>
      <c r="B2852" t="s">
        <v>64</v>
      </c>
      <c r="C2852" s="3" t="s">
        <v>64</v>
      </c>
      <c r="D2852" s="16" t="s">
        <v>64</v>
      </c>
      <c r="E2852" s="16">
        <v>0</v>
      </c>
      <c r="F2852" s="16" t="s">
        <v>64</v>
      </c>
      <c r="G2852" s="16" t="s">
        <v>64</v>
      </c>
    </row>
    <row r="2853" spans="1:7" x14ac:dyDescent="0.2">
      <c r="A2853" t="s">
        <v>64</v>
      </c>
      <c r="B2853" t="s">
        <v>64</v>
      </c>
      <c r="C2853" s="3" t="s">
        <v>64</v>
      </c>
      <c r="D2853" s="16" t="s">
        <v>64</v>
      </c>
      <c r="E2853" s="16">
        <v>0</v>
      </c>
      <c r="F2853" s="16" t="s">
        <v>64</v>
      </c>
      <c r="G2853" s="16" t="s">
        <v>64</v>
      </c>
    </row>
    <row r="2854" spans="1:7" x14ac:dyDescent="0.2">
      <c r="A2854" t="s">
        <v>64</v>
      </c>
      <c r="B2854" t="s">
        <v>64</v>
      </c>
      <c r="C2854" s="3" t="s">
        <v>64</v>
      </c>
      <c r="D2854" s="16" t="s">
        <v>64</v>
      </c>
      <c r="E2854" s="16">
        <v>0</v>
      </c>
      <c r="F2854" s="16" t="s">
        <v>64</v>
      </c>
      <c r="G2854" s="16" t="s">
        <v>64</v>
      </c>
    </row>
    <row r="2855" spans="1:7" x14ac:dyDescent="0.2">
      <c r="A2855" t="s">
        <v>64</v>
      </c>
      <c r="B2855" t="s">
        <v>64</v>
      </c>
      <c r="C2855" s="3" t="s">
        <v>64</v>
      </c>
      <c r="D2855" s="16" t="s">
        <v>64</v>
      </c>
      <c r="E2855" s="16">
        <v>0</v>
      </c>
      <c r="F2855" s="16" t="s">
        <v>64</v>
      </c>
      <c r="G2855" s="16" t="s">
        <v>64</v>
      </c>
    </row>
    <row r="2856" spans="1:7" x14ac:dyDescent="0.2">
      <c r="A2856" t="s">
        <v>64</v>
      </c>
      <c r="B2856" t="s">
        <v>64</v>
      </c>
      <c r="C2856" s="3" t="s">
        <v>64</v>
      </c>
      <c r="D2856" s="16" t="s">
        <v>64</v>
      </c>
      <c r="E2856" s="16">
        <v>0</v>
      </c>
      <c r="F2856" s="16" t="s">
        <v>64</v>
      </c>
      <c r="G2856" s="16" t="s">
        <v>64</v>
      </c>
    </row>
    <row r="2857" spans="1:7" x14ac:dyDescent="0.2">
      <c r="A2857" t="s">
        <v>64</v>
      </c>
      <c r="B2857" t="s">
        <v>64</v>
      </c>
      <c r="C2857" s="3" t="s">
        <v>64</v>
      </c>
      <c r="D2857" s="16" t="s">
        <v>64</v>
      </c>
      <c r="E2857" s="16">
        <v>0</v>
      </c>
      <c r="F2857" s="16" t="s">
        <v>64</v>
      </c>
      <c r="G2857" s="16" t="s">
        <v>64</v>
      </c>
    </row>
    <row r="2858" spans="1:7" x14ac:dyDescent="0.2">
      <c r="A2858" t="s">
        <v>64</v>
      </c>
      <c r="B2858" t="s">
        <v>64</v>
      </c>
      <c r="C2858" s="3" t="s">
        <v>64</v>
      </c>
      <c r="D2858" s="16" t="s">
        <v>64</v>
      </c>
      <c r="E2858" s="16">
        <v>0</v>
      </c>
      <c r="F2858" s="16" t="s">
        <v>64</v>
      </c>
      <c r="G2858" s="16" t="s">
        <v>64</v>
      </c>
    </row>
    <row r="2859" spans="1:7" x14ac:dyDescent="0.2">
      <c r="A2859" t="s">
        <v>64</v>
      </c>
      <c r="B2859" t="s">
        <v>64</v>
      </c>
      <c r="C2859" s="3" t="s">
        <v>64</v>
      </c>
      <c r="D2859" s="16" t="s">
        <v>64</v>
      </c>
      <c r="E2859" s="16">
        <v>0</v>
      </c>
      <c r="F2859" s="16" t="s">
        <v>64</v>
      </c>
      <c r="G2859" s="16" t="s">
        <v>64</v>
      </c>
    </row>
    <row r="2860" spans="1:7" x14ac:dyDescent="0.2">
      <c r="A2860" t="s">
        <v>64</v>
      </c>
      <c r="B2860" t="s">
        <v>64</v>
      </c>
      <c r="C2860" s="3" t="s">
        <v>64</v>
      </c>
      <c r="D2860" s="16" t="s">
        <v>64</v>
      </c>
      <c r="E2860" s="16">
        <v>0</v>
      </c>
      <c r="F2860" s="16" t="s">
        <v>64</v>
      </c>
      <c r="G2860" s="16" t="s">
        <v>64</v>
      </c>
    </row>
    <row r="2861" spans="1:7" x14ac:dyDescent="0.2">
      <c r="A2861" t="s">
        <v>64</v>
      </c>
      <c r="B2861" t="s">
        <v>64</v>
      </c>
      <c r="C2861" s="3" t="s">
        <v>64</v>
      </c>
      <c r="D2861" s="16" t="s">
        <v>64</v>
      </c>
      <c r="E2861" s="16">
        <v>0</v>
      </c>
      <c r="F2861" s="16" t="s">
        <v>64</v>
      </c>
      <c r="G2861" s="16" t="s">
        <v>64</v>
      </c>
    </row>
    <row r="2862" spans="1:7" x14ac:dyDescent="0.2">
      <c r="A2862" t="s">
        <v>64</v>
      </c>
      <c r="B2862" t="s">
        <v>64</v>
      </c>
      <c r="C2862" s="3" t="s">
        <v>64</v>
      </c>
      <c r="D2862" s="16" t="s">
        <v>64</v>
      </c>
      <c r="E2862" s="16">
        <v>0</v>
      </c>
      <c r="F2862" s="16" t="s">
        <v>64</v>
      </c>
      <c r="G2862" s="16" t="s">
        <v>64</v>
      </c>
    </row>
    <row r="2863" spans="1:7" x14ac:dyDescent="0.2">
      <c r="A2863" t="s">
        <v>64</v>
      </c>
      <c r="B2863" t="s">
        <v>64</v>
      </c>
      <c r="C2863" s="3" t="s">
        <v>64</v>
      </c>
      <c r="D2863" s="16" t="s">
        <v>64</v>
      </c>
      <c r="E2863" s="16">
        <v>0</v>
      </c>
      <c r="F2863" s="16" t="s">
        <v>64</v>
      </c>
      <c r="G2863" s="16" t="s">
        <v>64</v>
      </c>
    </row>
    <row r="2864" spans="1:7" x14ac:dyDescent="0.2">
      <c r="A2864" t="s">
        <v>64</v>
      </c>
      <c r="B2864" t="s">
        <v>64</v>
      </c>
      <c r="C2864" s="3" t="s">
        <v>64</v>
      </c>
      <c r="D2864" s="16" t="s">
        <v>64</v>
      </c>
      <c r="E2864" s="16">
        <v>0</v>
      </c>
      <c r="F2864" s="16" t="s">
        <v>64</v>
      </c>
      <c r="G2864" s="16" t="s">
        <v>64</v>
      </c>
    </row>
    <row r="2865" spans="1:7" x14ac:dyDescent="0.2">
      <c r="A2865" t="s">
        <v>64</v>
      </c>
      <c r="B2865" t="s">
        <v>64</v>
      </c>
      <c r="C2865" s="3" t="s">
        <v>64</v>
      </c>
      <c r="D2865" s="16" t="s">
        <v>64</v>
      </c>
      <c r="E2865" s="16">
        <v>0</v>
      </c>
      <c r="F2865" s="16" t="s">
        <v>64</v>
      </c>
      <c r="G2865" s="16" t="s">
        <v>64</v>
      </c>
    </row>
    <row r="2866" spans="1:7" x14ac:dyDescent="0.2">
      <c r="A2866" t="s">
        <v>64</v>
      </c>
      <c r="B2866" t="s">
        <v>64</v>
      </c>
      <c r="C2866" s="3" t="s">
        <v>64</v>
      </c>
      <c r="D2866" s="16" t="s">
        <v>64</v>
      </c>
      <c r="E2866" s="16">
        <v>0</v>
      </c>
      <c r="F2866" s="16" t="s">
        <v>64</v>
      </c>
      <c r="G2866" s="16" t="s">
        <v>64</v>
      </c>
    </row>
    <row r="2867" spans="1:7" x14ac:dyDescent="0.2">
      <c r="A2867" t="s">
        <v>64</v>
      </c>
      <c r="B2867" t="s">
        <v>64</v>
      </c>
      <c r="C2867" s="3" t="s">
        <v>64</v>
      </c>
      <c r="D2867" s="16" t="s">
        <v>64</v>
      </c>
      <c r="E2867" s="16">
        <v>0</v>
      </c>
      <c r="F2867" s="16" t="s">
        <v>64</v>
      </c>
      <c r="G2867" s="16" t="s">
        <v>64</v>
      </c>
    </row>
    <row r="2868" spans="1:7" x14ac:dyDescent="0.2">
      <c r="A2868" t="s">
        <v>64</v>
      </c>
      <c r="B2868" t="s">
        <v>64</v>
      </c>
      <c r="C2868" s="3" t="s">
        <v>64</v>
      </c>
      <c r="D2868" s="16" t="s">
        <v>64</v>
      </c>
      <c r="E2868" s="16">
        <v>0</v>
      </c>
      <c r="F2868" s="16" t="s">
        <v>64</v>
      </c>
      <c r="G2868" s="16" t="s">
        <v>64</v>
      </c>
    </row>
    <row r="2869" spans="1:7" x14ac:dyDescent="0.2">
      <c r="A2869" t="s">
        <v>64</v>
      </c>
      <c r="B2869" t="s">
        <v>64</v>
      </c>
      <c r="C2869" s="3" t="s">
        <v>64</v>
      </c>
      <c r="D2869" s="16" t="s">
        <v>64</v>
      </c>
      <c r="E2869" s="16">
        <v>0</v>
      </c>
      <c r="F2869" s="16" t="s">
        <v>64</v>
      </c>
      <c r="G2869" s="16" t="s">
        <v>64</v>
      </c>
    </row>
    <row r="2870" spans="1:7" x14ac:dyDescent="0.2">
      <c r="A2870" t="s">
        <v>64</v>
      </c>
      <c r="B2870" t="s">
        <v>64</v>
      </c>
      <c r="C2870" s="3" t="s">
        <v>64</v>
      </c>
      <c r="D2870" s="16" t="s">
        <v>64</v>
      </c>
      <c r="E2870" s="16">
        <v>0</v>
      </c>
      <c r="F2870" s="16" t="s">
        <v>64</v>
      </c>
      <c r="G2870" s="16" t="s">
        <v>64</v>
      </c>
    </row>
    <row r="2871" spans="1:7" x14ac:dyDescent="0.2">
      <c r="A2871" t="s">
        <v>64</v>
      </c>
      <c r="B2871" t="s">
        <v>64</v>
      </c>
      <c r="C2871" s="3" t="s">
        <v>64</v>
      </c>
      <c r="D2871" s="16" t="s">
        <v>64</v>
      </c>
      <c r="E2871" s="16">
        <v>0</v>
      </c>
      <c r="F2871" s="16" t="s">
        <v>64</v>
      </c>
      <c r="G2871" s="16" t="s">
        <v>64</v>
      </c>
    </row>
    <row r="2872" spans="1:7" x14ac:dyDescent="0.2">
      <c r="A2872" t="s">
        <v>64</v>
      </c>
      <c r="B2872" t="s">
        <v>64</v>
      </c>
      <c r="C2872" s="3" t="s">
        <v>64</v>
      </c>
      <c r="D2872" s="16" t="s">
        <v>64</v>
      </c>
      <c r="E2872" s="16">
        <v>0</v>
      </c>
      <c r="F2872" s="16" t="s">
        <v>64</v>
      </c>
      <c r="G2872" s="16" t="s">
        <v>64</v>
      </c>
    </row>
    <row r="2873" spans="1:7" x14ac:dyDescent="0.2">
      <c r="A2873" t="s">
        <v>64</v>
      </c>
      <c r="B2873" t="s">
        <v>64</v>
      </c>
      <c r="C2873" s="3" t="s">
        <v>64</v>
      </c>
      <c r="D2873" s="16" t="s">
        <v>64</v>
      </c>
      <c r="E2873" s="16">
        <v>0</v>
      </c>
      <c r="F2873" s="16" t="s">
        <v>64</v>
      </c>
      <c r="G2873" s="16" t="s">
        <v>64</v>
      </c>
    </row>
    <row r="2874" spans="1:7" x14ac:dyDescent="0.2">
      <c r="A2874" t="s">
        <v>64</v>
      </c>
      <c r="B2874" t="s">
        <v>64</v>
      </c>
      <c r="C2874" s="3" t="s">
        <v>64</v>
      </c>
      <c r="D2874" s="16" t="s">
        <v>64</v>
      </c>
      <c r="E2874" s="16">
        <v>0</v>
      </c>
      <c r="F2874" s="16" t="s">
        <v>64</v>
      </c>
      <c r="G2874" s="16" t="s">
        <v>64</v>
      </c>
    </row>
    <row r="2875" spans="1:7" x14ac:dyDescent="0.2">
      <c r="A2875" t="s">
        <v>64</v>
      </c>
      <c r="B2875" t="s">
        <v>64</v>
      </c>
      <c r="C2875" s="3" t="s">
        <v>64</v>
      </c>
      <c r="D2875" s="16" t="s">
        <v>64</v>
      </c>
      <c r="E2875" s="16">
        <v>0</v>
      </c>
      <c r="F2875" s="16" t="s">
        <v>64</v>
      </c>
      <c r="G2875" s="16" t="s">
        <v>64</v>
      </c>
    </row>
    <row r="2876" spans="1:7" x14ac:dyDescent="0.2">
      <c r="A2876" t="s">
        <v>64</v>
      </c>
      <c r="B2876" t="s">
        <v>64</v>
      </c>
      <c r="C2876" s="3" t="s">
        <v>64</v>
      </c>
      <c r="D2876" s="16" t="s">
        <v>64</v>
      </c>
      <c r="E2876" s="16">
        <v>0</v>
      </c>
      <c r="F2876" s="16" t="s">
        <v>64</v>
      </c>
      <c r="G2876" s="16" t="s">
        <v>64</v>
      </c>
    </row>
    <row r="2877" spans="1:7" x14ac:dyDescent="0.2">
      <c r="A2877" t="s">
        <v>64</v>
      </c>
      <c r="B2877" t="s">
        <v>64</v>
      </c>
      <c r="C2877" s="3" t="s">
        <v>64</v>
      </c>
      <c r="D2877" s="16" t="s">
        <v>64</v>
      </c>
      <c r="E2877" s="16">
        <v>0</v>
      </c>
      <c r="F2877" s="16" t="s">
        <v>64</v>
      </c>
      <c r="G2877" s="16" t="s">
        <v>64</v>
      </c>
    </row>
    <row r="2878" spans="1:7" x14ac:dyDescent="0.2">
      <c r="A2878" t="s">
        <v>64</v>
      </c>
      <c r="B2878" t="s">
        <v>64</v>
      </c>
      <c r="C2878" s="3" t="s">
        <v>64</v>
      </c>
      <c r="D2878" s="16" t="s">
        <v>64</v>
      </c>
      <c r="E2878" s="16">
        <v>0</v>
      </c>
      <c r="F2878" s="16" t="s">
        <v>64</v>
      </c>
      <c r="G2878" s="16" t="s">
        <v>64</v>
      </c>
    </row>
    <row r="2879" spans="1:7" x14ac:dyDescent="0.2">
      <c r="A2879" t="s">
        <v>64</v>
      </c>
      <c r="B2879" t="s">
        <v>64</v>
      </c>
      <c r="C2879" s="3" t="s">
        <v>64</v>
      </c>
      <c r="D2879" s="16" t="s">
        <v>64</v>
      </c>
      <c r="E2879" s="16">
        <v>0</v>
      </c>
      <c r="F2879" s="16" t="s">
        <v>64</v>
      </c>
      <c r="G2879" s="16" t="s">
        <v>64</v>
      </c>
    </row>
    <row r="2880" spans="1:7" x14ac:dyDescent="0.2">
      <c r="A2880" t="s">
        <v>64</v>
      </c>
      <c r="B2880" t="s">
        <v>64</v>
      </c>
      <c r="C2880" s="3" t="s">
        <v>64</v>
      </c>
      <c r="D2880" s="16" t="s">
        <v>64</v>
      </c>
      <c r="E2880" s="16">
        <v>0</v>
      </c>
      <c r="F2880" s="16" t="s">
        <v>64</v>
      </c>
      <c r="G2880" s="16" t="s">
        <v>64</v>
      </c>
    </row>
    <row r="2881" spans="1:7" x14ac:dyDescent="0.2">
      <c r="A2881" t="s">
        <v>64</v>
      </c>
      <c r="B2881" t="s">
        <v>64</v>
      </c>
      <c r="C2881" s="3" t="s">
        <v>64</v>
      </c>
      <c r="D2881" s="16" t="s">
        <v>64</v>
      </c>
      <c r="E2881" s="16">
        <v>0</v>
      </c>
      <c r="F2881" s="16" t="s">
        <v>64</v>
      </c>
      <c r="G2881" s="16" t="s">
        <v>64</v>
      </c>
    </row>
    <row r="2882" spans="1:7" x14ac:dyDescent="0.2">
      <c r="A2882" t="s">
        <v>64</v>
      </c>
      <c r="B2882" t="s">
        <v>64</v>
      </c>
      <c r="C2882" s="3" t="s">
        <v>64</v>
      </c>
      <c r="D2882" s="16" t="s">
        <v>64</v>
      </c>
      <c r="E2882" s="16">
        <v>0</v>
      </c>
      <c r="F2882" s="16" t="s">
        <v>64</v>
      </c>
      <c r="G2882" s="16" t="s">
        <v>64</v>
      </c>
    </row>
    <row r="2883" spans="1:7" x14ac:dyDescent="0.2">
      <c r="A2883" t="s">
        <v>64</v>
      </c>
      <c r="B2883" t="s">
        <v>64</v>
      </c>
      <c r="C2883" s="3" t="s">
        <v>64</v>
      </c>
      <c r="D2883" s="16" t="s">
        <v>64</v>
      </c>
      <c r="E2883" s="16">
        <v>0</v>
      </c>
      <c r="F2883" s="16" t="s">
        <v>64</v>
      </c>
      <c r="G2883" s="16" t="s">
        <v>64</v>
      </c>
    </row>
    <row r="2884" spans="1:7" x14ac:dyDescent="0.2">
      <c r="A2884" t="s">
        <v>64</v>
      </c>
      <c r="B2884" t="s">
        <v>64</v>
      </c>
      <c r="C2884" s="3" t="s">
        <v>64</v>
      </c>
      <c r="D2884" s="16" t="s">
        <v>64</v>
      </c>
      <c r="E2884" s="16">
        <v>0</v>
      </c>
      <c r="F2884" s="16" t="s">
        <v>64</v>
      </c>
      <c r="G2884" s="16" t="s">
        <v>64</v>
      </c>
    </row>
    <row r="2885" spans="1:7" x14ac:dyDescent="0.2">
      <c r="A2885" t="s">
        <v>64</v>
      </c>
      <c r="B2885" t="s">
        <v>64</v>
      </c>
      <c r="C2885" s="3" t="s">
        <v>64</v>
      </c>
      <c r="D2885" s="16" t="s">
        <v>64</v>
      </c>
      <c r="E2885" s="16">
        <v>0</v>
      </c>
      <c r="F2885" s="16" t="s">
        <v>64</v>
      </c>
      <c r="G2885" s="16" t="s">
        <v>64</v>
      </c>
    </row>
    <row r="2886" spans="1:7" x14ac:dyDescent="0.2">
      <c r="A2886" t="s">
        <v>64</v>
      </c>
      <c r="B2886" t="s">
        <v>64</v>
      </c>
      <c r="C2886" s="3" t="s">
        <v>64</v>
      </c>
      <c r="D2886" s="16" t="s">
        <v>64</v>
      </c>
      <c r="E2886" s="16">
        <v>0</v>
      </c>
      <c r="F2886" s="16" t="s">
        <v>64</v>
      </c>
      <c r="G2886" s="16" t="s">
        <v>64</v>
      </c>
    </row>
    <row r="2887" spans="1:7" x14ac:dyDescent="0.2">
      <c r="A2887" t="s">
        <v>64</v>
      </c>
      <c r="B2887" t="s">
        <v>64</v>
      </c>
      <c r="C2887" s="3" t="s">
        <v>64</v>
      </c>
      <c r="D2887" s="16" t="s">
        <v>64</v>
      </c>
      <c r="E2887" s="16">
        <v>0</v>
      </c>
      <c r="F2887" s="16" t="s">
        <v>64</v>
      </c>
      <c r="G2887" s="16" t="s">
        <v>64</v>
      </c>
    </row>
    <row r="2888" spans="1:7" x14ac:dyDescent="0.2">
      <c r="A2888" t="s">
        <v>64</v>
      </c>
      <c r="B2888" t="s">
        <v>64</v>
      </c>
      <c r="C2888" s="3" t="s">
        <v>64</v>
      </c>
      <c r="D2888" s="16" t="s">
        <v>64</v>
      </c>
      <c r="E2888" s="16">
        <v>0</v>
      </c>
      <c r="F2888" s="16" t="s">
        <v>64</v>
      </c>
      <c r="G2888" s="16" t="s">
        <v>64</v>
      </c>
    </row>
    <row r="2889" spans="1:7" x14ac:dyDescent="0.2">
      <c r="A2889" t="s">
        <v>64</v>
      </c>
      <c r="B2889" t="s">
        <v>64</v>
      </c>
      <c r="C2889" s="3" t="s">
        <v>64</v>
      </c>
      <c r="D2889" s="16" t="s">
        <v>64</v>
      </c>
      <c r="E2889" s="16">
        <v>0</v>
      </c>
      <c r="F2889" s="16" t="s">
        <v>64</v>
      </c>
      <c r="G2889" s="16" t="s">
        <v>64</v>
      </c>
    </row>
    <row r="2890" spans="1:7" x14ac:dyDescent="0.2">
      <c r="A2890" t="s">
        <v>64</v>
      </c>
      <c r="B2890" t="s">
        <v>64</v>
      </c>
      <c r="C2890" s="3" t="s">
        <v>64</v>
      </c>
      <c r="D2890" s="16" t="s">
        <v>64</v>
      </c>
      <c r="E2890" s="16">
        <v>0</v>
      </c>
      <c r="F2890" s="16" t="s">
        <v>64</v>
      </c>
      <c r="G2890" s="16" t="s">
        <v>64</v>
      </c>
    </row>
    <row r="2891" spans="1:7" x14ac:dyDescent="0.2">
      <c r="A2891" t="s">
        <v>64</v>
      </c>
      <c r="B2891" t="s">
        <v>64</v>
      </c>
      <c r="C2891" s="3" t="s">
        <v>64</v>
      </c>
      <c r="D2891" s="16" t="s">
        <v>64</v>
      </c>
      <c r="E2891" s="16">
        <v>0</v>
      </c>
      <c r="F2891" s="16" t="s">
        <v>64</v>
      </c>
      <c r="G2891" s="16" t="s">
        <v>64</v>
      </c>
    </row>
    <row r="2892" spans="1:7" x14ac:dyDescent="0.2">
      <c r="A2892" t="s">
        <v>64</v>
      </c>
      <c r="B2892" t="s">
        <v>64</v>
      </c>
      <c r="C2892" s="3" t="s">
        <v>64</v>
      </c>
      <c r="D2892" s="16" t="s">
        <v>64</v>
      </c>
      <c r="E2892" s="16">
        <v>0</v>
      </c>
      <c r="F2892" s="16" t="s">
        <v>64</v>
      </c>
      <c r="G2892" s="16" t="s">
        <v>64</v>
      </c>
    </row>
    <row r="2893" spans="1:7" x14ac:dyDescent="0.2">
      <c r="A2893" t="s">
        <v>64</v>
      </c>
      <c r="B2893" t="s">
        <v>64</v>
      </c>
      <c r="C2893" s="3" t="s">
        <v>64</v>
      </c>
      <c r="D2893" s="16" t="s">
        <v>64</v>
      </c>
      <c r="E2893" s="16">
        <v>0</v>
      </c>
      <c r="F2893" s="16" t="s">
        <v>64</v>
      </c>
      <c r="G2893" s="16" t="s">
        <v>64</v>
      </c>
    </row>
    <row r="2894" spans="1:7" x14ac:dyDescent="0.2">
      <c r="A2894" t="s">
        <v>64</v>
      </c>
      <c r="B2894" t="s">
        <v>64</v>
      </c>
      <c r="C2894" s="3" t="s">
        <v>64</v>
      </c>
      <c r="D2894" s="16" t="s">
        <v>64</v>
      </c>
      <c r="E2894" s="16">
        <v>0</v>
      </c>
      <c r="F2894" s="16" t="s">
        <v>64</v>
      </c>
      <c r="G2894" s="16" t="s">
        <v>64</v>
      </c>
    </row>
    <row r="2895" spans="1:7" x14ac:dyDescent="0.2">
      <c r="A2895" t="s">
        <v>64</v>
      </c>
      <c r="B2895" t="s">
        <v>64</v>
      </c>
      <c r="C2895" s="3" t="s">
        <v>64</v>
      </c>
      <c r="D2895" s="16" t="s">
        <v>64</v>
      </c>
      <c r="E2895" s="16">
        <v>0</v>
      </c>
      <c r="F2895" s="16" t="s">
        <v>64</v>
      </c>
      <c r="G2895" s="16" t="s">
        <v>64</v>
      </c>
    </row>
    <row r="2896" spans="1:7" x14ac:dyDescent="0.2">
      <c r="A2896" t="s">
        <v>64</v>
      </c>
      <c r="B2896" t="s">
        <v>64</v>
      </c>
      <c r="C2896" s="3" t="s">
        <v>64</v>
      </c>
      <c r="D2896" s="16" t="s">
        <v>64</v>
      </c>
      <c r="E2896" s="16">
        <v>0</v>
      </c>
      <c r="F2896" s="16" t="s">
        <v>64</v>
      </c>
      <c r="G2896" s="16" t="s">
        <v>64</v>
      </c>
    </row>
    <row r="2897" spans="1:7" x14ac:dyDescent="0.2">
      <c r="A2897" t="s">
        <v>64</v>
      </c>
      <c r="B2897" t="s">
        <v>64</v>
      </c>
      <c r="C2897" s="3" t="s">
        <v>64</v>
      </c>
      <c r="D2897" s="16" t="s">
        <v>64</v>
      </c>
      <c r="E2897" s="16">
        <v>0</v>
      </c>
      <c r="F2897" s="16" t="s">
        <v>64</v>
      </c>
      <c r="G2897" s="16" t="s">
        <v>64</v>
      </c>
    </row>
    <row r="2898" spans="1:7" x14ac:dyDescent="0.2">
      <c r="A2898" t="s">
        <v>64</v>
      </c>
      <c r="B2898" t="s">
        <v>64</v>
      </c>
      <c r="C2898" s="3" t="s">
        <v>64</v>
      </c>
      <c r="D2898" s="16" t="s">
        <v>64</v>
      </c>
      <c r="E2898" s="16">
        <v>0</v>
      </c>
      <c r="F2898" s="16" t="s">
        <v>64</v>
      </c>
      <c r="G2898" s="16" t="s">
        <v>64</v>
      </c>
    </row>
    <row r="2899" spans="1:7" x14ac:dyDescent="0.2">
      <c r="A2899" t="s">
        <v>64</v>
      </c>
      <c r="B2899" t="s">
        <v>64</v>
      </c>
      <c r="C2899" s="3" t="s">
        <v>64</v>
      </c>
      <c r="D2899" s="16" t="s">
        <v>64</v>
      </c>
      <c r="E2899" s="16">
        <v>0</v>
      </c>
      <c r="F2899" s="16" t="s">
        <v>64</v>
      </c>
      <c r="G2899" s="16" t="s">
        <v>64</v>
      </c>
    </row>
    <row r="2900" spans="1:7" x14ac:dyDescent="0.2">
      <c r="A2900" t="s">
        <v>64</v>
      </c>
      <c r="B2900" t="s">
        <v>64</v>
      </c>
      <c r="C2900" s="3" t="s">
        <v>64</v>
      </c>
      <c r="D2900" s="16" t="s">
        <v>64</v>
      </c>
      <c r="E2900" s="16">
        <v>0</v>
      </c>
      <c r="F2900" s="16" t="s">
        <v>64</v>
      </c>
      <c r="G2900" s="16" t="s">
        <v>64</v>
      </c>
    </row>
    <row r="2901" spans="1:7" x14ac:dyDescent="0.2">
      <c r="A2901" t="s">
        <v>64</v>
      </c>
      <c r="B2901" t="s">
        <v>64</v>
      </c>
      <c r="C2901" s="3" t="s">
        <v>64</v>
      </c>
      <c r="D2901" s="16" t="s">
        <v>64</v>
      </c>
      <c r="E2901" s="16">
        <v>0</v>
      </c>
      <c r="F2901" s="16" t="s">
        <v>64</v>
      </c>
      <c r="G2901" s="16" t="s">
        <v>64</v>
      </c>
    </row>
    <row r="2902" spans="1:7" x14ac:dyDescent="0.2">
      <c r="A2902" t="s">
        <v>64</v>
      </c>
      <c r="B2902" t="s">
        <v>64</v>
      </c>
      <c r="C2902" s="3" t="s">
        <v>64</v>
      </c>
      <c r="D2902" s="16" t="s">
        <v>64</v>
      </c>
      <c r="E2902" s="16">
        <v>0</v>
      </c>
      <c r="F2902" s="16" t="s">
        <v>64</v>
      </c>
      <c r="G2902" s="16" t="s">
        <v>64</v>
      </c>
    </row>
    <row r="2903" spans="1:7" x14ac:dyDescent="0.2">
      <c r="A2903" t="s">
        <v>64</v>
      </c>
      <c r="B2903" t="s">
        <v>64</v>
      </c>
      <c r="C2903" s="3" t="s">
        <v>64</v>
      </c>
      <c r="D2903" s="16" t="s">
        <v>64</v>
      </c>
      <c r="E2903" s="16">
        <v>0</v>
      </c>
      <c r="F2903" s="16" t="s">
        <v>64</v>
      </c>
      <c r="G2903" s="16" t="s">
        <v>64</v>
      </c>
    </row>
    <row r="2904" spans="1:7" x14ac:dyDescent="0.2">
      <c r="A2904" t="s">
        <v>64</v>
      </c>
      <c r="B2904" t="s">
        <v>64</v>
      </c>
      <c r="C2904" s="3" t="s">
        <v>64</v>
      </c>
      <c r="D2904" s="16" t="s">
        <v>64</v>
      </c>
      <c r="E2904" s="16">
        <v>0</v>
      </c>
      <c r="F2904" s="16" t="s">
        <v>64</v>
      </c>
      <c r="G2904" s="16" t="s">
        <v>64</v>
      </c>
    </row>
    <row r="2905" spans="1:7" x14ac:dyDescent="0.2">
      <c r="A2905" t="s">
        <v>64</v>
      </c>
      <c r="B2905" t="s">
        <v>64</v>
      </c>
      <c r="C2905" s="3" t="s">
        <v>64</v>
      </c>
      <c r="D2905" s="16" t="s">
        <v>64</v>
      </c>
      <c r="E2905" s="16">
        <v>0</v>
      </c>
      <c r="F2905" s="16" t="s">
        <v>64</v>
      </c>
      <c r="G2905" s="16" t="s">
        <v>64</v>
      </c>
    </row>
    <row r="2906" spans="1:7" x14ac:dyDescent="0.2">
      <c r="A2906" t="s">
        <v>64</v>
      </c>
      <c r="B2906" t="s">
        <v>64</v>
      </c>
      <c r="C2906" s="3" t="s">
        <v>64</v>
      </c>
      <c r="D2906" s="16" t="s">
        <v>64</v>
      </c>
      <c r="E2906" s="16">
        <v>0</v>
      </c>
      <c r="F2906" s="16" t="s">
        <v>64</v>
      </c>
      <c r="G2906" s="16" t="s">
        <v>64</v>
      </c>
    </row>
    <row r="2907" spans="1:7" x14ac:dyDescent="0.2">
      <c r="A2907" t="s">
        <v>64</v>
      </c>
      <c r="B2907" t="s">
        <v>64</v>
      </c>
      <c r="C2907" s="3" t="s">
        <v>64</v>
      </c>
      <c r="D2907" s="16" t="s">
        <v>64</v>
      </c>
      <c r="E2907" s="16">
        <v>0</v>
      </c>
      <c r="F2907" s="16" t="s">
        <v>64</v>
      </c>
      <c r="G2907" s="16" t="s">
        <v>64</v>
      </c>
    </row>
    <row r="2908" spans="1:7" x14ac:dyDescent="0.2">
      <c r="A2908" t="s">
        <v>64</v>
      </c>
      <c r="B2908" t="s">
        <v>64</v>
      </c>
      <c r="C2908" s="3" t="s">
        <v>64</v>
      </c>
      <c r="D2908" s="16" t="s">
        <v>64</v>
      </c>
      <c r="E2908" s="16">
        <v>0</v>
      </c>
      <c r="F2908" s="16" t="s">
        <v>64</v>
      </c>
      <c r="G2908" s="16" t="s">
        <v>64</v>
      </c>
    </row>
    <row r="2909" spans="1:7" x14ac:dyDescent="0.2">
      <c r="A2909" t="s">
        <v>64</v>
      </c>
      <c r="B2909" t="s">
        <v>64</v>
      </c>
      <c r="C2909" s="3" t="s">
        <v>64</v>
      </c>
      <c r="D2909" s="16" t="s">
        <v>64</v>
      </c>
      <c r="E2909" s="16">
        <v>0</v>
      </c>
      <c r="F2909" s="16" t="s">
        <v>64</v>
      </c>
      <c r="G2909" s="16" t="s">
        <v>64</v>
      </c>
    </row>
    <row r="2910" spans="1:7" x14ac:dyDescent="0.2">
      <c r="A2910" t="s">
        <v>64</v>
      </c>
      <c r="B2910" t="s">
        <v>64</v>
      </c>
      <c r="C2910" s="3" t="s">
        <v>64</v>
      </c>
      <c r="D2910" s="16" t="s">
        <v>64</v>
      </c>
      <c r="E2910" s="16">
        <v>0</v>
      </c>
      <c r="F2910" s="16" t="s">
        <v>64</v>
      </c>
      <c r="G2910" s="16" t="s">
        <v>64</v>
      </c>
    </row>
    <row r="2911" spans="1:7" x14ac:dyDescent="0.2">
      <c r="A2911" t="s">
        <v>64</v>
      </c>
      <c r="B2911" t="s">
        <v>64</v>
      </c>
      <c r="C2911" s="3" t="s">
        <v>64</v>
      </c>
      <c r="D2911" s="16" t="s">
        <v>64</v>
      </c>
      <c r="E2911" s="16">
        <v>0</v>
      </c>
      <c r="F2911" s="16" t="s">
        <v>64</v>
      </c>
      <c r="G2911" s="16" t="s">
        <v>64</v>
      </c>
    </row>
    <row r="2912" spans="1:7" x14ac:dyDescent="0.2">
      <c r="A2912" t="s">
        <v>64</v>
      </c>
      <c r="B2912" t="s">
        <v>64</v>
      </c>
      <c r="C2912" s="3" t="s">
        <v>64</v>
      </c>
      <c r="D2912" s="16" t="s">
        <v>64</v>
      </c>
      <c r="E2912" s="16">
        <v>0</v>
      </c>
      <c r="F2912" s="16" t="s">
        <v>64</v>
      </c>
      <c r="G2912" s="16" t="s">
        <v>64</v>
      </c>
    </row>
    <row r="2913" spans="1:7" x14ac:dyDescent="0.2">
      <c r="A2913" t="s">
        <v>64</v>
      </c>
      <c r="B2913" t="s">
        <v>64</v>
      </c>
      <c r="C2913" s="3" t="s">
        <v>64</v>
      </c>
      <c r="D2913" s="16" t="s">
        <v>64</v>
      </c>
      <c r="E2913" s="16">
        <v>0</v>
      </c>
      <c r="F2913" s="16" t="s">
        <v>64</v>
      </c>
      <c r="G2913" s="16" t="s">
        <v>64</v>
      </c>
    </row>
    <row r="2914" spans="1:7" x14ac:dyDescent="0.2">
      <c r="A2914" t="s">
        <v>64</v>
      </c>
      <c r="B2914" t="s">
        <v>64</v>
      </c>
      <c r="C2914" s="3" t="s">
        <v>64</v>
      </c>
      <c r="D2914" s="16" t="s">
        <v>64</v>
      </c>
      <c r="E2914" s="16">
        <v>0</v>
      </c>
      <c r="F2914" s="16" t="s">
        <v>64</v>
      </c>
      <c r="G2914" s="16" t="s">
        <v>64</v>
      </c>
    </row>
    <row r="2915" spans="1:7" x14ac:dyDescent="0.2">
      <c r="A2915" t="s">
        <v>64</v>
      </c>
      <c r="B2915" t="s">
        <v>64</v>
      </c>
      <c r="C2915" s="3" t="s">
        <v>64</v>
      </c>
      <c r="D2915" s="16" t="s">
        <v>64</v>
      </c>
      <c r="E2915" s="16">
        <v>0</v>
      </c>
      <c r="F2915" s="16" t="s">
        <v>64</v>
      </c>
      <c r="G2915" s="16" t="s">
        <v>64</v>
      </c>
    </row>
    <row r="2916" spans="1:7" x14ac:dyDescent="0.2">
      <c r="A2916" t="s">
        <v>64</v>
      </c>
      <c r="B2916" t="s">
        <v>64</v>
      </c>
      <c r="C2916" s="3" t="s">
        <v>64</v>
      </c>
      <c r="D2916" s="16" t="s">
        <v>64</v>
      </c>
      <c r="E2916" s="16">
        <v>0</v>
      </c>
      <c r="F2916" s="16" t="s">
        <v>64</v>
      </c>
      <c r="G2916" s="16" t="s">
        <v>64</v>
      </c>
    </row>
    <row r="2917" spans="1:7" x14ac:dyDescent="0.2">
      <c r="A2917" t="s">
        <v>64</v>
      </c>
      <c r="B2917" t="s">
        <v>64</v>
      </c>
      <c r="C2917" s="3" t="s">
        <v>64</v>
      </c>
      <c r="D2917" s="16" t="s">
        <v>64</v>
      </c>
      <c r="E2917" s="16">
        <v>0</v>
      </c>
      <c r="F2917" s="16" t="s">
        <v>64</v>
      </c>
      <c r="G2917" s="16" t="s">
        <v>64</v>
      </c>
    </row>
    <row r="2918" spans="1:7" x14ac:dyDescent="0.2">
      <c r="A2918" t="s">
        <v>64</v>
      </c>
      <c r="B2918" t="s">
        <v>64</v>
      </c>
      <c r="C2918" s="3" t="s">
        <v>64</v>
      </c>
      <c r="D2918" s="16" t="s">
        <v>64</v>
      </c>
      <c r="E2918" s="16">
        <v>0</v>
      </c>
      <c r="F2918" s="16" t="s">
        <v>64</v>
      </c>
      <c r="G2918" s="16" t="s">
        <v>64</v>
      </c>
    </row>
    <row r="2919" spans="1:7" x14ac:dyDescent="0.2">
      <c r="A2919" t="s">
        <v>64</v>
      </c>
      <c r="B2919" t="s">
        <v>64</v>
      </c>
      <c r="C2919" s="3" t="s">
        <v>64</v>
      </c>
      <c r="D2919" s="16" t="s">
        <v>64</v>
      </c>
      <c r="E2919" s="16">
        <v>0</v>
      </c>
      <c r="F2919" s="16" t="s">
        <v>64</v>
      </c>
      <c r="G2919" s="16" t="s">
        <v>64</v>
      </c>
    </row>
    <row r="2920" spans="1:7" x14ac:dyDescent="0.2">
      <c r="A2920" t="s">
        <v>64</v>
      </c>
      <c r="B2920" t="s">
        <v>64</v>
      </c>
      <c r="C2920" s="3" t="s">
        <v>64</v>
      </c>
      <c r="D2920" s="16" t="s">
        <v>64</v>
      </c>
      <c r="E2920" s="16">
        <v>0</v>
      </c>
      <c r="F2920" s="16" t="s">
        <v>64</v>
      </c>
      <c r="G2920" s="16" t="s">
        <v>64</v>
      </c>
    </row>
    <row r="2921" spans="1:7" x14ac:dyDescent="0.2">
      <c r="A2921" t="s">
        <v>64</v>
      </c>
      <c r="B2921" t="s">
        <v>64</v>
      </c>
      <c r="C2921" s="3" t="s">
        <v>64</v>
      </c>
      <c r="D2921" s="16" t="s">
        <v>64</v>
      </c>
      <c r="E2921" s="16">
        <v>0</v>
      </c>
      <c r="F2921" s="16" t="s">
        <v>64</v>
      </c>
      <c r="G2921" s="16" t="s">
        <v>64</v>
      </c>
    </row>
    <row r="2922" spans="1:7" x14ac:dyDescent="0.2">
      <c r="A2922" t="s">
        <v>64</v>
      </c>
      <c r="B2922" t="s">
        <v>64</v>
      </c>
      <c r="C2922" s="3" t="s">
        <v>64</v>
      </c>
      <c r="D2922" s="16" t="s">
        <v>64</v>
      </c>
      <c r="E2922" s="16">
        <v>0</v>
      </c>
      <c r="F2922" s="16" t="s">
        <v>64</v>
      </c>
      <c r="G2922" s="16" t="s">
        <v>64</v>
      </c>
    </row>
    <row r="2923" spans="1:7" x14ac:dyDescent="0.2">
      <c r="A2923" t="s">
        <v>64</v>
      </c>
      <c r="B2923" t="s">
        <v>64</v>
      </c>
      <c r="C2923" s="3" t="s">
        <v>64</v>
      </c>
      <c r="D2923" s="16" t="s">
        <v>64</v>
      </c>
      <c r="E2923" s="16">
        <v>0</v>
      </c>
      <c r="F2923" s="16" t="s">
        <v>64</v>
      </c>
      <c r="G2923" s="16" t="s">
        <v>64</v>
      </c>
    </row>
    <row r="2924" spans="1:7" x14ac:dyDescent="0.2">
      <c r="A2924" t="s">
        <v>64</v>
      </c>
      <c r="B2924" t="s">
        <v>64</v>
      </c>
      <c r="C2924" s="3" t="s">
        <v>64</v>
      </c>
      <c r="D2924" s="16" t="s">
        <v>64</v>
      </c>
      <c r="E2924" s="16">
        <v>0</v>
      </c>
      <c r="F2924" s="16" t="s">
        <v>64</v>
      </c>
      <c r="G2924" s="16" t="s">
        <v>64</v>
      </c>
    </row>
    <row r="2925" spans="1:7" x14ac:dyDescent="0.2">
      <c r="A2925" t="s">
        <v>64</v>
      </c>
      <c r="B2925" t="s">
        <v>64</v>
      </c>
      <c r="C2925" s="3" t="s">
        <v>64</v>
      </c>
      <c r="D2925" s="16" t="s">
        <v>64</v>
      </c>
      <c r="E2925" s="16">
        <v>0</v>
      </c>
      <c r="F2925" s="16" t="s">
        <v>64</v>
      </c>
      <c r="G2925" s="16" t="s">
        <v>64</v>
      </c>
    </row>
    <row r="2926" spans="1:7" x14ac:dyDescent="0.2">
      <c r="A2926" t="s">
        <v>64</v>
      </c>
      <c r="B2926" t="s">
        <v>64</v>
      </c>
      <c r="C2926" s="3" t="s">
        <v>64</v>
      </c>
      <c r="D2926" s="16" t="s">
        <v>64</v>
      </c>
      <c r="E2926" s="16">
        <v>0</v>
      </c>
      <c r="F2926" s="16" t="s">
        <v>64</v>
      </c>
      <c r="G2926" s="16" t="s">
        <v>64</v>
      </c>
    </row>
    <row r="2927" spans="1:7" x14ac:dyDescent="0.2">
      <c r="A2927" t="s">
        <v>64</v>
      </c>
      <c r="B2927" t="s">
        <v>64</v>
      </c>
      <c r="C2927" s="3" t="s">
        <v>64</v>
      </c>
      <c r="D2927" s="16" t="s">
        <v>64</v>
      </c>
      <c r="E2927" s="16">
        <v>0</v>
      </c>
      <c r="F2927" s="16" t="s">
        <v>64</v>
      </c>
      <c r="G2927" s="16" t="s">
        <v>64</v>
      </c>
    </row>
    <row r="2928" spans="1:7" x14ac:dyDescent="0.2">
      <c r="A2928" t="s">
        <v>64</v>
      </c>
      <c r="B2928" t="s">
        <v>64</v>
      </c>
      <c r="C2928" s="3" t="s">
        <v>64</v>
      </c>
      <c r="D2928" s="16" t="s">
        <v>64</v>
      </c>
      <c r="E2928" s="16">
        <v>0</v>
      </c>
      <c r="F2928" s="16" t="s">
        <v>64</v>
      </c>
      <c r="G2928" s="16" t="s">
        <v>64</v>
      </c>
    </row>
    <row r="2929" spans="1:7" x14ac:dyDescent="0.2">
      <c r="A2929" t="s">
        <v>64</v>
      </c>
      <c r="B2929" t="s">
        <v>64</v>
      </c>
      <c r="C2929" s="3" t="s">
        <v>64</v>
      </c>
      <c r="D2929" s="16" t="s">
        <v>64</v>
      </c>
      <c r="E2929" s="16">
        <v>0</v>
      </c>
      <c r="F2929" s="16" t="s">
        <v>64</v>
      </c>
      <c r="G2929" s="16" t="s">
        <v>64</v>
      </c>
    </row>
    <row r="2930" spans="1:7" x14ac:dyDescent="0.2">
      <c r="A2930" t="s">
        <v>64</v>
      </c>
      <c r="B2930" t="s">
        <v>64</v>
      </c>
      <c r="C2930" s="3" t="s">
        <v>64</v>
      </c>
      <c r="D2930" s="16" t="s">
        <v>64</v>
      </c>
      <c r="E2930" s="16">
        <v>0</v>
      </c>
      <c r="F2930" s="16" t="s">
        <v>64</v>
      </c>
      <c r="G2930" s="16" t="s">
        <v>64</v>
      </c>
    </row>
    <row r="2931" spans="1:7" x14ac:dyDescent="0.2">
      <c r="A2931" t="s">
        <v>64</v>
      </c>
      <c r="B2931" t="s">
        <v>64</v>
      </c>
      <c r="C2931" s="3" t="s">
        <v>64</v>
      </c>
      <c r="D2931" s="16" t="s">
        <v>64</v>
      </c>
      <c r="E2931" s="16">
        <v>0</v>
      </c>
      <c r="F2931" s="16" t="s">
        <v>64</v>
      </c>
      <c r="G2931" s="16" t="s">
        <v>64</v>
      </c>
    </row>
    <row r="2932" spans="1:7" x14ac:dyDescent="0.2">
      <c r="A2932" t="s">
        <v>64</v>
      </c>
      <c r="B2932" t="s">
        <v>64</v>
      </c>
      <c r="C2932" s="3" t="s">
        <v>64</v>
      </c>
      <c r="D2932" s="16" t="s">
        <v>64</v>
      </c>
      <c r="E2932" s="16">
        <v>0</v>
      </c>
      <c r="F2932" s="16" t="s">
        <v>64</v>
      </c>
      <c r="G2932" s="16" t="s">
        <v>64</v>
      </c>
    </row>
    <row r="2933" spans="1:7" x14ac:dyDescent="0.2">
      <c r="A2933" t="s">
        <v>64</v>
      </c>
      <c r="B2933" t="s">
        <v>64</v>
      </c>
      <c r="C2933" s="3" t="s">
        <v>64</v>
      </c>
      <c r="D2933" s="16" t="s">
        <v>64</v>
      </c>
      <c r="E2933" s="16">
        <v>0</v>
      </c>
      <c r="F2933" s="16" t="s">
        <v>64</v>
      </c>
      <c r="G2933" s="16" t="s">
        <v>64</v>
      </c>
    </row>
    <row r="2934" spans="1:7" x14ac:dyDescent="0.2">
      <c r="A2934" t="s">
        <v>64</v>
      </c>
      <c r="B2934" t="s">
        <v>64</v>
      </c>
      <c r="C2934" s="3" t="s">
        <v>64</v>
      </c>
      <c r="D2934" s="16" t="s">
        <v>64</v>
      </c>
      <c r="E2934" s="16">
        <v>0</v>
      </c>
      <c r="F2934" s="16" t="s">
        <v>64</v>
      </c>
      <c r="G2934" s="16" t="s">
        <v>64</v>
      </c>
    </row>
    <row r="2935" spans="1:7" x14ac:dyDescent="0.2">
      <c r="A2935" t="s">
        <v>64</v>
      </c>
      <c r="B2935" t="s">
        <v>64</v>
      </c>
      <c r="C2935" s="3" t="s">
        <v>64</v>
      </c>
      <c r="D2935" s="16" t="s">
        <v>64</v>
      </c>
      <c r="E2935" s="16">
        <v>0</v>
      </c>
      <c r="F2935" s="16" t="s">
        <v>64</v>
      </c>
      <c r="G2935" s="16" t="s">
        <v>64</v>
      </c>
    </row>
    <row r="2936" spans="1:7" x14ac:dyDescent="0.2">
      <c r="A2936" t="s">
        <v>64</v>
      </c>
      <c r="B2936" t="s">
        <v>64</v>
      </c>
      <c r="C2936" s="3" t="s">
        <v>64</v>
      </c>
      <c r="D2936" s="16" t="s">
        <v>64</v>
      </c>
      <c r="E2936" s="16">
        <v>0</v>
      </c>
      <c r="F2936" s="16" t="s">
        <v>64</v>
      </c>
      <c r="G2936" s="16" t="s">
        <v>64</v>
      </c>
    </row>
    <row r="2937" spans="1:7" x14ac:dyDescent="0.2">
      <c r="A2937" t="s">
        <v>64</v>
      </c>
      <c r="B2937" t="s">
        <v>64</v>
      </c>
      <c r="C2937" s="3" t="s">
        <v>64</v>
      </c>
      <c r="D2937" s="16" t="s">
        <v>64</v>
      </c>
      <c r="E2937" s="16">
        <v>0</v>
      </c>
      <c r="F2937" s="16" t="s">
        <v>64</v>
      </c>
      <c r="G2937" s="16" t="s">
        <v>64</v>
      </c>
    </row>
    <row r="2938" spans="1:7" x14ac:dyDescent="0.2">
      <c r="A2938" t="s">
        <v>64</v>
      </c>
      <c r="B2938" t="s">
        <v>64</v>
      </c>
      <c r="C2938" s="3" t="s">
        <v>64</v>
      </c>
      <c r="D2938" s="16" t="s">
        <v>64</v>
      </c>
      <c r="E2938" s="16">
        <v>0</v>
      </c>
      <c r="F2938" s="16" t="s">
        <v>64</v>
      </c>
      <c r="G2938" s="16" t="s">
        <v>64</v>
      </c>
    </row>
    <row r="2939" spans="1:7" x14ac:dyDescent="0.2">
      <c r="A2939" t="s">
        <v>64</v>
      </c>
      <c r="B2939" t="s">
        <v>64</v>
      </c>
      <c r="C2939" s="3" t="s">
        <v>64</v>
      </c>
      <c r="D2939" s="16" t="s">
        <v>64</v>
      </c>
      <c r="E2939" s="16">
        <v>0</v>
      </c>
      <c r="F2939" s="16" t="s">
        <v>64</v>
      </c>
      <c r="G2939" s="16" t="s">
        <v>64</v>
      </c>
    </row>
    <row r="2940" spans="1:7" x14ac:dyDescent="0.2">
      <c r="A2940" t="s">
        <v>64</v>
      </c>
      <c r="B2940" t="s">
        <v>64</v>
      </c>
      <c r="C2940" s="3" t="s">
        <v>64</v>
      </c>
      <c r="D2940" s="16" t="s">
        <v>64</v>
      </c>
      <c r="E2940" s="16">
        <v>0</v>
      </c>
      <c r="F2940" s="16" t="s">
        <v>64</v>
      </c>
      <c r="G2940" s="16" t="s">
        <v>64</v>
      </c>
    </row>
    <row r="2941" spans="1:7" x14ac:dyDescent="0.2">
      <c r="A2941" t="s">
        <v>64</v>
      </c>
      <c r="B2941" t="s">
        <v>64</v>
      </c>
      <c r="C2941" s="3" t="s">
        <v>64</v>
      </c>
      <c r="D2941" s="16" t="s">
        <v>64</v>
      </c>
      <c r="E2941" s="16">
        <v>0</v>
      </c>
      <c r="F2941" s="16" t="s">
        <v>64</v>
      </c>
      <c r="G2941" s="16" t="s">
        <v>64</v>
      </c>
    </row>
    <row r="2942" spans="1:7" x14ac:dyDescent="0.2">
      <c r="A2942" t="s">
        <v>64</v>
      </c>
      <c r="B2942" t="s">
        <v>64</v>
      </c>
      <c r="C2942" s="3" t="s">
        <v>64</v>
      </c>
      <c r="D2942" s="16" t="s">
        <v>64</v>
      </c>
      <c r="E2942" s="16">
        <v>0</v>
      </c>
      <c r="F2942" s="16" t="s">
        <v>64</v>
      </c>
      <c r="G2942" s="16" t="s">
        <v>64</v>
      </c>
    </row>
    <row r="2943" spans="1:7" x14ac:dyDescent="0.2">
      <c r="A2943" t="s">
        <v>64</v>
      </c>
      <c r="B2943" t="s">
        <v>64</v>
      </c>
      <c r="C2943" s="3" t="s">
        <v>64</v>
      </c>
      <c r="D2943" s="16" t="s">
        <v>64</v>
      </c>
      <c r="E2943" s="16">
        <v>0</v>
      </c>
      <c r="F2943" s="16" t="s">
        <v>64</v>
      </c>
      <c r="G2943" s="16" t="s">
        <v>64</v>
      </c>
    </row>
    <row r="2944" spans="1:7" x14ac:dyDescent="0.2">
      <c r="A2944" t="s">
        <v>64</v>
      </c>
      <c r="B2944" t="s">
        <v>64</v>
      </c>
      <c r="C2944" s="3" t="s">
        <v>64</v>
      </c>
      <c r="D2944" s="16" t="s">
        <v>64</v>
      </c>
      <c r="E2944" s="16">
        <v>0</v>
      </c>
      <c r="F2944" s="16" t="s">
        <v>64</v>
      </c>
      <c r="G2944" s="16" t="s">
        <v>64</v>
      </c>
    </row>
    <row r="2945" spans="1:7" x14ac:dyDescent="0.2">
      <c r="A2945" t="s">
        <v>64</v>
      </c>
      <c r="B2945" t="s">
        <v>64</v>
      </c>
      <c r="C2945" s="3" t="s">
        <v>64</v>
      </c>
      <c r="D2945" s="16" t="s">
        <v>64</v>
      </c>
      <c r="E2945" s="16">
        <v>0</v>
      </c>
      <c r="F2945" s="16" t="s">
        <v>64</v>
      </c>
      <c r="G2945" s="16" t="s">
        <v>64</v>
      </c>
    </row>
    <row r="2946" spans="1:7" x14ac:dyDescent="0.2">
      <c r="A2946" t="s">
        <v>64</v>
      </c>
      <c r="B2946" t="s">
        <v>64</v>
      </c>
      <c r="C2946" s="3" t="s">
        <v>64</v>
      </c>
      <c r="D2946" s="16" t="s">
        <v>64</v>
      </c>
      <c r="E2946" s="16">
        <v>0</v>
      </c>
      <c r="F2946" s="16" t="s">
        <v>64</v>
      </c>
      <c r="G2946" s="16" t="s">
        <v>64</v>
      </c>
    </row>
    <row r="2947" spans="1:7" x14ac:dyDescent="0.2">
      <c r="A2947" t="s">
        <v>64</v>
      </c>
      <c r="B2947" t="s">
        <v>64</v>
      </c>
      <c r="C2947" s="3" t="s">
        <v>64</v>
      </c>
      <c r="D2947" s="16" t="s">
        <v>64</v>
      </c>
      <c r="E2947" s="16">
        <v>0</v>
      </c>
      <c r="F2947" s="16" t="s">
        <v>64</v>
      </c>
      <c r="G2947" s="16" t="s">
        <v>64</v>
      </c>
    </row>
    <row r="2948" spans="1:7" x14ac:dyDescent="0.2">
      <c r="A2948" t="s">
        <v>64</v>
      </c>
      <c r="B2948" t="s">
        <v>64</v>
      </c>
      <c r="C2948" s="3" t="s">
        <v>64</v>
      </c>
      <c r="D2948" s="16" t="s">
        <v>64</v>
      </c>
      <c r="E2948" s="16">
        <v>0</v>
      </c>
      <c r="F2948" s="16" t="s">
        <v>64</v>
      </c>
      <c r="G2948" s="16" t="s">
        <v>64</v>
      </c>
    </row>
    <row r="2949" spans="1:7" x14ac:dyDescent="0.2">
      <c r="A2949" t="s">
        <v>64</v>
      </c>
      <c r="B2949" t="s">
        <v>64</v>
      </c>
      <c r="C2949" s="3" t="s">
        <v>64</v>
      </c>
      <c r="D2949" s="16" t="s">
        <v>64</v>
      </c>
      <c r="E2949" s="16">
        <v>0</v>
      </c>
      <c r="F2949" s="16" t="s">
        <v>64</v>
      </c>
      <c r="G2949" s="16" t="s">
        <v>64</v>
      </c>
    </row>
    <row r="2950" spans="1:7" x14ac:dyDescent="0.2">
      <c r="A2950" t="s">
        <v>64</v>
      </c>
      <c r="B2950" t="s">
        <v>64</v>
      </c>
      <c r="C2950" s="3" t="s">
        <v>64</v>
      </c>
      <c r="D2950" s="16" t="s">
        <v>64</v>
      </c>
      <c r="E2950" s="16">
        <v>0</v>
      </c>
      <c r="F2950" s="16" t="s">
        <v>64</v>
      </c>
      <c r="G2950" s="16" t="s">
        <v>64</v>
      </c>
    </row>
    <row r="2951" spans="1:7" x14ac:dyDescent="0.2">
      <c r="A2951" t="s">
        <v>64</v>
      </c>
      <c r="B2951" t="s">
        <v>64</v>
      </c>
      <c r="C2951" s="3" t="s">
        <v>64</v>
      </c>
      <c r="D2951" s="16" t="s">
        <v>64</v>
      </c>
      <c r="E2951" s="16">
        <v>0</v>
      </c>
      <c r="F2951" s="16" t="s">
        <v>64</v>
      </c>
      <c r="G2951" s="16" t="s">
        <v>64</v>
      </c>
    </row>
    <row r="2952" spans="1:7" x14ac:dyDescent="0.2">
      <c r="A2952" t="s">
        <v>64</v>
      </c>
      <c r="B2952" t="s">
        <v>64</v>
      </c>
      <c r="C2952" s="3" t="s">
        <v>64</v>
      </c>
      <c r="D2952" s="16" t="s">
        <v>64</v>
      </c>
      <c r="E2952" s="16">
        <v>0</v>
      </c>
      <c r="F2952" s="16" t="s">
        <v>64</v>
      </c>
      <c r="G2952" s="16" t="s">
        <v>64</v>
      </c>
    </row>
    <row r="2953" spans="1:7" x14ac:dyDescent="0.2">
      <c r="A2953" t="s">
        <v>64</v>
      </c>
      <c r="B2953" t="s">
        <v>64</v>
      </c>
      <c r="C2953" s="3" t="s">
        <v>64</v>
      </c>
      <c r="D2953" s="16" t="s">
        <v>64</v>
      </c>
      <c r="E2953" s="16">
        <v>0</v>
      </c>
      <c r="F2953" s="16" t="s">
        <v>64</v>
      </c>
      <c r="G2953" s="16" t="s">
        <v>64</v>
      </c>
    </row>
    <row r="2954" spans="1:7" x14ac:dyDescent="0.2">
      <c r="A2954" t="s">
        <v>64</v>
      </c>
      <c r="B2954" t="s">
        <v>64</v>
      </c>
      <c r="C2954" s="3" t="s">
        <v>64</v>
      </c>
      <c r="D2954" s="16" t="s">
        <v>64</v>
      </c>
      <c r="E2954" s="16">
        <v>0</v>
      </c>
      <c r="F2954" s="16" t="s">
        <v>64</v>
      </c>
      <c r="G2954" s="16" t="s">
        <v>64</v>
      </c>
    </row>
    <row r="2955" spans="1:7" x14ac:dyDescent="0.2">
      <c r="A2955" t="s">
        <v>64</v>
      </c>
      <c r="B2955" t="s">
        <v>64</v>
      </c>
      <c r="C2955" s="3" t="s">
        <v>64</v>
      </c>
      <c r="D2955" s="16" t="s">
        <v>64</v>
      </c>
      <c r="E2955" s="16">
        <v>0</v>
      </c>
      <c r="F2955" s="16" t="s">
        <v>64</v>
      </c>
      <c r="G2955" s="16" t="s">
        <v>64</v>
      </c>
    </row>
    <row r="2956" spans="1:7" x14ac:dyDescent="0.2">
      <c r="A2956" t="s">
        <v>64</v>
      </c>
      <c r="B2956" t="s">
        <v>64</v>
      </c>
      <c r="C2956" s="3" t="s">
        <v>64</v>
      </c>
      <c r="D2956" s="16" t="s">
        <v>64</v>
      </c>
      <c r="E2956" s="16">
        <v>0</v>
      </c>
      <c r="F2956" s="16" t="s">
        <v>64</v>
      </c>
      <c r="G2956" s="16" t="s">
        <v>64</v>
      </c>
    </row>
    <row r="2957" spans="1:7" x14ac:dyDescent="0.2">
      <c r="A2957" t="s">
        <v>64</v>
      </c>
      <c r="B2957" t="s">
        <v>64</v>
      </c>
      <c r="C2957" s="3" t="s">
        <v>64</v>
      </c>
      <c r="D2957" s="16" t="s">
        <v>64</v>
      </c>
      <c r="E2957" s="16">
        <v>0</v>
      </c>
      <c r="F2957" s="16" t="s">
        <v>64</v>
      </c>
      <c r="G2957" s="16" t="s">
        <v>64</v>
      </c>
    </row>
    <row r="2958" spans="1:7" x14ac:dyDescent="0.2">
      <c r="A2958" t="s">
        <v>64</v>
      </c>
      <c r="B2958" t="s">
        <v>64</v>
      </c>
      <c r="C2958" s="3" t="s">
        <v>64</v>
      </c>
      <c r="D2958" s="16" t="s">
        <v>64</v>
      </c>
      <c r="E2958" s="16">
        <v>0</v>
      </c>
      <c r="F2958" s="16" t="s">
        <v>64</v>
      </c>
      <c r="G2958" s="16" t="s">
        <v>64</v>
      </c>
    </row>
    <row r="2959" spans="1:7" x14ac:dyDescent="0.2">
      <c r="A2959" t="s">
        <v>64</v>
      </c>
      <c r="B2959" t="s">
        <v>64</v>
      </c>
      <c r="C2959" s="3" t="s">
        <v>64</v>
      </c>
      <c r="D2959" s="16" t="s">
        <v>64</v>
      </c>
      <c r="E2959" s="16">
        <v>0</v>
      </c>
      <c r="F2959" s="16" t="s">
        <v>64</v>
      </c>
      <c r="G2959" s="16" t="s">
        <v>64</v>
      </c>
    </row>
    <row r="2960" spans="1:7" x14ac:dyDescent="0.2">
      <c r="A2960" t="s">
        <v>64</v>
      </c>
      <c r="B2960" t="s">
        <v>64</v>
      </c>
      <c r="C2960" s="3" t="s">
        <v>64</v>
      </c>
      <c r="D2960" s="16" t="s">
        <v>64</v>
      </c>
      <c r="E2960" s="16">
        <v>0</v>
      </c>
      <c r="F2960" s="16" t="s">
        <v>64</v>
      </c>
      <c r="G2960" s="16" t="s">
        <v>64</v>
      </c>
    </row>
    <row r="2961" spans="1:7" x14ac:dyDescent="0.2">
      <c r="A2961" t="s">
        <v>64</v>
      </c>
      <c r="B2961" t="s">
        <v>64</v>
      </c>
      <c r="C2961" s="3" t="s">
        <v>64</v>
      </c>
      <c r="D2961" s="16" t="s">
        <v>64</v>
      </c>
      <c r="E2961" s="16">
        <v>0</v>
      </c>
      <c r="F2961" s="16" t="s">
        <v>64</v>
      </c>
      <c r="G2961" s="16" t="s">
        <v>64</v>
      </c>
    </row>
    <row r="2962" spans="1:7" x14ac:dyDescent="0.2">
      <c r="A2962" t="s">
        <v>64</v>
      </c>
      <c r="B2962" t="s">
        <v>64</v>
      </c>
      <c r="C2962" s="3" t="s">
        <v>64</v>
      </c>
      <c r="D2962" s="16" t="s">
        <v>64</v>
      </c>
      <c r="E2962" s="16">
        <v>0</v>
      </c>
      <c r="F2962" s="16" t="s">
        <v>64</v>
      </c>
      <c r="G2962" s="16" t="s">
        <v>64</v>
      </c>
    </row>
    <row r="2963" spans="1:7" x14ac:dyDescent="0.2">
      <c r="A2963" t="s">
        <v>64</v>
      </c>
      <c r="B2963" t="s">
        <v>64</v>
      </c>
      <c r="C2963" s="3" t="s">
        <v>64</v>
      </c>
      <c r="D2963" s="16" t="s">
        <v>64</v>
      </c>
      <c r="E2963" s="16">
        <v>0</v>
      </c>
      <c r="F2963" s="16" t="s">
        <v>64</v>
      </c>
      <c r="G2963" s="16" t="s">
        <v>64</v>
      </c>
    </row>
    <row r="2964" spans="1:7" x14ac:dyDescent="0.2">
      <c r="A2964" t="s">
        <v>64</v>
      </c>
      <c r="B2964" t="s">
        <v>64</v>
      </c>
      <c r="C2964" s="3" t="s">
        <v>64</v>
      </c>
      <c r="D2964" s="16" t="s">
        <v>64</v>
      </c>
      <c r="E2964" s="16">
        <v>0</v>
      </c>
      <c r="F2964" s="16" t="s">
        <v>64</v>
      </c>
      <c r="G2964" s="16" t="s">
        <v>64</v>
      </c>
    </row>
    <row r="2965" spans="1:7" x14ac:dyDescent="0.2">
      <c r="A2965" t="s">
        <v>64</v>
      </c>
      <c r="B2965" t="s">
        <v>64</v>
      </c>
      <c r="C2965" s="3" t="s">
        <v>64</v>
      </c>
      <c r="D2965" s="16" t="s">
        <v>64</v>
      </c>
      <c r="E2965" s="16">
        <v>0</v>
      </c>
      <c r="F2965" s="16" t="s">
        <v>64</v>
      </c>
      <c r="G2965" s="16" t="s">
        <v>64</v>
      </c>
    </row>
    <row r="2966" spans="1:7" x14ac:dyDescent="0.2">
      <c r="A2966" t="s">
        <v>64</v>
      </c>
      <c r="B2966" t="s">
        <v>64</v>
      </c>
      <c r="C2966" s="3" t="s">
        <v>64</v>
      </c>
      <c r="D2966" s="16" t="s">
        <v>64</v>
      </c>
      <c r="E2966" s="16">
        <v>0</v>
      </c>
      <c r="F2966" s="16" t="s">
        <v>64</v>
      </c>
      <c r="G2966" s="16" t="s">
        <v>64</v>
      </c>
    </row>
    <row r="2967" spans="1:7" x14ac:dyDescent="0.2">
      <c r="A2967" t="s">
        <v>64</v>
      </c>
      <c r="B2967" t="s">
        <v>64</v>
      </c>
      <c r="C2967" s="3" t="s">
        <v>64</v>
      </c>
      <c r="D2967" s="16" t="s">
        <v>64</v>
      </c>
      <c r="E2967" s="16">
        <v>0</v>
      </c>
      <c r="F2967" s="16" t="s">
        <v>64</v>
      </c>
      <c r="G2967" s="16" t="s">
        <v>64</v>
      </c>
    </row>
    <row r="2968" spans="1:7" x14ac:dyDescent="0.2">
      <c r="A2968" t="s">
        <v>64</v>
      </c>
      <c r="B2968" t="s">
        <v>64</v>
      </c>
      <c r="C2968" s="3" t="s">
        <v>64</v>
      </c>
      <c r="D2968" s="16" t="s">
        <v>64</v>
      </c>
      <c r="E2968" s="16">
        <v>0</v>
      </c>
      <c r="F2968" s="16" t="s">
        <v>64</v>
      </c>
      <c r="G2968" s="16" t="s">
        <v>64</v>
      </c>
    </row>
    <row r="2969" spans="1:7" x14ac:dyDescent="0.2">
      <c r="A2969" t="s">
        <v>64</v>
      </c>
      <c r="B2969" t="s">
        <v>64</v>
      </c>
      <c r="C2969" s="3" t="s">
        <v>64</v>
      </c>
      <c r="D2969" s="16" t="s">
        <v>64</v>
      </c>
      <c r="E2969" s="16">
        <v>0</v>
      </c>
      <c r="F2969" s="16" t="s">
        <v>64</v>
      </c>
      <c r="G2969" s="16" t="s">
        <v>64</v>
      </c>
    </row>
    <row r="2970" spans="1:7" x14ac:dyDescent="0.2">
      <c r="A2970" t="s">
        <v>64</v>
      </c>
      <c r="B2970" t="s">
        <v>64</v>
      </c>
      <c r="C2970" s="3" t="s">
        <v>64</v>
      </c>
      <c r="D2970" s="16" t="s">
        <v>64</v>
      </c>
      <c r="E2970" s="16">
        <v>0</v>
      </c>
      <c r="F2970" s="16" t="s">
        <v>64</v>
      </c>
      <c r="G2970" s="16" t="s">
        <v>64</v>
      </c>
    </row>
    <row r="2971" spans="1:7" x14ac:dyDescent="0.2">
      <c r="A2971" t="s">
        <v>64</v>
      </c>
      <c r="B2971" t="s">
        <v>64</v>
      </c>
      <c r="C2971" s="3" t="s">
        <v>64</v>
      </c>
      <c r="D2971" s="16" t="s">
        <v>64</v>
      </c>
      <c r="E2971" s="16">
        <v>0</v>
      </c>
      <c r="F2971" s="16" t="s">
        <v>64</v>
      </c>
      <c r="G2971" s="16" t="s">
        <v>64</v>
      </c>
    </row>
    <row r="2972" spans="1:7" x14ac:dyDescent="0.2">
      <c r="A2972" t="s">
        <v>64</v>
      </c>
      <c r="B2972" t="s">
        <v>64</v>
      </c>
      <c r="C2972" s="3" t="s">
        <v>64</v>
      </c>
      <c r="D2972" s="16" t="s">
        <v>64</v>
      </c>
      <c r="E2972" s="16">
        <v>0</v>
      </c>
      <c r="F2972" s="16" t="s">
        <v>64</v>
      </c>
      <c r="G2972" s="16" t="s">
        <v>64</v>
      </c>
    </row>
    <row r="2973" spans="1:7" x14ac:dyDescent="0.2">
      <c r="A2973" t="s">
        <v>64</v>
      </c>
      <c r="B2973" t="s">
        <v>64</v>
      </c>
      <c r="C2973" s="3" t="s">
        <v>64</v>
      </c>
      <c r="D2973" s="16" t="s">
        <v>64</v>
      </c>
      <c r="E2973" s="16">
        <v>0</v>
      </c>
      <c r="F2973" s="16" t="s">
        <v>64</v>
      </c>
      <c r="G2973" s="16" t="s">
        <v>64</v>
      </c>
    </row>
    <row r="2974" spans="1:7" x14ac:dyDescent="0.2">
      <c r="A2974" t="s">
        <v>64</v>
      </c>
      <c r="B2974" t="s">
        <v>64</v>
      </c>
      <c r="C2974" s="3" t="s">
        <v>64</v>
      </c>
      <c r="D2974" s="16" t="s">
        <v>64</v>
      </c>
      <c r="E2974" s="16">
        <v>0</v>
      </c>
      <c r="F2974" s="16" t="s">
        <v>64</v>
      </c>
      <c r="G2974" s="16" t="s">
        <v>64</v>
      </c>
    </row>
    <row r="2975" spans="1:7" x14ac:dyDescent="0.2">
      <c r="A2975" t="s">
        <v>64</v>
      </c>
      <c r="B2975" t="s">
        <v>64</v>
      </c>
      <c r="C2975" s="3" t="s">
        <v>64</v>
      </c>
      <c r="D2975" s="16" t="s">
        <v>64</v>
      </c>
      <c r="E2975" s="16">
        <v>0</v>
      </c>
      <c r="F2975" s="16" t="s">
        <v>64</v>
      </c>
      <c r="G2975" s="16" t="s">
        <v>64</v>
      </c>
    </row>
    <row r="2976" spans="1:7" x14ac:dyDescent="0.2">
      <c r="A2976" t="s">
        <v>64</v>
      </c>
      <c r="B2976" t="s">
        <v>64</v>
      </c>
      <c r="C2976" s="3" t="s">
        <v>64</v>
      </c>
      <c r="D2976" s="16" t="s">
        <v>64</v>
      </c>
      <c r="E2976" s="16">
        <v>0</v>
      </c>
      <c r="F2976" s="16" t="s">
        <v>64</v>
      </c>
      <c r="G2976" s="16" t="s">
        <v>64</v>
      </c>
    </row>
    <row r="2977" spans="1:7" x14ac:dyDescent="0.2">
      <c r="A2977" t="s">
        <v>64</v>
      </c>
      <c r="B2977" t="s">
        <v>64</v>
      </c>
      <c r="C2977" s="3" t="s">
        <v>64</v>
      </c>
      <c r="D2977" s="16" t="s">
        <v>64</v>
      </c>
      <c r="E2977" s="16">
        <v>0</v>
      </c>
      <c r="F2977" s="16" t="s">
        <v>64</v>
      </c>
      <c r="G2977" s="16" t="s">
        <v>64</v>
      </c>
    </row>
    <row r="2978" spans="1:7" x14ac:dyDescent="0.2">
      <c r="A2978" t="s">
        <v>64</v>
      </c>
      <c r="B2978" t="s">
        <v>64</v>
      </c>
      <c r="C2978" s="3" t="s">
        <v>64</v>
      </c>
      <c r="D2978" s="16" t="s">
        <v>64</v>
      </c>
      <c r="E2978" s="16">
        <v>0</v>
      </c>
      <c r="F2978" s="16" t="s">
        <v>64</v>
      </c>
      <c r="G2978" s="16" t="s">
        <v>64</v>
      </c>
    </row>
    <row r="2979" spans="1:7" x14ac:dyDescent="0.2">
      <c r="A2979" t="s">
        <v>64</v>
      </c>
      <c r="B2979" t="s">
        <v>64</v>
      </c>
      <c r="C2979" s="3" t="s">
        <v>64</v>
      </c>
      <c r="D2979" s="16" t="s">
        <v>64</v>
      </c>
      <c r="E2979" s="16">
        <v>0</v>
      </c>
      <c r="F2979" s="16" t="s">
        <v>64</v>
      </c>
      <c r="G2979" s="16" t="s">
        <v>64</v>
      </c>
    </row>
    <row r="2980" spans="1:7" x14ac:dyDescent="0.2">
      <c r="A2980" t="s">
        <v>64</v>
      </c>
      <c r="B2980" t="s">
        <v>64</v>
      </c>
      <c r="C2980" s="3" t="s">
        <v>64</v>
      </c>
      <c r="D2980" s="16" t="s">
        <v>64</v>
      </c>
      <c r="E2980" s="16">
        <v>0</v>
      </c>
      <c r="F2980" s="16" t="s">
        <v>64</v>
      </c>
      <c r="G2980" s="16" t="s">
        <v>64</v>
      </c>
    </row>
    <row r="2981" spans="1:7" x14ac:dyDescent="0.2">
      <c r="A2981" t="s">
        <v>64</v>
      </c>
      <c r="B2981" t="s">
        <v>64</v>
      </c>
      <c r="C2981" s="3" t="s">
        <v>64</v>
      </c>
      <c r="D2981" s="16" t="s">
        <v>64</v>
      </c>
      <c r="E2981" s="16">
        <v>0</v>
      </c>
      <c r="F2981" s="16" t="s">
        <v>64</v>
      </c>
      <c r="G2981" s="16" t="s">
        <v>64</v>
      </c>
    </row>
    <row r="2982" spans="1:7" x14ac:dyDescent="0.2">
      <c r="A2982" t="s">
        <v>64</v>
      </c>
      <c r="B2982" t="s">
        <v>64</v>
      </c>
      <c r="C2982" s="3" t="s">
        <v>64</v>
      </c>
      <c r="D2982" s="16" t="s">
        <v>64</v>
      </c>
      <c r="E2982" s="16">
        <v>0</v>
      </c>
      <c r="F2982" s="16" t="s">
        <v>64</v>
      </c>
      <c r="G2982" s="16" t="s">
        <v>64</v>
      </c>
    </row>
    <row r="2983" spans="1:7" x14ac:dyDescent="0.2">
      <c r="A2983" t="s">
        <v>64</v>
      </c>
      <c r="B2983" t="s">
        <v>64</v>
      </c>
      <c r="C2983" s="3" t="s">
        <v>64</v>
      </c>
      <c r="D2983" s="16" t="s">
        <v>64</v>
      </c>
      <c r="E2983" s="16">
        <v>0</v>
      </c>
      <c r="F2983" s="16" t="s">
        <v>64</v>
      </c>
      <c r="G2983" s="16" t="s">
        <v>64</v>
      </c>
    </row>
    <row r="2984" spans="1:7" x14ac:dyDescent="0.2">
      <c r="A2984" t="s">
        <v>64</v>
      </c>
      <c r="B2984" t="s">
        <v>64</v>
      </c>
      <c r="C2984" s="3" t="s">
        <v>64</v>
      </c>
      <c r="D2984" s="16" t="s">
        <v>64</v>
      </c>
      <c r="E2984" s="16">
        <v>0</v>
      </c>
      <c r="F2984" s="16" t="s">
        <v>64</v>
      </c>
      <c r="G2984" s="16" t="s">
        <v>64</v>
      </c>
    </row>
    <row r="2985" spans="1:7" x14ac:dyDescent="0.2">
      <c r="A2985" t="s">
        <v>64</v>
      </c>
      <c r="B2985" t="s">
        <v>64</v>
      </c>
      <c r="C2985" s="3" t="s">
        <v>64</v>
      </c>
      <c r="D2985" s="16" t="s">
        <v>64</v>
      </c>
      <c r="E2985" s="16">
        <v>0</v>
      </c>
      <c r="F2985" s="16" t="s">
        <v>64</v>
      </c>
      <c r="G2985" s="16" t="s">
        <v>64</v>
      </c>
    </row>
    <row r="2986" spans="1:7" x14ac:dyDescent="0.2">
      <c r="A2986" t="s">
        <v>64</v>
      </c>
      <c r="B2986" t="s">
        <v>64</v>
      </c>
      <c r="C2986" s="3" t="s">
        <v>64</v>
      </c>
      <c r="D2986" s="16" t="s">
        <v>64</v>
      </c>
      <c r="E2986" s="16">
        <v>0</v>
      </c>
      <c r="F2986" s="16" t="s">
        <v>64</v>
      </c>
      <c r="G2986" s="16" t="s">
        <v>64</v>
      </c>
    </row>
    <row r="2987" spans="1:7" x14ac:dyDescent="0.2">
      <c r="A2987" t="s">
        <v>64</v>
      </c>
      <c r="B2987" t="s">
        <v>64</v>
      </c>
      <c r="C2987" s="3" t="s">
        <v>64</v>
      </c>
      <c r="D2987" s="16" t="s">
        <v>64</v>
      </c>
      <c r="E2987" s="16">
        <v>0</v>
      </c>
      <c r="F2987" s="16" t="s">
        <v>64</v>
      </c>
      <c r="G2987" s="16" t="s">
        <v>64</v>
      </c>
    </row>
    <row r="2988" spans="1:7" x14ac:dyDescent="0.2">
      <c r="A2988" t="s">
        <v>64</v>
      </c>
      <c r="B2988" t="s">
        <v>64</v>
      </c>
      <c r="C2988" s="3" t="s">
        <v>64</v>
      </c>
      <c r="D2988" s="16" t="s">
        <v>64</v>
      </c>
      <c r="E2988" s="16">
        <v>0</v>
      </c>
      <c r="F2988" s="16" t="s">
        <v>64</v>
      </c>
      <c r="G2988" s="16" t="s">
        <v>64</v>
      </c>
    </row>
    <row r="2989" spans="1:7" x14ac:dyDescent="0.2">
      <c r="A2989" t="s">
        <v>64</v>
      </c>
      <c r="B2989" t="s">
        <v>64</v>
      </c>
      <c r="C2989" s="3" t="s">
        <v>64</v>
      </c>
      <c r="D2989" s="16" t="s">
        <v>64</v>
      </c>
      <c r="E2989" s="16">
        <v>0</v>
      </c>
      <c r="F2989" s="16" t="s">
        <v>64</v>
      </c>
      <c r="G2989" s="16" t="s">
        <v>64</v>
      </c>
    </row>
    <row r="2990" spans="1:7" x14ac:dyDescent="0.2">
      <c r="A2990" t="s">
        <v>64</v>
      </c>
      <c r="B2990" t="s">
        <v>64</v>
      </c>
      <c r="C2990" s="3" t="s">
        <v>64</v>
      </c>
      <c r="D2990" s="16" t="s">
        <v>64</v>
      </c>
      <c r="E2990" s="16">
        <v>0</v>
      </c>
      <c r="F2990" s="16" t="s">
        <v>64</v>
      </c>
      <c r="G2990" s="16" t="s">
        <v>64</v>
      </c>
    </row>
    <row r="2991" spans="1:7" x14ac:dyDescent="0.2">
      <c r="A2991" t="s">
        <v>64</v>
      </c>
      <c r="B2991" t="s">
        <v>64</v>
      </c>
      <c r="C2991" s="3" t="s">
        <v>64</v>
      </c>
      <c r="D2991" s="16" t="s">
        <v>64</v>
      </c>
      <c r="E2991" s="16">
        <v>0</v>
      </c>
      <c r="F2991" s="16" t="s">
        <v>64</v>
      </c>
      <c r="G2991" s="16" t="s">
        <v>64</v>
      </c>
    </row>
    <row r="2992" spans="1:7" x14ac:dyDescent="0.2">
      <c r="A2992" t="s">
        <v>64</v>
      </c>
      <c r="B2992" t="s">
        <v>64</v>
      </c>
      <c r="C2992" s="3" t="s">
        <v>64</v>
      </c>
      <c r="D2992" s="16" t="s">
        <v>64</v>
      </c>
      <c r="E2992" s="16">
        <v>0</v>
      </c>
      <c r="F2992" s="16" t="s">
        <v>64</v>
      </c>
      <c r="G2992" s="16" t="s">
        <v>64</v>
      </c>
    </row>
    <row r="2993" spans="1:7" x14ac:dyDescent="0.2">
      <c r="A2993" t="s">
        <v>64</v>
      </c>
      <c r="B2993" t="s">
        <v>64</v>
      </c>
      <c r="C2993" s="3" t="s">
        <v>64</v>
      </c>
      <c r="D2993" s="16" t="s">
        <v>64</v>
      </c>
      <c r="E2993" s="16">
        <v>0</v>
      </c>
      <c r="F2993" s="16" t="s">
        <v>64</v>
      </c>
      <c r="G2993" s="16" t="s">
        <v>64</v>
      </c>
    </row>
    <row r="2994" spans="1:7" x14ac:dyDescent="0.2">
      <c r="A2994" t="s">
        <v>64</v>
      </c>
      <c r="B2994" t="s">
        <v>64</v>
      </c>
      <c r="C2994" s="3" t="s">
        <v>64</v>
      </c>
      <c r="D2994" s="16" t="s">
        <v>64</v>
      </c>
      <c r="E2994" s="16">
        <v>0</v>
      </c>
      <c r="F2994" s="16" t="s">
        <v>64</v>
      </c>
      <c r="G2994" s="16" t="s">
        <v>64</v>
      </c>
    </row>
    <row r="2995" spans="1:7" x14ac:dyDescent="0.2">
      <c r="A2995" t="s">
        <v>64</v>
      </c>
      <c r="B2995" t="s">
        <v>64</v>
      </c>
      <c r="C2995" s="3" t="s">
        <v>64</v>
      </c>
      <c r="D2995" s="16" t="s">
        <v>64</v>
      </c>
      <c r="E2995" s="16">
        <v>0</v>
      </c>
      <c r="F2995" s="16" t="s">
        <v>64</v>
      </c>
      <c r="G2995" s="16" t="s">
        <v>64</v>
      </c>
    </row>
    <row r="2996" spans="1:7" x14ac:dyDescent="0.2">
      <c r="A2996" t="s">
        <v>64</v>
      </c>
      <c r="B2996" t="s">
        <v>64</v>
      </c>
      <c r="C2996" s="3" t="s">
        <v>64</v>
      </c>
      <c r="D2996" s="16" t="s">
        <v>64</v>
      </c>
      <c r="E2996" s="16">
        <v>0</v>
      </c>
      <c r="F2996" s="16" t="s">
        <v>64</v>
      </c>
      <c r="G2996" s="16" t="s">
        <v>64</v>
      </c>
    </row>
    <row r="2997" spans="1:7" x14ac:dyDescent="0.2">
      <c r="A2997" t="s">
        <v>64</v>
      </c>
      <c r="B2997" t="s">
        <v>64</v>
      </c>
      <c r="C2997" s="3" t="s">
        <v>64</v>
      </c>
      <c r="D2997" s="16" t="s">
        <v>64</v>
      </c>
      <c r="E2997" s="16">
        <v>0</v>
      </c>
      <c r="F2997" s="16" t="s">
        <v>64</v>
      </c>
      <c r="G2997" s="16" t="s">
        <v>64</v>
      </c>
    </row>
    <row r="2998" spans="1:7" x14ac:dyDescent="0.2">
      <c r="A2998" t="s">
        <v>64</v>
      </c>
      <c r="B2998" t="s">
        <v>64</v>
      </c>
      <c r="C2998" s="3" t="s">
        <v>64</v>
      </c>
      <c r="D2998" s="16" t="s">
        <v>64</v>
      </c>
      <c r="E2998" s="16">
        <v>0</v>
      </c>
      <c r="F2998" s="16" t="s">
        <v>64</v>
      </c>
      <c r="G2998" s="16" t="s">
        <v>64</v>
      </c>
    </row>
    <row r="2999" spans="1:7" x14ac:dyDescent="0.2">
      <c r="A2999" t="s">
        <v>64</v>
      </c>
      <c r="B2999" t="s">
        <v>64</v>
      </c>
      <c r="C2999" s="3" t="s">
        <v>64</v>
      </c>
      <c r="D2999" s="16" t="s">
        <v>64</v>
      </c>
      <c r="E2999" s="16">
        <v>0</v>
      </c>
      <c r="F2999" s="16" t="s">
        <v>64</v>
      </c>
      <c r="G2999" s="16" t="s">
        <v>64</v>
      </c>
    </row>
    <row r="3000" spans="1:7" x14ac:dyDescent="0.2">
      <c r="A3000" t="s">
        <v>64</v>
      </c>
      <c r="B3000" t="s">
        <v>64</v>
      </c>
      <c r="C3000" s="3" t="s">
        <v>64</v>
      </c>
      <c r="D3000" s="16" t="s">
        <v>64</v>
      </c>
      <c r="E3000" s="16">
        <v>0</v>
      </c>
      <c r="F3000" s="16" t="s">
        <v>64</v>
      </c>
      <c r="G3000" s="16" t="s">
        <v>64</v>
      </c>
    </row>
    <row r="3001" spans="1:7" x14ac:dyDescent="0.2">
      <c r="A3001" t="s">
        <v>64</v>
      </c>
      <c r="B3001" t="s">
        <v>64</v>
      </c>
      <c r="C3001" s="3" t="s">
        <v>64</v>
      </c>
      <c r="D3001" s="16" t="s">
        <v>64</v>
      </c>
      <c r="E3001" s="16">
        <v>0</v>
      </c>
      <c r="F3001" s="16" t="s">
        <v>64</v>
      </c>
      <c r="G3001" s="16" t="s">
        <v>64</v>
      </c>
    </row>
    <row r="3002" spans="1:7" x14ac:dyDescent="0.2">
      <c r="A3002" t="s">
        <v>64</v>
      </c>
      <c r="B3002" t="s">
        <v>64</v>
      </c>
      <c r="C3002" s="3" t="s">
        <v>64</v>
      </c>
      <c r="D3002" s="16" t="s">
        <v>64</v>
      </c>
      <c r="E3002" s="16">
        <v>0</v>
      </c>
      <c r="F3002" s="16" t="s">
        <v>64</v>
      </c>
      <c r="G3002" s="16" t="s">
        <v>64</v>
      </c>
    </row>
    <row r="3003" spans="1:7" x14ac:dyDescent="0.2">
      <c r="A3003" t="s">
        <v>64</v>
      </c>
      <c r="B3003" t="s">
        <v>64</v>
      </c>
      <c r="C3003" s="3" t="s">
        <v>64</v>
      </c>
      <c r="D3003" s="16" t="s">
        <v>64</v>
      </c>
      <c r="E3003" s="16">
        <v>0</v>
      </c>
      <c r="F3003" s="16" t="s">
        <v>64</v>
      </c>
      <c r="G3003" s="16" t="s">
        <v>64</v>
      </c>
    </row>
    <row r="3004" spans="1:7" x14ac:dyDescent="0.2">
      <c r="A3004" t="s">
        <v>64</v>
      </c>
      <c r="B3004" t="s">
        <v>64</v>
      </c>
      <c r="C3004" s="3" t="s">
        <v>64</v>
      </c>
      <c r="D3004" s="16" t="s">
        <v>64</v>
      </c>
      <c r="E3004" s="16">
        <v>0</v>
      </c>
      <c r="F3004" s="16" t="s">
        <v>64</v>
      </c>
      <c r="G3004" s="16" t="s">
        <v>64</v>
      </c>
    </row>
    <row r="3005" spans="1:7" x14ac:dyDescent="0.2">
      <c r="A3005" t="s">
        <v>64</v>
      </c>
      <c r="B3005" t="s">
        <v>64</v>
      </c>
      <c r="C3005" s="3" t="s">
        <v>64</v>
      </c>
      <c r="D3005" s="16" t="s">
        <v>64</v>
      </c>
      <c r="E3005" s="16">
        <v>0</v>
      </c>
      <c r="F3005" s="16" t="s">
        <v>64</v>
      </c>
      <c r="G3005" s="16" t="s">
        <v>64</v>
      </c>
    </row>
    <row r="3006" spans="1:7" x14ac:dyDescent="0.2">
      <c r="A3006" t="s">
        <v>64</v>
      </c>
      <c r="B3006" t="s">
        <v>64</v>
      </c>
      <c r="C3006" s="3" t="s">
        <v>64</v>
      </c>
      <c r="D3006" s="16" t="s">
        <v>64</v>
      </c>
      <c r="E3006" s="16">
        <v>0</v>
      </c>
      <c r="F3006" s="16" t="s">
        <v>64</v>
      </c>
      <c r="G3006" s="16" t="s">
        <v>64</v>
      </c>
    </row>
    <row r="3007" spans="1:7" x14ac:dyDescent="0.2">
      <c r="A3007" t="s">
        <v>64</v>
      </c>
      <c r="B3007" t="s">
        <v>64</v>
      </c>
      <c r="C3007" s="3" t="s">
        <v>64</v>
      </c>
      <c r="D3007" s="16" t="s">
        <v>64</v>
      </c>
      <c r="E3007" s="16">
        <v>0</v>
      </c>
      <c r="F3007" s="16" t="s">
        <v>64</v>
      </c>
      <c r="G3007" s="16" t="s">
        <v>64</v>
      </c>
    </row>
    <row r="3008" spans="1:7" x14ac:dyDescent="0.2">
      <c r="A3008" t="s">
        <v>64</v>
      </c>
      <c r="B3008" t="s">
        <v>64</v>
      </c>
      <c r="C3008" s="3" t="s">
        <v>64</v>
      </c>
      <c r="D3008" s="16" t="s">
        <v>64</v>
      </c>
      <c r="E3008" s="16">
        <v>0</v>
      </c>
      <c r="F3008" s="16" t="s">
        <v>64</v>
      </c>
      <c r="G3008" s="16" t="s">
        <v>64</v>
      </c>
    </row>
    <row r="3009" spans="1:7" x14ac:dyDescent="0.2">
      <c r="A3009" t="s">
        <v>64</v>
      </c>
      <c r="B3009" t="s">
        <v>64</v>
      </c>
      <c r="C3009" s="3" t="s">
        <v>64</v>
      </c>
      <c r="D3009" s="16" t="s">
        <v>64</v>
      </c>
      <c r="E3009" s="16">
        <v>0</v>
      </c>
      <c r="F3009" s="16" t="s">
        <v>64</v>
      </c>
      <c r="G3009" s="16" t="s">
        <v>64</v>
      </c>
    </row>
    <row r="3010" spans="1:7" x14ac:dyDescent="0.2">
      <c r="A3010" t="s">
        <v>64</v>
      </c>
      <c r="B3010" t="s">
        <v>64</v>
      </c>
      <c r="C3010" s="3" t="s">
        <v>64</v>
      </c>
      <c r="D3010" s="16" t="s">
        <v>64</v>
      </c>
      <c r="E3010" s="16">
        <v>0</v>
      </c>
      <c r="F3010" s="16" t="s">
        <v>64</v>
      </c>
      <c r="G3010" s="16" t="s">
        <v>64</v>
      </c>
    </row>
    <row r="3011" spans="1:7" x14ac:dyDescent="0.2">
      <c r="A3011" t="s">
        <v>64</v>
      </c>
      <c r="B3011" t="s">
        <v>64</v>
      </c>
      <c r="C3011" s="3" t="s">
        <v>64</v>
      </c>
      <c r="D3011" s="16" t="s">
        <v>64</v>
      </c>
      <c r="E3011" s="16">
        <v>0</v>
      </c>
      <c r="F3011" s="16" t="s">
        <v>64</v>
      </c>
      <c r="G3011" s="16" t="s">
        <v>64</v>
      </c>
    </row>
    <row r="3012" spans="1:7" x14ac:dyDescent="0.2">
      <c r="A3012" t="s">
        <v>64</v>
      </c>
      <c r="B3012" t="s">
        <v>64</v>
      </c>
      <c r="C3012" s="3" t="s">
        <v>64</v>
      </c>
      <c r="D3012" s="16" t="s">
        <v>64</v>
      </c>
      <c r="E3012" s="16">
        <v>0</v>
      </c>
      <c r="F3012" s="16" t="s">
        <v>64</v>
      </c>
      <c r="G3012" s="16" t="s">
        <v>64</v>
      </c>
    </row>
    <row r="3013" spans="1:7" x14ac:dyDescent="0.2">
      <c r="A3013" t="s">
        <v>64</v>
      </c>
      <c r="B3013" t="s">
        <v>64</v>
      </c>
      <c r="C3013" s="3" t="s">
        <v>64</v>
      </c>
      <c r="D3013" s="16" t="s">
        <v>64</v>
      </c>
      <c r="E3013" s="16">
        <v>0</v>
      </c>
      <c r="F3013" s="16" t="s">
        <v>64</v>
      </c>
      <c r="G3013" s="16" t="s">
        <v>64</v>
      </c>
    </row>
    <row r="3014" spans="1:7" x14ac:dyDescent="0.2">
      <c r="A3014" t="s">
        <v>64</v>
      </c>
      <c r="B3014" t="s">
        <v>64</v>
      </c>
      <c r="C3014" s="3" t="s">
        <v>64</v>
      </c>
      <c r="D3014" s="16" t="s">
        <v>64</v>
      </c>
      <c r="E3014" s="16">
        <v>0</v>
      </c>
      <c r="F3014" s="16" t="s">
        <v>64</v>
      </c>
      <c r="G3014" s="16" t="s">
        <v>64</v>
      </c>
    </row>
    <row r="3015" spans="1:7" x14ac:dyDescent="0.2">
      <c r="A3015" t="s">
        <v>64</v>
      </c>
      <c r="B3015" t="s">
        <v>64</v>
      </c>
      <c r="C3015" s="3" t="s">
        <v>64</v>
      </c>
      <c r="D3015" s="16" t="s">
        <v>64</v>
      </c>
      <c r="E3015" s="16">
        <v>0</v>
      </c>
      <c r="F3015" s="16" t="s">
        <v>64</v>
      </c>
      <c r="G3015" s="16" t="s">
        <v>64</v>
      </c>
    </row>
    <row r="3016" spans="1:7" x14ac:dyDescent="0.2">
      <c r="A3016" t="s">
        <v>64</v>
      </c>
      <c r="B3016" t="s">
        <v>64</v>
      </c>
      <c r="C3016" s="3" t="s">
        <v>64</v>
      </c>
      <c r="D3016" s="16" t="s">
        <v>64</v>
      </c>
      <c r="E3016" s="16">
        <v>0</v>
      </c>
      <c r="F3016" s="16" t="s">
        <v>64</v>
      </c>
      <c r="G3016" s="16" t="s">
        <v>64</v>
      </c>
    </row>
    <row r="3017" spans="1:7" x14ac:dyDescent="0.2">
      <c r="A3017" t="s">
        <v>64</v>
      </c>
      <c r="B3017" t="s">
        <v>64</v>
      </c>
      <c r="C3017" s="3" t="s">
        <v>64</v>
      </c>
      <c r="D3017" s="16" t="s">
        <v>64</v>
      </c>
      <c r="E3017" s="16">
        <v>0</v>
      </c>
      <c r="F3017" s="16" t="s">
        <v>64</v>
      </c>
      <c r="G3017" s="16" t="s">
        <v>64</v>
      </c>
    </row>
    <row r="3018" spans="1:7" x14ac:dyDescent="0.2">
      <c r="A3018" t="s">
        <v>64</v>
      </c>
      <c r="B3018" t="s">
        <v>64</v>
      </c>
      <c r="C3018" s="3" t="s">
        <v>64</v>
      </c>
      <c r="D3018" s="16" t="s">
        <v>64</v>
      </c>
      <c r="E3018" s="16">
        <v>0</v>
      </c>
      <c r="F3018" s="16" t="s">
        <v>64</v>
      </c>
      <c r="G3018" s="16" t="s">
        <v>64</v>
      </c>
    </row>
    <row r="3019" spans="1:7" x14ac:dyDescent="0.2">
      <c r="A3019" t="s">
        <v>64</v>
      </c>
      <c r="B3019" t="s">
        <v>64</v>
      </c>
      <c r="C3019" s="3" t="s">
        <v>64</v>
      </c>
      <c r="D3019" s="16" t="s">
        <v>64</v>
      </c>
      <c r="E3019" s="16">
        <v>0</v>
      </c>
      <c r="F3019" s="16" t="s">
        <v>64</v>
      </c>
      <c r="G3019" s="16" t="s">
        <v>64</v>
      </c>
    </row>
    <row r="3020" spans="1:7" x14ac:dyDescent="0.2">
      <c r="A3020" t="s">
        <v>64</v>
      </c>
      <c r="B3020" t="s">
        <v>64</v>
      </c>
      <c r="C3020" s="3" t="s">
        <v>64</v>
      </c>
      <c r="D3020" s="16" t="s">
        <v>64</v>
      </c>
      <c r="E3020" s="16">
        <v>0</v>
      </c>
      <c r="F3020" s="16" t="s">
        <v>64</v>
      </c>
      <c r="G3020" s="16" t="s">
        <v>64</v>
      </c>
    </row>
    <row r="3021" spans="1:7" x14ac:dyDescent="0.2">
      <c r="A3021" t="s">
        <v>64</v>
      </c>
      <c r="B3021" t="s">
        <v>64</v>
      </c>
      <c r="C3021" s="3" t="s">
        <v>64</v>
      </c>
      <c r="D3021" s="16" t="s">
        <v>64</v>
      </c>
      <c r="E3021" s="16">
        <v>0</v>
      </c>
      <c r="F3021" s="16" t="s">
        <v>64</v>
      </c>
      <c r="G3021" s="16" t="s">
        <v>64</v>
      </c>
    </row>
    <row r="3022" spans="1:7" x14ac:dyDescent="0.2">
      <c r="A3022" t="s">
        <v>64</v>
      </c>
      <c r="B3022" t="s">
        <v>64</v>
      </c>
      <c r="C3022" s="3" t="s">
        <v>64</v>
      </c>
      <c r="D3022" s="16" t="s">
        <v>64</v>
      </c>
      <c r="E3022" s="16">
        <v>0</v>
      </c>
      <c r="F3022" s="16" t="s">
        <v>64</v>
      </c>
      <c r="G3022" s="16" t="s">
        <v>64</v>
      </c>
    </row>
    <row r="3023" spans="1:7" x14ac:dyDescent="0.2">
      <c r="A3023" t="s">
        <v>64</v>
      </c>
      <c r="B3023" t="s">
        <v>64</v>
      </c>
      <c r="C3023" s="3" t="s">
        <v>64</v>
      </c>
      <c r="D3023" s="16" t="s">
        <v>64</v>
      </c>
      <c r="E3023" s="16">
        <v>0</v>
      </c>
      <c r="F3023" s="16" t="s">
        <v>64</v>
      </c>
      <c r="G3023" s="16" t="s">
        <v>64</v>
      </c>
    </row>
    <row r="3024" spans="1:7" x14ac:dyDescent="0.2">
      <c r="A3024" t="s">
        <v>64</v>
      </c>
      <c r="B3024" t="s">
        <v>64</v>
      </c>
      <c r="C3024" s="3" t="s">
        <v>64</v>
      </c>
      <c r="D3024" s="16" t="s">
        <v>64</v>
      </c>
      <c r="E3024" s="16">
        <v>0</v>
      </c>
      <c r="F3024" s="16" t="s">
        <v>64</v>
      </c>
      <c r="G3024" s="16" t="s">
        <v>64</v>
      </c>
    </row>
    <row r="3025" spans="1:7" x14ac:dyDescent="0.2">
      <c r="A3025" t="s">
        <v>64</v>
      </c>
      <c r="B3025" t="s">
        <v>64</v>
      </c>
      <c r="C3025" s="3" t="s">
        <v>64</v>
      </c>
      <c r="D3025" s="16" t="s">
        <v>64</v>
      </c>
      <c r="E3025" s="16">
        <v>0</v>
      </c>
      <c r="F3025" s="16" t="s">
        <v>64</v>
      </c>
      <c r="G3025" s="16" t="s">
        <v>64</v>
      </c>
    </row>
    <row r="3026" spans="1:7" x14ac:dyDescent="0.2">
      <c r="A3026" t="s">
        <v>64</v>
      </c>
      <c r="B3026" t="s">
        <v>64</v>
      </c>
      <c r="C3026" s="3" t="s">
        <v>64</v>
      </c>
      <c r="D3026" s="16" t="s">
        <v>64</v>
      </c>
      <c r="E3026" s="16">
        <v>0</v>
      </c>
      <c r="F3026" s="16" t="s">
        <v>64</v>
      </c>
      <c r="G3026" s="16" t="s">
        <v>64</v>
      </c>
    </row>
    <row r="3027" spans="1:7" x14ac:dyDescent="0.2">
      <c r="A3027" t="s">
        <v>64</v>
      </c>
      <c r="B3027" t="s">
        <v>64</v>
      </c>
      <c r="C3027" s="3" t="s">
        <v>64</v>
      </c>
      <c r="D3027" s="16" t="s">
        <v>64</v>
      </c>
      <c r="E3027" s="16">
        <v>0</v>
      </c>
      <c r="F3027" s="16" t="s">
        <v>64</v>
      </c>
      <c r="G3027" s="16" t="s">
        <v>64</v>
      </c>
    </row>
    <row r="3028" spans="1:7" x14ac:dyDescent="0.2">
      <c r="A3028" t="s">
        <v>64</v>
      </c>
      <c r="B3028" t="s">
        <v>64</v>
      </c>
      <c r="C3028" s="3" t="s">
        <v>64</v>
      </c>
      <c r="D3028" s="16" t="s">
        <v>64</v>
      </c>
      <c r="E3028" s="16">
        <v>0</v>
      </c>
      <c r="F3028" s="16" t="s">
        <v>64</v>
      </c>
      <c r="G3028" s="16" t="s">
        <v>64</v>
      </c>
    </row>
    <row r="3029" spans="1:7" x14ac:dyDescent="0.2">
      <c r="A3029" t="s">
        <v>64</v>
      </c>
      <c r="B3029" t="s">
        <v>64</v>
      </c>
      <c r="C3029" s="3" t="s">
        <v>64</v>
      </c>
      <c r="D3029" s="16" t="s">
        <v>64</v>
      </c>
      <c r="E3029" s="16">
        <v>0</v>
      </c>
      <c r="F3029" s="16" t="s">
        <v>64</v>
      </c>
      <c r="G3029" s="16" t="s">
        <v>64</v>
      </c>
    </row>
    <row r="3030" spans="1:7" x14ac:dyDescent="0.2">
      <c r="A3030" t="s">
        <v>64</v>
      </c>
      <c r="B3030" t="s">
        <v>64</v>
      </c>
      <c r="C3030" s="3" t="s">
        <v>64</v>
      </c>
      <c r="D3030" s="16" t="s">
        <v>64</v>
      </c>
      <c r="E3030" s="16">
        <v>0</v>
      </c>
      <c r="F3030" s="16" t="s">
        <v>64</v>
      </c>
      <c r="G3030" s="16" t="s">
        <v>64</v>
      </c>
    </row>
    <row r="3031" spans="1:7" x14ac:dyDescent="0.2">
      <c r="A3031" t="s">
        <v>64</v>
      </c>
      <c r="B3031" t="s">
        <v>64</v>
      </c>
      <c r="C3031" s="3" t="s">
        <v>64</v>
      </c>
      <c r="D3031" s="16" t="s">
        <v>64</v>
      </c>
      <c r="E3031" s="16">
        <v>0</v>
      </c>
      <c r="F3031" s="16" t="s">
        <v>64</v>
      </c>
      <c r="G3031" s="16" t="s">
        <v>64</v>
      </c>
    </row>
    <row r="3032" spans="1:7" x14ac:dyDescent="0.2">
      <c r="A3032" t="s">
        <v>64</v>
      </c>
      <c r="B3032" t="s">
        <v>64</v>
      </c>
      <c r="C3032" s="3" t="s">
        <v>64</v>
      </c>
      <c r="D3032" s="16" t="s">
        <v>64</v>
      </c>
      <c r="E3032" s="16">
        <v>0</v>
      </c>
      <c r="F3032" s="16" t="s">
        <v>64</v>
      </c>
      <c r="G3032" s="16" t="s">
        <v>64</v>
      </c>
    </row>
    <row r="3033" spans="1:7" x14ac:dyDescent="0.2">
      <c r="A3033" t="s">
        <v>64</v>
      </c>
      <c r="B3033" t="s">
        <v>64</v>
      </c>
      <c r="C3033" s="3" t="s">
        <v>64</v>
      </c>
      <c r="D3033" s="16" t="s">
        <v>64</v>
      </c>
      <c r="E3033" s="16">
        <v>0</v>
      </c>
      <c r="F3033" s="16" t="s">
        <v>64</v>
      </c>
      <c r="G3033" s="16" t="s">
        <v>64</v>
      </c>
    </row>
    <row r="3034" spans="1:7" x14ac:dyDescent="0.2">
      <c r="A3034" t="s">
        <v>64</v>
      </c>
      <c r="B3034" t="s">
        <v>64</v>
      </c>
      <c r="C3034" s="3" t="s">
        <v>64</v>
      </c>
      <c r="D3034" s="16" t="s">
        <v>64</v>
      </c>
      <c r="E3034" s="16">
        <v>0</v>
      </c>
      <c r="F3034" s="16" t="s">
        <v>64</v>
      </c>
      <c r="G3034" s="16" t="s">
        <v>64</v>
      </c>
    </row>
    <row r="3035" spans="1:7" x14ac:dyDescent="0.2">
      <c r="A3035" t="s">
        <v>64</v>
      </c>
      <c r="B3035" t="s">
        <v>64</v>
      </c>
      <c r="C3035" s="3" t="s">
        <v>64</v>
      </c>
      <c r="D3035" s="16" t="s">
        <v>64</v>
      </c>
      <c r="E3035" s="16">
        <v>0</v>
      </c>
      <c r="F3035" s="16" t="s">
        <v>64</v>
      </c>
      <c r="G3035" s="16" t="s">
        <v>64</v>
      </c>
    </row>
    <row r="3036" spans="1:7" x14ac:dyDescent="0.2">
      <c r="A3036" t="s">
        <v>64</v>
      </c>
      <c r="B3036" t="s">
        <v>64</v>
      </c>
      <c r="C3036" s="3" t="s">
        <v>64</v>
      </c>
      <c r="D3036" s="16" t="s">
        <v>64</v>
      </c>
      <c r="E3036" s="16">
        <v>0</v>
      </c>
      <c r="F3036" s="16" t="s">
        <v>64</v>
      </c>
      <c r="G3036" s="16" t="s">
        <v>64</v>
      </c>
    </row>
    <row r="3037" spans="1:7" x14ac:dyDescent="0.2">
      <c r="A3037" t="s">
        <v>64</v>
      </c>
      <c r="B3037" t="s">
        <v>64</v>
      </c>
      <c r="C3037" s="3" t="s">
        <v>64</v>
      </c>
      <c r="D3037" s="16" t="s">
        <v>64</v>
      </c>
      <c r="E3037" s="16">
        <v>0</v>
      </c>
      <c r="F3037" s="16" t="s">
        <v>64</v>
      </c>
      <c r="G3037" s="16" t="s">
        <v>64</v>
      </c>
    </row>
    <row r="3038" spans="1:7" x14ac:dyDescent="0.2">
      <c r="A3038" t="s">
        <v>64</v>
      </c>
      <c r="B3038" t="s">
        <v>64</v>
      </c>
      <c r="C3038" s="3" t="s">
        <v>64</v>
      </c>
      <c r="D3038" s="16" t="s">
        <v>64</v>
      </c>
      <c r="E3038" s="16">
        <v>0</v>
      </c>
      <c r="F3038" s="16" t="s">
        <v>64</v>
      </c>
      <c r="G3038" s="16" t="s">
        <v>64</v>
      </c>
    </row>
    <row r="3039" spans="1:7" x14ac:dyDescent="0.2">
      <c r="A3039" t="s">
        <v>64</v>
      </c>
      <c r="B3039" t="s">
        <v>64</v>
      </c>
      <c r="C3039" s="3" t="s">
        <v>64</v>
      </c>
      <c r="D3039" s="16" t="s">
        <v>64</v>
      </c>
      <c r="E3039" s="16">
        <v>0</v>
      </c>
      <c r="F3039" s="16" t="s">
        <v>64</v>
      </c>
      <c r="G3039" s="16" t="s">
        <v>64</v>
      </c>
    </row>
    <row r="3040" spans="1:7" x14ac:dyDescent="0.2">
      <c r="A3040" t="s">
        <v>64</v>
      </c>
      <c r="B3040" t="s">
        <v>64</v>
      </c>
      <c r="C3040" s="3" t="s">
        <v>64</v>
      </c>
      <c r="D3040" s="16" t="s">
        <v>64</v>
      </c>
      <c r="E3040" s="16">
        <v>0</v>
      </c>
      <c r="F3040" s="16" t="s">
        <v>64</v>
      </c>
      <c r="G3040" s="16" t="s">
        <v>64</v>
      </c>
    </row>
    <row r="3041" spans="1:7" x14ac:dyDescent="0.2">
      <c r="A3041" t="s">
        <v>64</v>
      </c>
      <c r="B3041" t="s">
        <v>64</v>
      </c>
      <c r="C3041" s="3" t="s">
        <v>64</v>
      </c>
      <c r="D3041" s="16" t="s">
        <v>64</v>
      </c>
      <c r="E3041" s="16">
        <v>0</v>
      </c>
      <c r="F3041" s="16" t="s">
        <v>64</v>
      </c>
      <c r="G3041" s="16" t="s">
        <v>64</v>
      </c>
    </row>
    <row r="3042" spans="1:7" x14ac:dyDescent="0.2">
      <c r="A3042" t="s">
        <v>64</v>
      </c>
      <c r="B3042" t="s">
        <v>64</v>
      </c>
      <c r="C3042" s="3" t="s">
        <v>64</v>
      </c>
      <c r="D3042" s="16" t="s">
        <v>64</v>
      </c>
      <c r="E3042" s="16">
        <v>0</v>
      </c>
      <c r="F3042" s="16" t="s">
        <v>64</v>
      </c>
      <c r="G3042" s="16" t="s">
        <v>64</v>
      </c>
    </row>
    <row r="3043" spans="1:7" x14ac:dyDescent="0.2">
      <c r="A3043" t="s">
        <v>64</v>
      </c>
      <c r="B3043" t="s">
        <v>64</v>
      </c>
      <c r="C3043" s="3" t="s">
        <v>64</v>
      </c>
      <c r="D3043" s="16" t="s">
        <v>64</v>
      </c>
      <c r="E3043" s="16">
        <v>0</v>
      </c>
      <c r="F3043" s="16" t="s">
        <v>64</v>
      </c>
      <c r="G3043" s="16" t="s">
        <v>64</v>
      </c>
    </row>
    <row r="3044" spans="1:7" x14ac:dyDescent="0.2">
      <c r="A3044" t="s">
        <v>64</v>
      </c>
      <c r="B3044" t="s">
        <v>64</v>
      </c>
      <c r="C3044" s="3" t="s">
        <v>64</v>
      </c>
      <c r="D3044" s="16" t="s">
        <v>64</v>
      </c>
      <c r="E3044" s="16">
        <v>0</v>
      </c>
      <c r="F3044" s="16" t="s">
        <v>64</v>
      </c>
      <c r="G3044" s="16" t="s">
        <v>64</v>
      </c>
    </row>
    <row r="3045" spans="1:7" x14ac:dyDescent="0.2">
      <c r="A3045" t="s">
        <v>64</v>
      </c>
      <c r="B3045" t="s">
        <v>64</v>
      </c>
      <c r="C3045" s="3" t="s">
        <v>64</v>
      </c>
      <c r="D3045" s="16" t="s">
        <v>64</v>
      </c>
      <c r="E3045" s="16">
        <v>0</v>
      </c>
      <c r="F3045" s="16" t="s">
        <v>64</v>
      </c>
      <c r="G3045" s="16" t="s">
        <v>64</v>
      </c>
    </row>
    <row r="3046" spans="1:7" x14ac:dyDescent="0.2">
      <c r="A3046" t="s">
        <v>64</v>
      </c>
      <c r="B3046" t="s">
        <v>64</v>
      </c>
      <c r="C3046" s="3" t="s">
        <v>64</v>
      </c>
      <c r="D3046" s="16" t="s">
        <v>64</v>
      </c>
      <c r="E3046" s="16">
        <v>0</v>
      </c>
      <c r="F3046" s="16" t="s">
        <v>64</v>
      </c>
      <c r="G3046" s="16" t="s">
        <v>64</v>
      </c>
    </row>
    <row r="3047" spans="1:7" x14ac:dyDescent="0.2">
      <c r="A3047" t="s">
        <v>64</v>
      </c>
      <c r="B3047" t="s">
        <v>64</v>
      </c>
      <c r="C3047" s="3" t="s">
        <v>64</v>
      </c>
      <c r="D3047" s="16" t="s">
        <v>64</v>
      </c>
      <c r="E3047" s="16">
        <v>0</v>
      </c>
      <c r="F3047" s="16" t="s">
        <v>64</v>
      </c>
      <c r="G3047" s="16" t="s">
        <v>64</v>
      </c>
    </row>
    <row r="3048" spans="1:7" x14ac:dyDescent="0.2">
      <c r="A3048" t="s">
        <v>64</v>
      </c>
      <c r="B3048" t="s">
        <v>64</v>
      </c>
      <c r="C3048" s="3" t="s">
        <v>64</v>
      </c>
      <c r="D3048" s="16" t="s">
        <v>64</v>
      </c>
      <c r="E3048" s="16">
        <v>0</v>
      </c>
      <c r="F3048" s="16" t="s">
        <v>64</v>
      </c>
      <c r="G3048" s="16" t="s">
        <v>64</v>
      </c>
    </row>
    <row r="3049" spans="1:7" x14ac:dyDescent="0.2">
      <c r="A3049" t="s">
        <v>64</v>
      </c>
      <c r="B3049" t="s">
        <v>64</v>
      </c>
      <c r="C3049" s="3" t="s">
        <v>64</v>
      </c>
      <c r="D3049" s="16" t="s">
        <v>64</v>
      </c>
      <c r="E3049" s="16">
        <v>0</v>
      </c>
      <c r="F3049" s="16" t="s">
        <v>64</v>
      </c>
      <c r="G3049" s="16" t="s">
        <v>64</v>
      </c>
    </row>
    <row r="3050" spans="1:7" x14ac:dyDescent="0.2">
      <c r="A3050" t="s">
        <v>64</v>
      </c>
      <c r="B3050" t="s">
        <v>64</v>
      </c>
      <c r="C3050" s="3" t="s">
        <v>64</v>
      </c>
      <c r="D3050" s="16" t="s">
        <v>64</v>
      </c>
      <c r="E3050" s="16">
        <v>0</v>
      </c>
      <c r="F3050" s="16" t="s">
        <v>64</v>
      </c>
      <c r="G3050" s="16" t="s">
        <v>64</v>
      </c>
    </row>
    <row r="3051" spans="1:7" x14ac:dyDescent="0.2">
      <c r="A3051" t="s">
        <v>64</v>
      </c>
      <c r="B3051" t="s">
        <v>64</v>
      </c>
      <c r="C3051" s="3" t="s">
        <v>64</v>
      </c>
      <c r="D3051" s="16" t="s">
        <v>64</v>
      </c>
      <c r="E3051" s="16">
        <v>0</v>
      </c>
      <c r="F3051" s="16" t="s">
        <v>64</v>
      </c>
      <c r="G3051" s="16" t="s">
        <v>64</v>
      </c>
    </row>
    <row r="3052" spans="1:7" x14ac:dyDescent="0.2">
      <c r="A3052" t="s">
        <v>64</v>
      </c>
      <c r="B3052" t="s">
        <v>64</v>
      </c>
      <c r="C3052" s="3" t="s">
        <v>64</v>
      </c>
      <c r="D3052" s="16" t="s">
        <v>64</v>
      </c>
      <c r="E3052" s="16">
        <v>0</v>
      </c>
      <c r="F3052" s="16" t="s">
        <v>64</v>
      </c>
      <c r="G3052" s="16" t="s">
        <v>64</v>
      </c>
    </row>
    <row r="3053" spans="1:7" x14ac:dyDescent="0.2">
      <c r="A3053" t="s">
        <v>64</v>
      </c>
      <c r="B3053" t="s">
        <v>64</v>
      </c>
      <c r="C3053" s="3" t="s">
        <v>64</v>
      </c>
      <c r="D3053" s="16" t="s">
        <v>64</v>
      </c>
      <c r="E3053" s="16">
        <v>0</v>
      </c>
      <c r="F3053" s="16" t="s">
        <v>64</v>
      </c>
      <c r="G3053" s="16" t="s">
        <v>64</v>
      </c>
    </row>
    <row r="3054" spans="1:7" x14ac:dyDescent="0.2">
      <c r="A3054" t="s">
        <v>64</v>
      </c>
      <c r="B3054" t="s">
        <v>64</v>
      </c>
      <c r="C3054" s="3" t="s">
        <v>64</v>
      </c>
      <c r="D3054" s="16" t="s">
        <v>64</v>
      </c>
      <c r="E3054" s="16">
        <v>0</v>
      </c>
      <c r="F3054" s="16" t="s">
        <v>64</v>
      </c>
      <c r="G3054" s="16" t="s">
        <v>64</v>
      </c>
    </row>
    <row r="3055" spans="1:7" x14ac:dyDescent="0.2">
      <c r="A3055" t="s">
        <v>64</v>
      </c>
      <c r="B3055" t="s">
        <v>64</v>
      </c>
      <c r="C3055" s="3" t="s">
        <v>64</v>
      </c>
      <c r="D3055" s="16" t="s">
        <v>64</v>
      </c>
      <c r="E3055" s="16">
        <v>0</v>
      </c>
      <c r="F3055" s="16" t="s">
        <v>64</v>
      </c>
      <c r="G3055" s="16" t="s">
        <v>64</v>
      </c>
    </row>
    <row r="3056" spans="1:7" x14ac:dyDescent="0.2">
      <c r="A3056" t="s">
        <v>64</v>
      </c>
      <c r="B3056" t="s">
        <v>64</v>
      </c>
      <c r="C3056" s="3" t="s">
        <v>64</v>
      </c>
      <c r="D3056" s="16" t="s">
        <v>64</v>
      </c>
      <c r="E3056" s="16">
        <v>0</v>
      </c>
      <c r="F3056" s="16" t="s">
        <v>64</v>
      </c>
      <c r="G3056" s="16" t="s">
        <v>64</v>
      </c>
    </row>
    <row r="3057" spans="1:7" x14ac:dyDescent="0.2">
      <c r="A3057" t="s">
        <v>64</v>
      </c>
      <c r="B3057" t="s">
        <v>64</v>
      </c>
      <c r="C3057" s="3" t="s">
        <v>64</v>
      </c>
      <c r="D3057" s="16" t="s">
        <v>64</v>
      </c>
      <c r="E3057" s="16">
        <v>0</v>
      </c>
      <c r="F3057" s="16" t="s">
        <v>64</v>
      </c>
      <c r="G3057" s="16" t="s">
        <v>64</v>
      </c>
    </row>
    <row r="3058" spans="1:7" x14ac:dyDescent="0.2">
      <c r="A3058" t="s">
        <v>64</v>
      </c>
      <c r="B3058" t="s">
        <v>64</v>
      </c>
      <c r="C3058" s="3" t="s">
        <v>64</v>
      </c>
      <c r="D3058" s="16" t="s">
        <v>64</v>
      </c>
      <c r="E3058" s="16">
        <v>0</v>
      </c>
      <c r="F3058" s="16" t="s">
        <v>64</v>
      </c>
      <c r="G3058" s="16" t="s">
        <v>64</v>
      </c>
    </row>
    <row r="3059" spans="1:7" x14ac:dyDescent="0.2">
      <c r="A3059" t="s">
        <v>64</v>
      </c>
      <c r="B3059" t="s">
        <v>64</v>
      </c>
      <c r="C3059" s="3" t="s">
        <v>64</v>
      </c>
      <c r="D3059" s="16" t="s">
        <v>64</v>
      </c>
      <c r="E3059" s="16">
        <v>0</v>
      </c>
      <c r="F3059" s="16" t="s">
        <v>64</v>
      </c>
      <c r="G3059" s="16" t="s">
        <v>64</v>
      </c>
    </row>
    <row r="3060" spans="1:7" x14ac:dyDescent="0.2">
      <c r="A3060" t="s">
        <v>64</v>
      </c>
      <c r="B3060" t="s">
        <v>64</v>
      </c>
      <c r="C3060" s="3" t="s">
        <v>64</v>
      </c>
      <c r="D3060" s="16" t="s">
        <v>64</v>
      </c>
      <c r="E3060" s="16">
        <v>0</v>
      </c>
      <c r="F3060" s="16" t="s">
        <v>64</v>
      </c>
      <c r="G3060" s="16" t="s">
        <v>64</v>
      </c>
    </row>
    <row r="3061" spans="1:7" x14ac:dyDescent="0.2">
      <c r="A3061" t="s">
        <v>64</v>
      </c>
      <c r="B3061" t="s">
        <v>64</v>
      </c>
      <c r="C3061" s="3" t="s">
        <v>64</v>
      </c>
      <c r="D3061" s="16" t="s">
        <v>64</v>
      </c>
      <c r="E3061" s="16">
        <v>0</v>
      </c>
      <c r="F3061" s="16" t="s">
        <v>64</v>
      </c>
      <c r="G3061" s="16" t="s">
        <v>64</v>
      </c>
    </row>
    <row r="3062" spans="1:7" x14ac:dyDescent="0.2">
      <c r="A3062" t="s">
        <v>64</v>
      </c>
      <c r="B3062" t="s">
        <v>64</v>
      </c>
      <c r="C3062" s="3" t="s">
        <v>64</v>
      </c>
      <c r="D3062" s="16" t="s">
        <v>64</v>
      </c>
      <c r="E3062" s="16">
        <v>0</v>
      </c>
      <c r="F3062" s="16" t="s">
        <v>64</v>
      </c>
      <c r="G3062" s="16" t="s">
        <v>64</v>
      </c>
    </row>
    <row r="3063" spans="1:7" x14ac:dyDescent="0.2">
      <c r="A3063" t="s">
        <v>64</v>
      </c>
      <c r="B3063" t="s">
        <v>64</v>
      </c>
      <c r="C3063" s="3" t="s">
        <v>64</v>
      </c>
      <c r="D3063" s="16" t="s">
        <v>64</v>
      </c>
      <c r="E3063" s="16">
        <v>0</v>
      </c>
      <c r="F3063" s="16" t="s">
        <v>64</v>
      </c>
      <c r="G3063" s="16" t="s">
        <v>64</v>
      </c>
    </row>
    <row r="3064" spans="1:7" x14ac:dyDescent="0.2">
      <c r="A3064" t="s">
        <v>64</v>
      </c>
      <c r="B3064" t="s">
        <v>64</v>
      </c>
      <c r="C3064" s="3" t="s">
        <v>64</v>
      </c>
      <c r="D3064" s="16" t="s">
        <v>64</v>
      </c>
      <c r="E3064" s="16">
        <v>0</v>
      </c>
      <c r="F3064" s="16" t="s">
        <v>64</v>
      </c>
      <c r="G3064" s="16" t="s">
        <v>64</v>
      </c>
    </row>
    <row r="3065" spans="1:7" x14ac:dyDescent="0.2">
      <c r="A3065" t="s">
        <v>64</v>
      </c>
      <c r="B3065" t="s">
        <v>64</v>
      </c>
      <c r="C3065" s="3" t="s">
        <v>64</v>
      </c>
      <c r="D3065" s="16" t="s">
        <v>64</v>
      </c>
      <c r="E3065" s="16">
        <v>0</v>
      </c>
      <c r="F3065" s="16" t="s">
        <v>64</v>
      </c>
      <c r="G3065" s="16" t="s">
        <v>64</v>
      </c>
    </row>
    <row r="3066" spans="1:7" x14ac:dyDescent="0.2">
      <c r="A3066" t="s">
        <v>64</v>
      </c>
      <c r="B3066" t="s">
        <v>64</v>
      </c>
      <c r="C3066" s="3" t="s">
        <v>64</v>
      </c>
      <c r="D3066" s="16" t="s">
        <v>64</v>
      </c>
      <c r="E3066" s="16">
        <v>0</v>
      </c>
      <c r="F3066" s="16" t="s">
        <v>64</v>
      </c>
      <c r="G3066" s="16" t="s">
        <v>64</v>
      </c>
    </row>
    <row r="3067" spans="1:7" x14ac:dyDescent="0.2">
      <c r="A3067" t="s">
        <v>64</v>
      </c>
      <c r="B3067" t="s">
        <v>64</v>
      </c>
      <c r="C3067" s="3" t="s">
        <v>64</v>
      </c>
      <c r="D3067" s="16" t="s">
        <v>64</v>
      </c>
      <c r="E3067" s="16">
        <v>0</v>
      </c>
      <c r="F3067" s="16" t="s">
        <v>64</v>
      </c>
      <c r="G3067" s="16" t="s">
        <v>64</v>
      </c>
    </row>
    <row r="3068" spans="1:7" x14ac:dyDescent="0.2">
      <c r="A3068" t="s">
        <v>64</v>
      </c>
      <c r="B3068" t="s">
        <v>64</v>
      </c>
      <c r="C3068" s="3" t="s">
        <v>64</v>
      </c>
      <c r="D3068" s="16" t="s">
        <v>64</v>
      </c>
      <c r="E3068" s="16">
        <v>0</v>
      </c>
      <c r="F3068" s="16" t="s">
        <v>64</v>
      </c>
      <c r="G3068" s="16" t="s">
        <v>64</v>
      </c>
    </row>
    <row r="3069" spans="1:7" x14ac:dyDescent="0.2">
      <c r="A3069" t="s">
        <v>64</v>
      </c>
      <c r="B3069" t="s">
        <v>64</v>
      </c>
      <c r="C3069" s="3" t="s">
        <v>64</v>
      </c>
      <c r="D3069" s="16" t="s">
        <v>64</v>
      </c>
      <c r="E3069" s="16">
        <v>0</v>
      </c>
      <c r="F3069" s="16" t="s">
        <v>64</v>
      </c>
      <c r="G3069" s="16" t="s">
        <v>64</v>
      </c>
    </row>
    <row r="3070" spans="1:7" x14ac:dyDescent="0.2">
      <c r="A3070" t="s">
        <v>64</v>
      </c>
      <c r="B3070" t="s">
        <v>64</v>
      </c>
      <c r="C3070" s="3" t="s">
        <v>64</v>
      </c>
      <c r="D3070" s="16" t="s">
        <v>64</v>
      </c>
      <c r="E3070" s="16">
        <v>0</v>
      </c>
      <c r="F3070" s="16" t="s">
        <v>64</v>
      </c>
      <c r="G3070" s="16" t="s">
        <v>64</v>
      </c>
    </row>
    <row r="3071" spans="1:7" x14ac:dyDescent="0.2">
      <c r="A3071" t="s">
        <v>64</v>
      </c>
      <c r="B3071" t="s">
        <v>64</v>
      </c>
      <c r="C3071" s="3" t="s">
        <v>64</v>
      </c>
      <c r="D3071" s="16" t="s">
        <v>64</v>
      </c>
      <c r="E3071" s="16">
        <v>0</v>
      </c>
      <c r="F3071" s="16" t="s">
        <v>64</v>
      </c>
      <c r="G3071" s="16" t="s">
        <v>64</v>
      </c>
    </row>
    <row r="3072" spans="1:7" x14ac:dyDescent="0.2">
      <c r="A3072" t="s">
        <v>64</v>
      </c>
      <c r="B3072" t="s">
        <v>64</v>
      </c>
      <c r="C3072" s="3" t="s">
        <v>64</v>
      </c>
      <c r="D3072" s="16" t="s">
        <v>64</v>
      </c>
      <c r="E3072" s="16">
        <v>0</v>
      </c>
      <c r="F3072" s="16" t="s">
        <v>64</v>
      </c>
      <c r="G3072" s="16" t="s">
        <v>64</v>
      </c>
    </row>
    <row r="3073" spans="1:7" x14ac:dyDescent="0.2">
      <c r="A3073" t="s">
        <v>64</v>
      </c>
      <c r="B3073" t="s">
        <v>64</v>
      </c>
      <c r="C3073" s="3" t="s">
        <v>64</v>
      </c>
      <c r="D3073" s="16" t="s">
        <v>64</v>
      </c>
      <c r="E3073" s="16">
        <v>0</v>
      </c>
      <c r="F3073" s="16" t="s">
        <v>64</v>
      </c>
      <c r="G3073" s="16" t="s">
        <v>64</v>
      </c>
    </row>
    <row r="3074" spans="1:7" x14ac:dyDescent="0.2">
      <c r="A3074" t="s">
        <v>64</v>
      </c>
      <c r="B3074" t="s">
        <v>64</v>
      </c>
      <c r="C3074" s="3" t="s">
        <v>64</v>
      </c>
      <c r="D3074" s="16" t="s">
        <v>64</v>
      </c>
      <c r="E3074" s="16">
        <v>0</v>
      </c>
      <c r="F3074" s="16" t="s">
        <v>64</v>
      </c>
      <c r="G3074" s="16" t="s">
        <v>64</v>
      </c>
    </row>
    <row r="3075" spans="1:7" x14ac:dyDescent="0.2">
      <c r="A3075" t="s">
        <v>64</v>
      </c>
      <c r="B3075" t="s">
        <v>64</v>
      </c>
      <c r="C3075" s="3" t="s">
        <v>64</v>
      </c>
      <c r="D3075" s="16" t="s">
        <v>64</v>
      </c>
      <c r="E3075" s="16">
        <v>0</v>
      </c>
      <c r="F3075" s="16" t="s">
        <v>64</v>
      </c>
      <c r="G3075" s="16" t="s">
        <v>64</v>
      </c>
    </row>
    <row r="3076" spans="1:7" x14ac:dyDescent="0.2">
      <c r="A3076" t="s">
        <v>64</v>
      </c>
      <c r="B3076" t="s">
        <v>64</v>
      </c>
      <c r="C3076" s="3" t="s">
        <v>64</v>
      </c>
      <c r="D3076" s="16" t="s">
        <v>64</v>
      </c>
      <c r="E3076" s="16">
        <v>0</v>
      </c>
      <c r="F3076" s="16" t="s">
        <v>64</v>
      </c>
      <c r="G3076" s="16" t="s">
        <v>64</v>
      </c>
    </row>
    <row r="3077" spans="1:7" x14ac:dyDescent="0.2">
      <c r="A3077" t="s">
        <v>64</v>
      </c>
      <c r="B3077" t="s">
        <v>64</v>
      </c>
      <c r="C3077" s="3" t="s">
        <v>64</v>
      </c>
      <c r="D3077" s="16" t="s">
        <v>64</v>
      </c>
      <c r="E3077" s="16">
        <v>0</v>
      </c>
      <c r="F3077" s="16" t="s">
        <v>64</v>
      </c>
      <c r="G3077" s="16" t="s">
        <v>64</v>
      </c>
    </row>
    <row r="3078" spans="1:7" x14ac:dyDescent="0.2">
      <c r="A3078" t="s">
        <v>64</v>
      </c>
      <c r="B3078" t="s">
        <v>64</v>
      </c>
      <c r="C3078" s="3" t="s">
        <v>64</v>
      </c>
      <c r="D3078" s="16" t="s">
        <v>64</v>
      </c>
      <c r="E3078" s="16">
        <v>0</v>
      </c>
      <c r="F3078" s="16" t="s">
        <v>64</v>
      </c>
      <c r="G3078" s="16" t="s">
        <v>64</v>
      </c>
    </row>
    <row r="3079" spans="1:7" x14ac:dyDescent="0.2">
      <c r="A3079" t="s">
        <v>64</v>
      </c>
      <c r="B3079" t="s">
        <v>64</v>
      </c>
      <c r="C3079" s="3" t="s">
        <v>64</v>
      </c>
      <c r="D3079" s="16" t="s">
        <v>64</v>
      </c>
      <c r="E3079" s="16">
        <v>0</v>
      </c>
      <c r="F3079" s="16" t="s">
        <v>64</v>
      </c>
      <c r="G3079" s="16" t="s">
        <v>64</v>
      </c>
    </row>
    <row r="3080" spans="1:7" x14ac:dyDescent="0.2">
      <c r="A3080" t="s">
        <v>64</v>
      </c>
      <c r="B3080" t="s">
        <v>64</v>
      </c>
      <c r="C3080" s="3" t="s">
        <v>64</v>
      </c>
      <c r="D3080" s="16" t="s">
        <v>64</v>
      </c>
      <c r="E3080" s="16">
        <v>0</v>
      </c>
      <c r="F3080" s="16" t="s">
        <v>64</v>
      </c>
      <c r="G3080" s="16" t="s">
        <v>64</v>
      </c>
    </row>
    <row r="3081" spans="1:7" x14ac:dyDescent="0.2">
      <c r="A3081" t="s">
        <v>64</v>
      </c>
      <c r="B3081" t="s">
        <v>64</v>
      </c>
      <c r="C3081" s="3" t="s">
        <v>64</v>
      </c>
      <c r="D3081" s="16" t="s">
        <v>64</v>
      </c>
      <c r="E3081" s="16">
        <v>0</v>
      </c>
      <c r="F3081" s="16" t="s">
        <v>64</v>
      </c>
      <c r="G3081" s="16" t="s">
        <v>64</v>
      </c>
    </row>
    <row r="3082" spans="1:7" x14ac:dyDescent="0.2">
      <c r="A3082" t="s">
        <v>64</v>
      </c>
      <c r="B3082" t="s">
        <v>64</v>
      </c>
      <c r="C3082" s="3" t="s">
        <v>64</v>
      </c>
      <c r="D3082" s="16" t="s">
        <v>64</v>
      </c>
      <c r="E3082" s="16">
        <v>0</v>
      </c>
      <c r="F3082" s="16" t="s">
        <v>64</v>
      </c>
      <c r="G3082" s="16" t="s">
        <v>64</v>
      </c>
    </row>
    <row r="3083" spans="1:7" x14ac:dyDescent="0.2">
      <c r="A3083" t="s">
        <v>64</v>
      </c>
      <c r="B3083" t="s">
        <v>64</v>
      </c>
      <c r="C3083" s="3" t="s">
        <v>64</v>
      </c>
      <c r="D3083" s="16" t="s">
        <v>64</v>
      </c>
      <c r="E3083" s="16">
        <v>0</v>
      </c>
      <c r="F3083" s="16" t="s">
        <v>64</v>
      </c>
      <c r="G3083" s="16" t="s">
        <v>64</v>
      </c>
    </row>
    <row r="3084" spans="1:7" x14ac:dyDescent="0.2">
      <c r="A3084" t="s">
        <v>64</v>
      </c>
      <c r="B3084" t="s">
        <v>64</v>
      </c>
      <c r="C3084" s="3" t="s">
        <v>64</v>
      </c>
      <c r="D3084" s="16" t="s">
        <v>64</v>
      </c>
      <c r="E3084" s="16">
        <v>0</v>
      </c>
      <c r="F3084" s="16" t="s">
        <v>64</v>
      </c>
      <c r="G3084" s="16" t="s">
        <v>64</v>
      </c>
    </row>
    <row r="3085" spans="1:7" x14ac:dyDescent="0.2">
      <c r="A3085" t="s">
        <v>64</v>
      </c>
      <c r="B3085" t="s">
        <v>64</v>
      </c>
      <c r="C3085" s="3" t="s">
        <v>64</v>
      </c>
      <c r="D3085" s="16" t="s">
        <v>64</v>
      </c>
      <c r="E3085" s="16">
        <v>0</v>
      </c>
      <c r="F3085" s="16" t="s">
        <v>64</v>
      </c>
      <c r="G3085" s="16" t="s">
        <v>64</v>
      </c>
    </row>
    <row r="3086" spans="1:7" x14ac:dyDescent="0.2">
      <c r="A3086" t="s">
        <v>64</v>
      </c>
      <c r="B3086" t="s">
        <v>64</v>
      </c>
      <c r="C3086" s="3" t="s">
        <v>64</v>
      </c>
      <c r="D3086" s="16" t="s">
        <v>64</v>
      </c>
      <c r="E3086" s="16">
        <v>0</v>
      </c>
      <c r="F3086" s="16" t="s">
        <v>64</v>
      </c>
      <c r="G3086" s="16" t="s">
        <v>64</v>
      </c>
    </row>
    <row r="3087" spans="1:7" x14ac:dyDescent="0.2">
      <c r="A3087" t="s">
        <v>64</v>
      </c>
      <c r="B3087" t="s">
        <v>64</v>
      </c>
      <c r="C3087" s="3" t="s">
        <v>64</v>
      </c>
      <c r="D3087" s="16" t="s">
        <v>64</v>
      </c>
      <c r="E3087" s="16">
        <v>0</v>
      </c>
      <c r="F3087" s="16" t="s">
        <v>64</v>
      </c>
      <c r="G3087" s="16" t="s">
        <v>64</v>
      </c>
    </row>
    <row r="3088" spans="1:7" x14ac:dyDescent="0.2">
      <c r="A3088" t="s">
        <v>64</v>
      </c>
      <c r="B3088" t="s">
        <v>64</v>
      </c>
      <c r="C3088" s="3" t="s">
        <v>64</v>
      </c>
      <c r="D3088" s="16" t="s">
        <v>64</v>
      </c>
      <c r="E3088" s="16">
        <v>0</v>
      </c>
      <c r="F3088" s="16" t="s">
        <v>64</v>
      </c>
      <c r="G3088" s="16" t="s">
        <v>64</v>
      </c>
    </row>
    <row r="3089" spans="1:7" x14ac:dyDescent="0.2">
      <c r="A3089" t="s">
        <v>64</v>
      </c>
      <c r="B3089" t="s">
        <v>64</v>
      </c>
      <c r="C3089" s="3" t="s">
        <v>64</v>
      </c>
      <c r="D3089" s="16" t="s">
        <v>64</v>
      </c>
      <c r="E3089" s="16">
        <v>0</v>
      </c>
      <c r="F3089" s="16" t="s">
        <v>64</v>
      </c>
      <c r="G3089" s="16" t="s">
        <v>64</v>
      </c>
    </row>
    <row r="3090" spans="1:7" x14ac:dyDescent="0.2">
      <c r="A3090" t="s">
        <v>64</v>
      </c>
      <c r="B3090" t="s">
        <v>64</v>
      </c>
      <c r="C3090" s="3" t="s">
        <v>64</v>
      </c>
      <c r="D3090" s="16" t="s">
        <v>64</v>
      </c>
      <c r="E3090" s="16">
        <v>0</v>
      </c>
      <c r="F3090" s="16" t="s">
        <v>64</v>
      </c>
      <c r="G3090" s="16" t="s">
        <v>64</v>
      </c>
    </row>
    <row r="3091" spans="1:7" x14ac:dyDescent="0.2">
      <c r="A3091" t="s">
        <v>64</v>
      </c>
      <c r="B3091" t="s">
        <v>64</v>
      </c>
      <c r="C3091" s="3" t="s">
        <v>64</v>
      </c>
      <c r="D3091" s="16" t="s">
        <v>64</v>
      </c>
      <c r="E3091" s="16">
        <v>0</v>
      </c>
      <c r="F3091" s="16" t="s">
        <v>64</v>
      </c>
      <c r="G3091" s="16" t="s">
        <v>64</v>
      </c>
    </row>
    <row r="3092" spans="1:7" x14ac:dyDescent="0.2">
      <c r="A3092" t="s">
        <v>64</v>
      </c>
      <c r="B3092" t="s">
        <v>64</v>
      </c>
      <c r="C3092" s="3" t="s">
        <v>64</v>
      </c>
      <c r="D3092" s="16" t="s">
        <v>64</v>
      </c>
      <c r="E3092" s="16">
        <v>0</v>
      </c>
      <c r="F3092" s="16" t="s">
        <v>64</v>
      </c>
      <c r="G3092" s="16" t="s">
        <v>64</v>
      </c>
    </row>
    <row r="3093" spans="1:7" x14ac:dyDescent="0.2">
      <c r="A3093" t="s">
        <v>64</v>
      </c>
      <c r="B3093" t="s">
        <v>64</v>
      </c>
      <c r="C3093" s="3" t="s">
        <v>64</v>
      </c>
      <c r="D3093" s="16" t="s">
        <v>64</v>
      </c>
      <c r="E3093" s="16">
        <v>0</v>
      </c>
      <c r="F3093" s="16" t="s">
        <v>64</v>
      </c>
      <c r="G3093" s="16" t="s">
        <v>64</v>
      </c>
    </row>
    <row r="3094" spans="1:7" x14ac:dyDescent="0.2">
      <c r="A3094" t="s">
        <v>64</v>
      </c>
      <c r="B3094" t="s">
        <v>64</v>
      </c>
      <c r="C3094" s="3" t="s">
        <v>64</v>
      </c>
      <c r="D3094" s="16" t="s">
        <v>64</v>
      </c>
      <c r="E3094" s="16">
        <v>0</v>
      </c>
      <c r="F3094" s="16" t="s">
        <v>64</v>
      </c>
      <c r="G3094" s="16" t="s">
        <v>64</v>
      </c>
    </row>
    <row r="3095" spans="1:7" x14ac:dyDescent="0.2">
      <c r="A3095" t="s">
        <v>64</v>
      </c>
      <c r="B3095" t="s">
        <v>64</v>
      </c>
      <c r="C3095" s="3" t="s">
        <v>64</v>
      </c>
      <c r="D3095" s="16" t="s">
        <v>64</v>
      </c>
      <c r="E3095" s="16">
        <v>0</v>
      </c>
      <c r="F3095" s="16" t="s">
        <v>64</v>
      </c>
      <c r="G3095" s="16" t="s">
        <v>64</v>
      </c>
    </row>
    <row r="3096" spans="1:7" x14ac:dyDescent="0.2">
      <c r="A3096" t="s">
        <v>64</v>
      </c>
      <c r="B3096" t="s">
        <v>64</v>
      </c>
      <c r="C3096" s="3" t="s">
        <v>64</v>
      </c>
      <c r="D3096" s="16" t="s">
        <v>64</v>
      </c>
      <c r="E3096" s="16">
        <v>0</v>
      </c>
      <c r="F3096" s="16" t="s">
        <v>64</v>
      </c>
      <c r="G3096" s="16" t="s">
        <v>64</v>
      </c>
    </row>
    <row r="3097" spans="1:7" x14ac:dyDescent="0.2">
      <c r="A3097" t="s">
        <v>64</v>
      </c>
      <c r="B3097" t="s">
        <v>64</v>
      </c>
      <c r="C3097" s="3" t="s">
        <v>64</v>
      </c>
      <c r="D3097" s="16" t="s">
        <v>64</v>
      </c>
      <c r="E3097" s="16">
        <v>0</v>
      </c>
      <c r="F3097" s="16" t="s">
        <v>64</v>
      </c>
      <c r="G3097" s="16" t="s">
        <v>64</v>
      </c>
    </row>
    <row r="3098" spans="1:7" x14ac:dyDescent="0.2">
      <c r="A3098" t="s">
        <v>64</v>
      </c>
      <c r="B3098" t="s">
        <v>64</v>
      </c>
      <c r="C3098" s="3" t="s">
        <v>64</v>
      </c>
      <c r="D3098" s="16" t="s">
        <v>64</v>
      </c>
      <c r="E3098" s="16">
        <v>0</v>
      </c>
      <c r="F3098" s="16" t="s">
        <v>64</v>
      </c>
      <c r="G3098" s="16" t="s">
        <v>64</v>
      </c>
    </row>
    <row r="3099" spans="1:7" x14ac:dyDescent="0.2">
      <c r="A3099" t="s">
        <v>64</v>
      </c>
      <c r="B3099" t="s">
        <v>64</v>
      </c>
      <c r="C3099" s="3" t="s">
        <v>64</v>
      </c>
      <c r="D3099" s="16" t="s">
        <v>64</v>
      </c>
      <c r="E3099" s="16">
        <v>0</v>
      </c>
      <c r="F3099" s="16" t="s">
        <v>64</v>
      </c>
      <c r="G3099" s="16" t="s">
        <v>64</v>
      </c>
    </row>
    <row r="3100" spans="1:7" x14ac:dyDescent="0.2">
      <c r="A3100" t="s">
        <v>64</v>
      </c>
      <c r="B3100" t="s">
        <v>64</v>
      </c>
      <c r="C3100" s="3" t="s">
        <v>64</v>
      </c>
      <c r="D3100" s="16" t="s">
        <v>64</v>
      </c>
      <c r="E3100" s="16">
        <v>0</v>
      </c>
      <c r="F3100" s="16" t="s">
        <v>64</v>
      </c>
      <c r="G3100" s="16" t="s">
        <v>64</v>
      </c>
    </row>
    <row r="3101" spans="1:7" x14ac:dyDescent="0.2">
      <c r="A3101" t="s">
        <v>64</v>
      </c>
      <c r="B3101" t="s">
        <v>64</v>
      </c>
      <c r="C3101" s="3" t="s">
        <v>64</v>
      </c>
      <c r="D3101" s="16" t="s">
        <v>64</v>
      </c>
      <c r="E3101" s="16">
        <v>0</v>
      </c>
      <c r="F3101" s="16" t="s">
        <v>64</v>
      </c>
      <c r="G3101" s="16" t="s">
        <v>64</v>
      </c>
    </row>
    <row r="3102" spans="1:7" x14ac:dyDescent="0.2">
      <c r="A3102" t="s">
        <v>64</v>
      </c>
      <c r="B3102" t="s">
        <v>64</v>
      </c>
      <c r="C3102" s="3" t="s">
        <v>64</v>
      </c>
      <c r="D3102" s="16" t="s">
        <v>64</v>
      </c>
      <c r="E3102" s="16">
        <v>0</v>
      </c>
      <c r="F3102" s="16" t="s">
        <v>64</v>
      </c>
      <c r="G3102" s="16" t="s">
        <v>64</v>
      </c>
    </row>
    <row r="3103" spans="1:7" x14ac:dyDescent="0.2">
      <c r="A3103" t="s">
        <v>64</v>
      </c>
      <c r="B3103" t="s">
        <v>64</v>
      </c>
      <c r="C3103" s="3" t="s">
        <v>64</v>
      </c>
      <c r="D3103" s="16" t="s">
        <v>64</v>
      </c>
      <c r="E3103" s="16">
        <v>0</v>
      </c>
      <c r="F3103" s="16" t="s">
        <v>64</v>
      </c>
      <c r="G3103" s="16" t="s">
        <v>64</v>
      </c>
    </row>
    <row r="3104" spans="1:7" x14ac:dyDescent="0.2">
      <c r="A3104" t="s">
        <v>64</v>
      </c>
      <c r="B3104" t="s">
        <v>64</v>
      </c>
      <c r="C3104" s="3" t="s">
        <v>64</v>
      </c>
      <c r="D3104" s="16" t="s">
        <v>64</v>
      </c>
      <c r="E3104" s="16">
        <v>0</v>
      </c>
      <c r="F3104" s="16" t="s">
        <v>64</v>
      </c>
      <c r="G3104" s="16" t="s">
        <v>64</v>
      </c>
    </row>
    <row r="3105" spans="1:7" x14ac:dyDescent="0.2">
      <c r="A3105" t="s">
        <v>64</v>
      </c>
      <c r="B3105" t="s">
        <v>64</v>
      </c>
      <c r="C3105" s="3" t="s">
        <v>64</v>
      </c>
      <c r="D3105" s="16" t="s">
        <v>64</v>
      </c>
      <c r="E3105" s="16">
        <v>0</v>
      </c>
      <c r="F3105" s="16" t="s">
        <v>64</v>
      </c>
      <c r="G3105" s="16" t="s">
        <v>64</v>
      </c>
    </row>
    <row r="3106" spans="1:7" x14ac:dyDescent="0.2">
      <c r="A3106" t="s">
        <v>64</v>
      </c>
      <c r="B3106" t="s">
        <v>64</v>
      </c>
      <c r="C3106" s="3" t="s">
        <v>64</v>
      </c>
      <c r="D3106" s="16" t="s">
        <v>64</v>
      </c>
      <c r="E3106" s="16">
        <v>0</v>
      </c>
      <c r="F3106" s="16" t="s">
        <v>64</v>
      </c>
      <c r="G3106" s="16" t="s">
        <v>64</v>
      </c>
    </row>
    <row r="3107" spans="1:7" x14ac:dyDescent="0.2">
      <c r="A3107" t="s">
        <v>64</v>
      </c>
      <c r="B3107" t="s">
        <v>64</v>
      </c>
      <c r="C3107" s="3" t="s">
        <v>64</v>
      </c>
      <c r="D3107" s="16" t="s">
        <v>64</v>
      </c>
      <c r="E3107" s="16">
        <v>0</v>
      </c>
      <c r="F3107" s="16" t="s">
        <v>64</v>
      </c>
      <c r="G3107" s="16" t="s">
        <v>64</v>
      </c>
    </row>
    <row r="3108" spans="1:7" x14ac:dyDescent="0.2">
      <c r="A3108" t="s">
        <v>64</v>
      </c>
      <c r="B3108" t="s">
        <v>64</v>
      </c>
      <c r="C3108" s="3" t="s">
        <v>64</v>
      </c>
      <c r="D3108" s="16" t="s">
        <v>64</v>
      </c>
      <c r="E3108" s="16">
        <v>0</v>
      </c>
      <c r="F3108" s="16" t="s">
        <v>64</v>
      </c>
      <c r="G3108" s="16" t="s">
        <v>64</v>
      </c>
    </row>
    <row r="3109" spans="1:7" x14ac:dyDescent="0.2">
      <c r="A3109" t="s">
        <v>64</v>
      </c>
      <c r="B3109" t="s">
        <v>64</v>
      </c>
      <c r="C3109" s="3" t="s">
        <v>64</v>
      </c>
      <c r="D3109" s="16" t="s">
        <v>64</v>
      </c>
      <c r="E3109" s="16">
        <v>0</v>
      </c>
      <c r="F3109" s="16" t="s">
        <v>64</v>
      </c>
      <c r="G3109" s="16" t="s">
        <v>64</v>
      </c>
    </row>
    <row r="3110" spans="1:7" x14ac:dyDescent="0.2">
      <c r="A3110" t="s">
        <v>64</v>
      </c>
      <c r="B3110" t="s">
        <v>64</v>
      </c>
      <c r="C3110" s="3" t="s">
        <v>64</v>
      </c>
      <c r="D3110" s="16" t="s">
        <v>64</v>
      </c>
      <c r="E3110" s="16">
        <v>0</v>
      </c>
      <c r="F3110" s="16" t="s">
        <v>64</v>
      </c>
      <c r="G3110" s="16" t="s">
        <v>64</v>
      </c>
    </row>
    <row r="3111" spans="1:7" x14ac:dyDescent="0.2">
      <c r="A3111" t="s">
        <v>64</v>
      </c>
      <c r="B3111" t="s">
        <v>64</v>
      </c>
      <c r="C3111" s="3" t="s">
        <v>64</v>
      </c>
      <c r="D3111" s="16" t="s">
        <v>64</v>
      </c>
      <c r="E3111" s="16">
        <v>0</v>
      </c>
      <c r="F3111" s="16" t="s">
        <v>64</v>
      </c>
      <c r="G3111" s="16" t="s">
        <v>64</v>
      </c>
    </row>
    <row r="3112" spans="1:7" x14ac:dyDescent="0.2">
      <c r="A3112" t="s">
        <v>64</v>
      </c>
      <c r="B3112" t="s">
        <v>64</v>
      </c>
      <c r="C3112" s="3" t="s">
        <v>64</v>
      </c>
      <c r="D3112" s="16" t="s">
        <v>64</v>
      </c>
      <c r="E3112" s="16">
        <v>0</v>
      </c>
      <c r="F3112" s="16" t="s">
        <v>64</v>
      </c>
      <c r="G3112" s="16" t="s">
        <v>64</v>
      </c>
    </row>
    <row r="3113" spans="1:7" x14ac:dyDescent="0.2">
      <c r="A3113" t="s">
        <v>64</v>
      </c>
      <c r="B3113" t="s">
        <v>64</v>
      </c>
      <c r="C3113" s="3" t="s">
        <v>64</v>
      </c>
      <c r="D3113" s="16" t="s">
        <v>64</v>
      </c>
      <c r="E3113" s="16">
        <v>0</v>
      </c>
      <c r="F3113" s="16" t="s">
        <v>64</v>
      </c>
      <c r="G3113" s="16" t="s">
        <v>64</v>
      </c>
    </row>
    <row r="3114" spans="1:7" x14ac:dyDescent="0.2">
      <c r="A3114" t="s">
        <v>64</v>
      </c>
      <c r="B3114" t="s">
        <v>64</v>
      </c>
      <c r="C3114" s="3" t="s">
        <v>64</v>
      </c>
      <c r="D3114" s="16" t="s">
        <v>64</v>
      </c>
      <c r="E3114" s="16">
        <v>0</v>
      </c>
      <c r="F3114" s="16" t="s">
        <v>64</v>
      </c>
      <c r="G3114" s="16" t="s">
        <v>64</v>
      </c>
    </row>
    <row r="3115" spans="1:7" x14ac:dyDescent="0.2">
      <c r="A3115" t="s">
        <v>64</v>
      </c>
      <c r="B3115" t="s">
        <v>64</v>
      </c>
      <c r="C3115" s="3" t="s">
        <v>64</v>
      </c>
      <c r="D3115" s="16" t="s">
        <v>64</v>
      </c>
      <c r="E3115" s="16">
        <v>0</v>
      </c>
      <c r="F3115" s="16" t="s">
        <v>64</v>
      </c>
      <c r="G3115" s="16" t="s">
        <v>64</v>
      </c>
    </row>
    <row r="3116" spans="1:7" x14ac:dyDescent="0.2">
      <c r="A3116" t="s">
        <v>64</v>
      </c>
      <c r="B3116" t="s">
        <v>64</v>
      </c>
      <c r="C3116" s="3" t="s">
        <v>64</v>
      </c>
      <c r="D3116" s="16" t="s">
        <v>64</v>
      </c>
      <c r="E3116" s="16">
        <v>0</v>
      </c>
      <c r="F3116" s="16" t="s">
        <v>64</v>
      </c>
      <c r="G3116" s="16" t="s">
        <v>64</v>
      </c>
    </row>
    <row r="3117" spans="1:7" x14ac:dyDescent="0.2">
      <c r="A3117" t="s">
        <v>64</v>
      </c>
      <c r="B3117" t="s">
        <v>64</v>
      </c>
      <c r="C3117" s="3" t="s">
        <v>64</v>
      </c>
      <c r="D3117" s="16" t="s">
        <v>64</v>
      </c>
      <c r="E3117" s="16">
        <v>0</v>
      </c>
      <c r="F3117" s="16" t="s">
        <v>64</v>
      </c>
      <c r="G3117" s="16" t="s">
        <v>64</v>
      </c>
    </row>
    <row r="3118" spans="1:7" x14ac:dyDescent="0.2">
      <c r="A3118" t="s">
        <v>64</v>
      </c>
      <c r="B3118" t="s">
        <v>64</v>
      </c>
      <c r="C3118" s="3" t="s">
        <v>64</v>
      </c>
      <c r="D3118" s="16" t="s">
        <v>64</v>
      </c>
      <c r="E3118" s="16">
        <v>0</v>
      </c>
      <c r="F3118" s="16" t="s">
        <v>64</v>
      </c>
      <c r="G3118" s="16" t="s">
        <v>64</v>
      </c>
    </row>
    <row r="3119" spans="1:7" x14ac:dyDescent="0.2">
      <c r="A3119" t="s">
        <v>64</v>
      </c>
      <c r="B3119" t="s">
        <v>64</v>
      </c>
      <c r="C3119" s="3" t="s">
        <v>64</v>
      </c>
      <c r="D3119" s="16" t="s">
        <v>64</v>
      </c>
      <c r="E3119" s="16">
        <v>0</v>
      </c>
      <c r="F3119" s="16" t="s">
        <v>64</v>
      </c>
      <c r="G3119" s="16" t="s">
        <v>64</v>
      </c>
    </row>
    <row r="3120" spans="1:7" x14ac:dyDescent="0.2">
      <c r="A3120" t="s">
        <v>64</v>
      </c>
      <c r="B3120" t="s">
        <v>64</v>
      </c>
      <c r="C3120" s="3" t="s">
        <v>64</v>
      </c>
      <c r="D3120" s="16" t="s">
        <v>64</v>
      </c>
      <c r="E3120" s="16">
        <v>0</v>
      </c>
      <c r="F3120" s="16" t="s">
        <v>64</v>
      </c>
      <c r="G3120" s="16" t="s">
        <v>64</v>
      </c>
    </row>
    <row r="3121" spans="1:7" x14ac:dyDescent="0.2">
      <c r="A3121" t="s">
        <v>64</v>
      </c>
      <c r="B3121" t="s">
        <v>64</v>
      </c>
      <c r="C3121" s="3" t="s">
        <v>64</v>
      </c>
      <c r="D3121" s="16" t="s">
        <v>64</v>
      </c>
      <c r="E3121" s="16">
        <v>0</v>
      </c>
      <c r="F3121" s="16" t="s">
        <v>64</v>
      </c>
      <c r="G3121" s="16" t="s">
        <v>64</v>
      </c>
    </row>
    <row r="3122" spans="1:7" x14ac:dyDescent="0.2">
      <c r="A3122" t="s">
        <v>64</v>
      </c>
      <c r="B3122" t="s">
        <v>64</v>
      </c>
      <c r="C3122" s="3" t="s">
        <v>64</v>
      </c>
      <c r="D3122" s="16" t="s">
        <v>64</v>
      </c>
      <c r="E3122" s="16">
        <v>0</v>
      </c>
      <c r="F3122" s="16" t="s">
        <v>64</v>
      </c>
      <c r="G3122" s="16" t="s">
        <v>64</v>
      </c>
    </row>
    <row r="3123" spans="1:7" x14ac:dyDescent="0.2">
      <c r="A3123" t="s">
        <v>64</v>
      </c>
      <c r="B3123" t="s">
        <v>64</v>
      </c>
      <c r="C3123" s="3" t="s">
        <v>64</v>
      </c>
      <c r="D3123" s="16" t="s">
        <v>64</v>
      </c>
      <c r="E3123" s="16">
        <v>0</v>
      </c>
      <c r="F3123" s="16" t="s">
        <v>64</v>
      </c>
      <c r="G3123" s="16" t="s">
        <v>64</v>
      </c>
    </row>
    <row r="3124" spans="1:7" x14ac:dyDescent="0.2">
      <c r="A3124" t="s">
        <v>64</v>
      </c>
      <c r="B3124" t="s">
        <v>64</v>
      </c>
      <c r="C3124" s="3" t="s">
        <v>64</v>
      </c>
      <c r="D3124" s="16" t="s">
        <v>64</v>
      </c>
      <c r="E3124" s="16">
        <v>0</v>
      </c>
      <c r="F3124" s="16" t="s">
        <v>64</v>
      </c>
      <c r="G3124" s="16" t="s">
        <v>64</v>
      </c>
    </row>
    <row r="3125" spans="1:7" x14ac:dyDescent="0.2">
      <c r="A3125" t="s">
        <v>64</v>
      </c>
      <c r="B3125" t="s">
        <v>64</v>
      </c>
      <c r="C3125" s="3" t="s">
        <v>64</v>
      </c>
      <c r="D3125" s="16" t="s">
        <v>64</v>
      </c>
      <c r="E3125" s="16">
        <v>0</v>
      </c>
      <c r="F3125" s="16" t="s">
        <v>64</v>
      </c>
      <c r="G3125" s="16" t="s">
        <v>64</v>
      </c>
    </row>
    <row r="3126" spans="1:7" x14ac:dyDescent="0.2">
      <c r="A3126" t="s">
        <v>64</v>
      </c>
      <c r="B3126" t="s">
        <v>64</v>
      </c>
      <c r="C3126" s="3" t="s">
        <v>64</v>
      </c>
      <c r="D3126" s="16" t="s">
        <v>64</v>
      </c>
      <c r="E3126" s="16">
        <v>0</v>
      </c>
      <c r="F3126" s="16" t="s">
        <v>64</v>
      </c>
      <c r="G3126" s="16" t="s">
        <v>64</v>
      </c>
    </row>
    <row r="3127" spans="1:7" x14ac:dyDescent="0.2">
      <c r="A3127" t="s">
        <v>64</v>
      </c>
      <c r="B3127" t="s">
        <v>64</v>
      </c>
      <c r="C3127" s="3" t="s">
        <v>64</v>
      </c>
      <c r="D3127" s="16" t="s">
        <v>64</v>
      </c>
      <c r="E3127" s="16">
        <v>0</v>
      </c>
      <c r="F3127" s="16" t="s">
        <v>64</v>
      </c>
      <c r="G3127" s="16" t="s">
        <v>64</v>
      </c>
    </row>
    <row r="3128" spans="1:7" x14ac:dyDescent="0.2">
      <c r="A3128" t="s">
        <v>64</v>
      </c>
      <c r="B3128" t="s">
        <v>64</v>
      </c>
      <c r="C3128" s="3" t="s">
        <v>64</v>
      </c>
      <c r="D3128" s="16" t="s">
        <v>64</v>
      </c>
      <c r="E3128" s="16">
        <v>0</v>
      </c>
      <c r="F3128" s="16" t="s">
        <v>64</v>
      </c>
      <c r="G3128" s="16" t="s">
        <v>64</v>
      </c>
    </row>
    <row r="3129" spans="1:7" x14ac:dyDescent="0.2">
      <c r="A3129" t="s">
        <v>64</v>
      </c>
      <c r="B3129" t="s">
        <v>64</v>
      </c>
      <c r="C3129" s="3" t="s">
        <v>64</v>
      </c>
      <c r="D3129" s="16" t="s">
        <v>64</v>
      </c>
      <c r="E3129" s="16">
        <v>0</v>
      </c>
      <c r="F3129" s="16" t="s">
        <v>64</v>
      </c>
      <c r="G3129" s="16" t="s">
        <v>64</v>
      </c>
    </row>
    <row r="3130" spans="1:7" x14ac:dyDescent="0.2">
      <c r="A3130" t="s">
        <v>64</v>
      </c>
      <c r="B3130" t="s">
        <v>64</v>
      </c>
      <c r="C3130" s="3" t="s">
        <v>64</v>
      </c>
      <c r="D3130" s="16" t="s">
        <v>64</v>
      </c>
      <c r="E3130" s="16">
        <v>0</v>
      </c>
      <c r="F3130" s="16" t="s">
        <v>64</v>
      </c>
      <c r="G3130" s="16" t="s">
        <v>64</v>
      </c>
    </row>
    <row r="3131" spans="1:7" x14ac:dyDescent="0.2">
      <c r="A3131" t="s">
        <v>64</v>
      </c>
      <c r="B3131" t="s">
        <v>64</v>
      </c>
      <c r="C3131" s="3" t="s">
        <v>64</v>
      </c>
      <c r="D3131" s="16" t="s">
        <v>64</v>
      </c>
      <c r="E3131" s="16">
        <v>0</v>
      </c>
      <c r="F3131" s="16" t="s">
        <v>64</v>
      </c>
      <c r="G3131" s="16" t="s">
        <v>64</v>
      </c>
    </row>
    <row r="3132" spans="1:7" x14ac:dyDescent="0.2">
      <c r="A3132" t="s">
        <v>64</v>
      </c>
      <c r="B3132" t="s">
        <v>64</v>
      </c>
      <c r="C3132" s="3" t="s">
        <v>64</v>
      </c>
      <c r="D3132" s="16" t="s">
        <v>64</v>
      </c>
      <c r="E3132" s="16">
        <v>0</v>
      </c>
      <c r="F3132" s="16" t="s">
        <v>64</v>
      </c>
      <c r="G3132" s="16" t="s">
        <v>64</v>
      </c>
    </row>
    <row r="3133" spans="1:7" x14ac:dyDescent="0.2">
      <c r="A3133" t="s">
        <v>64</v>
      </c>
      <c r="B3133" t="s">
        <v>64</v>
      </c>
      <c r="C3133" s="3" t="s">
        <v>64</v>
      </c>
      <c r="D3133" s="16" t="s">
        <v>64</v>
      </c>
      <c r="E3133" s="16">
        <v>0</v>
      </c>
      <c r="F3133" s="16" t="s">
        <v>64</v>
      </c>
      <c r="G3133" s="16" t="s">
        <v>64</v>
      </c>
    </row>
    <row r="3134" spans="1:7" x14ac:dyDescent="0.2">
      <c r="A3134" t="s">
        <v>64</v>
      </c>
      <c r="B3134" t="s">
        <v>64</v>
      </c>
      <c r="C3134" s="3" t="s">
        <v>64</v>
      </c>
      <c r="D3134" s="16" t="s">
        <v>64</v>
      </c>
      <c r="E3134" s="16">
        <v>0</v>
      </c>
      <c r="F3134" s="16" t="s">
        <v>64</v>
      </c>
      <c r="G3134" s="16" t="s">
        <v>64</v>
      </c>
    </row>
    <row r="3135" spans="1:7" x14ac:dyDescent="0.2">
      <c r="A3135" t="s">
        <v>64</v>
      </c>
      <c r="B3135" t="s">
        <v>64</v>
      </c>
      <c r="C3135" s="3" t="s">
        <v>64</v>
      </c>
      <c r="D3135" s="16" t="s">
        <v>64</v>
      </c>
      <c r="E3135" s="16">
        <v>0</v>
      </c>
      <c r="F3135" s="16" t="s">
        <v>64</v>
      </c>
      <c r="G3135" s="16" t="s">
        <v>64</v>
      </c>
    </row>
    <row r="3136" spans="1:7" x14ac:dyDescent="0.2">
      <c r="A3136" t="s">
        <v>64</v>
      </c>
      <c r="B3136" t="s">
        <v>64</v>
      </c>
      <c r="C3136" s="3" t="s">
        <v>64</v>
      </c>
      <c r="D3136" s="16" t="s">
        <v>64</v>
      </c>
      <c r="E3136" s="16">
        <v>0</v>
      </c>
      <c r="F3136" s="16" t="s">
        <v>64</v>
      </c>
      <c r="G3136" s="16" t="s">
        <v>64</v>
      </c>
    </row>
    <row r="3137" spans="1:7" x14ac:dyDescent="0.2">
      <c r="A3137" t="s">
        <v>64</v>
      </c>
      <c r="B3137" t="s">
        <v>64</v>
      </c>
      <c r="C3137" s="3" t="s">
        <v>64</v>
      </c>
      <c r="D3137" s="16" t="s">
        <v>64</v>
      </c>
      <c r="E3137" s="16">
        <v>0</v>
      </c>
      <c r="F3137" s="16" t="s">
        <v>64</v>
      </c>
      <c r="G3137" s="16" t="s">
        <v>64</v>
      </c>
    </row>
    <row r="3138" spans="1:7" x14ac:dyDescent="0.2">
      <c r="A3138" t="s">
        <v>64</v>
      </c>
      <c r="B3138" t="s">
        <v>64</v>
      </c>
      <c r="C3138" s="3" t="s">
        <v>64</v>
      </c>
      <c r="D3138" s="16" t="s">
        <v>64</v>
      </c>
      <c r="E3138" s="16">
        <v>0</v>
      </c>
      <c r="F3138" s="16" t="s">
        <v>64</v>
      </c>
      <c r="G3138" s="16" t="s">
        <v>64</v>
      </c>
    </row>
    <row r="3139" spans="1:7" x14ac:dyDescent="0.2">
      <c r="A3139" t="s">
        <v>64</v>
      </c>
      <c r="B3139" t="s">
        <v>64</v>
      </c>
      <c r="C3139" s="3" t="s">
        <v>64</v>
      </c>
      <c r="D3139" s="16" t="s">
        <v>64</v>
      </c>
      <c r="E3139" s="16">
        <v>0</v>
      </c>
      <c r="F3139" s="16" t="s">
        <v>64</v>
      </c>
      <c r="G3139" s="16" t="s">
        <v>64</v>
      </c>
    </row>
    <row r="3140" spans="1:7" x14ac:dyDescent="0.2">
      <c r="A3140" t="s">
        <v>64</v>
      </c>
      <c r="B3140" t="s">
        <v>64</v>
      </c>
      <c r="C3140" s="3" t="s">
        <v>64</v>
      </c>
      <c r="D3140" s="16" t="s">
        <v>64</v>
      </c>
      <c r="E3140" s="16">
        <v>0</v>
      </c>
      <c r="F3140" s="16" t="s">
        <v>64</v>
      </c>
      <c r="G3140" s="16" t="s">
        <v>64</v>
      </c>
    </row>
    <row r="3141" spans="1:7" x14ac:dyDescent="0.2">
      <c r="A3141" t="s">
        <v>64</v>
      </c>
      <c r="B3141" t="s">
        <v>64</v>
      </c>
      <c r="C3141" s="3" t="s">
        <v>64</v>
      </c>
      <c r="D3141" s="16" t="s">
        <v>64</v>
      </c>
      <c r="E3141" s="16">
        <v>0</v>
      </c>
      <c r="F3141" s="16" t="s">
        <v>64</v>
      </c>
      <c r="G3141" s="16" t="s">
        <v>64</v>
      </c>
    </row>
    <row r="3142" spans="1:7" x14ac:dyDescent="0.2">
      <c r="A3142" t="s">
        <v>64</v>
      </c>
      <c r="B3142" t="s">
        <v>64</v>
      </c>
      <c r="C3142" s="3" t="s">
        <v>64</v>
      </c>
      <c r="D3142" s="16" t="s">
        <v>64</v>
      </c>
      <c r="E3142" s="16">
        <v>0</v>
      </c>
      <c r="F3142" s="16" t="s">
        <v>64</v>
      </c>
      <c r="G3142" s="16" t="s">
        <v>64</v>
      </c>
    </row>
    <row r="3143" spans="1:7" x14ac:dyDescent="0.2">
      <c r="A3143" t="s">
        <v>64</v>
      </c>
      <c r="B3143" t="s">
        <v>64</v>
      </c>
      <c r="C3143" s="3" t="s">
        <v>64</v>
      </c>
      <c r="D3143" s="16" t="s">
        <v>64</v>
      </c>
      <c r="E3143" s="16">
        <v>0</v>
      </c>
      <c r="F3143" s="16" t="s">
        <v>64</v>
      </c>
      <c r="G3143" s="16" t="s">
        <v>64</v>
      </c>
    </row>
    <row r="3144" spans="1:7" x14ac:dyDescent="0.2">
      <c r="A3144" t="s">
        <v>64</v>
      </c>
      <c r="B3144" t="s">
        <v>64</v>
      </c>
      <c r="C3144" s="3" t="s">
        <v>64</v>
      </c>
      <c r="D3144" s="16" t="s">
        <v>64</v>
      </c>
      <c r="E3144" s="16">
        <v>0</v>
      </c>
      <c r="F3144" s="16" t="s">
        <v>64</v>
      </c>
      <c r="G3144" s="16" t="s">
        <v>64</v>
      </c>
    </row>
    <row r="3145" spans="1:7" x14ac:dyDescent="0.2">
      <c r="A3145" t="s">
        <v>64</v>
      </c>
      <c r="B3145" t="s">
        <v>64</v>
      </c>
      <c r="C3145" s="3" t="s">
        <v>64</v>
      </c>
      <c r="D3145" s="16" t="s">
        <v>64</v>
      </c>
      <c r="E3145" s="16">
        <v>0</v>
      </c>
      <c r="F3145" s="16" t="s">
        <v>64</v>
      </c>
      <c r="G3145" s="16" t="s">
        <v>64</v>
      </c>
    </row>
    <row r="3146" spans="1:7" x14ac:dyDescent="0.2">
      <c r="A3146" t="s">
        <v>64</v>
      </c>
      <c r="B3146" t="s">
        <v>64</v>
      </c>
      <c r="C3146" s="3" t="s">
        <v>64</v>
      </c>
      <c r="D3146" s="16" t="s">
        <v>64</v>
      </c>
      <c r="E3146" s="16">
        <v>0</v>
      </c>
      <c r="F3146" s="16" t="s">
        <v>64</v>
      </c>
      <c r="G3146" s="16" t="s">
        <v>64</v>
      </c>
    </row>
    <row r="3147" spans="1:7" x14ac:dyDescent="0.2">
      <c r="A3147" t="s">
        <v>64</v>
      </c>
      <c r="B3147" t="s">
        <v>64</v>
      </c>
      <c r="C3147" s="3" t="s">
        <v>64</v>
      </c>
      <c r="D3147" s="16" t="s">
        <v>64</v>
      </c>
      <c r="E3147" s="16">
        <v>0</v>
      </c>
      <c r="F3147" s="16" t="s">
        <v>64</v>
      </c>
      <c r="G3147" s="16" t="s">
        <v>64</v>
      </c>
    </row>
    <row r="3148" spans="1:7" x14ac:dyDescent="0.2">
      <c r="A3148" t="s">
        <v>64</v>
      </c>
      <c r="B3148" t="s">
        <v>64</v>
      </c>
      <c r="C3148" s="3" t="s">
        <v>64</v>
      </c>
      <c r="D3148" s="16" t="s">
        <v>64</v>
      </c>
      <c r="E3148" s="16">
        <v>0</v>
      </c>
      <c r="F3148" s="16" t="s">
        <v>64</v>
      </c>
      <c r="G3148" s="16" t="s">
        <v>64</v>
      </c>
    </row>
    <row r="3149" spans="1:7" x14ac:dyDescent="0.2">
      <c r="A3149" t="s">
        <v>64</v>
      </c>
      <c r="B3149" t="s">
        <v>64</v>
      </c>
      <c r="C3149" s="3" t="s">
        <v>64</v>
      </c>
      <c r="D3149" s="16" t="s">
        <v>64</v>
      </c>
      <c r="E3149" s="16">
        <v>0</v>
      </c>
      <c r="F3149" s="16" t="s">
        <v>64</v>
      </c>
      <c r="G3149" s="16" t="s">
        <v>64</v>
      </c>
    </row>
    <row r="3150" spans="1:7" x14ac:dyDescent="0.2">
      <c r="A3150" t="s">
        <v>64</v>
      </c>
      <c r="B3150" t="s">
        <v>64</v>
      </c>
      <c r="C3150" s="3" t="s">
        <v>64</v>
      </c>
      <c r="D3150" s="16" t="s">
        <v>64</v>
      </c>
      <c r="E3150" s="16">
        <v>0</v>
      </c>
      <c r="F3150" s="16" t="s">
        <v>64</v>
      </c>
      <c r="G3150" s="16" t="s">
        <v>64</v>
      </c>
    </row>
    <row r="3151" spans="1:7" x14ac:dyDescent="0.2">
      <c r="A3151" t="s">
        <v>64</v>
      </c>
      <c r="B3151" t="s">
        <v>64</v>
      </c>
      <c r="C3151" s="3" t="s">
        <v>64</v>
      </c>
      <c r="D3151" s="16" t="s">
        <v>64</v>
      </c>
      <c r="E3151" s="16">
        <v>0</v>
      </c>
      <c r="F3151" s="16" t="s">
        <v>64</v>
      </c>
      <c r="G3151" s="16" t="s">
        <v>64</v>
      </c>
    </row>
    <row r="3152" spans="1:7" x14ac:dyDescent="0.2">
      <c r="A3152" t="s">
        <v>64</v>
      </c>
      <c r="B3152" t="s">
        <v>64</v>
      </c>
      <c r="C3152" s="3" t="s">
        <v>64</v>
      </c>
      <c r="D3152" s="16" t="s">
        <v>64</v>
      </c>
      <c r="E3152" s="16">
        <v>0</v>
      </c>
      <c r="F3152" s="16" t="s">
        <v>64</v>
      </c>
      <c r="G3152" s="16" t="s">
        <v>64</v>
      </c>
    </row>
    <row r="3153" spans="1:7" x14ac:dyDescent="0.2">
      <c r="A3153" t="s">
        <v>64</v>
      </c>
      <c r="B3153" t="s">
        <v>64</v>
      </c>
      <c r="C3153" s="3" t="s">
        <v>64</v>
      </c>
      <c r="D3153" s="16" t="s">
        <v>64</v>
      </c>
      <c r="E3153" s="16">
        <v>0</v>
      </c>
      <c r="F3153" s="16" t="s">
        <v>64</v>
      </c>
      <c r="G3153" s="16" t="s">
        <v>64</v>
      </c>
    </row>
    <row r="3154" spans="1:7" x14ac:dyDescent="0.2">
      <c r="A3154" t="s">
        <v>64</v>
      </c>
      <c r="B3154" t="s">
        <v>64</v>
      </c>
      <c r="C3154" s="3" t="s">
        <v>64</v>
      </c>
      <c r="D3154" s="16" t="s">
        <v>64</v>
      </c>
      <c r="E3154" s="16">
        <v>0</v>
      </c>
      <c r="F3154" s="16" t="s">
        <v>64</v>
      </c>
      <c r="G3154" s="16" t="s">
        <v>64</v>
      </c>
    </row>
    <row r="3155" spans="1:7" x14ac:dyDescent="0.2">
      <c r="A3155" t="s">
        <v>64</v>
      </c>
      <c r="B3155" t="s">
        <v>64</v>
      </c>
      <c r="C3155" s="3" t="s">
        <v>64</v>
      </c>
      <c r="D3155" s="16" t="s">
        <v>64</v>
      </c>
      <c r="E3155" s="16">
        <v>0</v>
      </c>
      <c r="F3155" s="16" t="s">
        <v>64</v>
      </c>
      <c r="G3155" s="16" t="s">
        <v>64</v>
      </c>
    </row>
    <row r="3156" spans="1:7" x14ac:dyDescent="0.2">
      <c r="A3156" t="s">
        <v>64</v>
      </c>
      <c r="B3156" t="s">
        <v>64</v>
      </c>
      <c r="C3156" s="3" t="s">
        <v>64</v>
      </c>
      <c r="D3156" s="16" t="s">
        <v>64</v>
      </c>
      <c r="E3156" s="16">
        <v>0</v>
      </c>
      <c r="F3156" s="16" t="s">
        <v>64</v>
      </c>
      <c r="G3156" s="16" t="s">
        <v>64</v>
      </c>
    </row>
    <row r="3157" spans="1:7" x14ac:dyDescent="0.2">
      <c r="A3157" t="s">
        <v>64</v>
      </c>
      <c r="B3157" t="s">
        <v>64</v>
      </c>
      <c r="C3157" s="3" t="s">
        <v>64</v>
      </c>
      <c r="D3157" s="16" t="s">
        <v>64</v>
      </c>
      <c r="E3157" s="16">
        <v>0</v>
      </c>
      <c r="F3157" s="16" t="s">
        <v>64</v>
      </c>
      <c r="G3157" s="16" t="s">
        <v>64</v>
      </c>
    </row>
    <row r="3158" spans="1:7" x14ac:dyDescent="0.2">
      <c r="A3158" t="s">
        <v>64</v>
      </c>
      <c r="B3158" t="s">
        <v>64</v>
      </c>
      <c r="C3158" s="3" t="s">
        <v>64</v>
      </c>
      <c r="D3158" s="16" t="s">
        <v>64</v>
      </c>
      <c r="E3158" s="16">
        <v>0</v>
      </c>
      <c r="F3158" s="16" t="s">
        <v>64</v>
      </c>
      <c r="G3158" s="16" t="s">
        <v>64</v>
      </c>
    </row>
    <row r="3159" spans="1:7" x14ac:dyDescent="0.2">
      <c r="A3159" t="s">
        <v>64</v>
      </c>
      <c r="B3159" t="s">
        <v>64</v>
      </c>
      <c r="C3159" s="3" t="s">
        <v>64</v>
      </c>
      <c r="D3159" s="16" t="s">
        <v>64</v>
      </c>
      <c r="E3159" s="16">
        <v>0</v>
      </c>
      <c r="F3159" s="16" t="s">
        <v>64</v>
      </c>
      <c r="G3159" s="16" t="s">
        <v>64</v>
      </c>
    </row>
    <row r="3160" spans="1:7" x14ac:dyDescent="0.2">
      <c r="A3160" t="s">
        <v>64</v>
      </c>
      <c r="B3160" t="s">
        <v>64</v>
      </c>
      <c r="C3160" s="3" t="s">
        <v>64</v>
      </c>
      <c r="D3160" s="16" t="s">
        <v>64</v>
      </c>
      <c r="E3160" s="16">
        <v>0</v>
      </c>
      <c r="F3160" s="16" t="s">
        <v>64</v>
      </c>
      <c r="G3160" s="16" t="s">
        <v>64</v>
      </c>
    </row>
    <row r="3161" spans="1:7" x14ac:dyDescent="0.2">
      <c r="A3161" t="s">
        <v>64</v>
      </c>
      <c r="B3161" t="s">
        <v>64</v>
      </c>
      <c r="C3161" s="3" t="s">
        <v>64</v>
      </c>
      <c r="D3161" s="16" t="s">
        <v>64</v>
      </c>
      <c r="E3161" s="16">
        <v>0</v>
      </c>
      <c r="F3161" s="16" t="s">
        <v>64</v>
      </c>
      <c r="G3161" s="16" t="s">
        <v>64</v>
      </c>
    </row>
    <row r="3162" spans="1:7" x14ac:dyDescent="0.2">
      <c r="A3162" t="s">
        <v>64</v>
      </c>
      <c r="B3162" t="s">
        <v>64</v>
      </c>
      <c r="C3162" s="3" t="s">
        <v>64</v>
      </c>
      <c r="D3162" s="16" t="s">
        <v>64</v>
      </c>
      <c r="E3162" s="16">
        <v>0</v>
      </c>
      <c r="F3162" s="16" t="s">
        <v>64</v>
      </c>
      <c r="G3162" s="16" t="s">
        <v>64</v>
      </c>
    </row>
    <row r="3163" spans="1:7" x14ac:dyDescent="0.2">
      <c r="A3163" t="s">
        <v>64</v>
      </c>
      <c r="B3163" t="s">
        <v>64</v>
      </c>
      <c r="C3163" s="3" t="s">
        <v>64</v>
      </c>
      <c r="D3163" s="16" t="s">
        <v>64</v>
      </c>
      <c r="E3163" s="16">
        <v>0</v>
      </c>
      <c r="F3163" s="16" t="s">
        <v>64</v>
      </c>
      <c r="G3163" s="16" t="s">
        <v>64</v>
      </c>
    </row>
    <row r="3164" spans="1:7" x14ac:dyDescent="0.2">
      <c r="A3164" t="s">
        <v>64</v>
      </c>
      <c r="B3164" t="s">
        <v>64</v>
      </c>
      <c r="C3164" s="3" t="s">
        <v>64</v>
      </c>
      <c r="D3164" s="16" t="s">
        <v>64</v>
      </c>
      <c r="E3164" s="16">
        <v>0</v>
      </c>
      <c r="F3164" s="16" t="s">
        <v>64</v>
      </c>
      <c r="G3164" s="16" t="s">
        <v>64</v>
      </c>
    </row>
    <row r="3165" spans="1:7" x14ac:dyDescent="0.2">
      <c r="A3165" t="s">
        <v>64</v>
      </c>
      <c r="B3165" t="s">
        <v>64</v>
      </c>
      <c r="C3165" s="3" t="s">
        <v>64</v>
      </c>
      <c r="D3165" s="16" t="s">
        <v>64</v>
      </c>
      <c r="E3165" s="16">
        <v>0</v>
      </c>
      <c r="F3165" s="16" t="s">
        <v>64</v>
      </c>
      <c r="G3165" s="16" t="s">
        <v>64</v>
      </c>
    </row>
    <row r="3166" spans="1:7" x14ac:dyDescent="0.2">
      <c r="A3166" t="s">
        <v>64</v>
      </c>
      <c r="B3166" t="s">
        <v>64</v>
      </c>
      <c r="C3166" s="3" t="s">
        <v>64</v>
      </c>
      <c r="D3166" s="16" t="s">
        <v>64</v>
      </c>
      <c r="E3166" s="16">
        <v>0</v>
      </c>
      <c r="F3166" s="16" t="s">
        <v>64</v>
      </c>
      <c r="G3166" s="16" t="s">
        <v>64</v>
      </c>
    </row>
    <row r="3167" spans="1:7" x14ac:dyDescent="0.2">
      <c r="A3167" t="s">
        <v>64</v>
      </c>
      <c r="B3167" t="s">
        <v>64</v>
      </c>
      <c r="C3167" s="3" t="s">
        <v>64</v>
      </c>
      <c r="D3167" s="16" t="s">
        <v>64</v>
      </c>
      <c r="E3167" s="16">
        <v>0</v>
      </c>
      <c r="F3167" s="16" t="s">
        <v>64</v>
      </c>
      <c r="G3167" s="16" t="s">
        <v>64</v>
      </c>
    </row>
    <row r="3168" spans="1:7" x14ac:dyDescent="0.2">
      <c r="A3168" t="s">
        <v>64</v>
      </c>
      <c r="B3168" t="s">
        <v>64</v>
      </c>
      <c r="C3168" s="3" t="s">
        <v>64</v>
      </c>
      <c r="D3168" s="16" t="s">
        <v>64</v>
      </c>
      <c r="E3168" s="16">
        <v>0</v>
      </c>
      <c r="F3168" s="16" t="s">
        <v>64</v>
      </c>
      <c r="G3168" s="16" t="s">
        <v>64</v>
      </c>
    </row>
    <row r="3169" spans="1:7" x14ac:dyDescent="0.2">
      <c r="A3169" t="s">
        <v>64</v>
      </c>
      <c r="B3169" t="s">
        <v>64</v>
      </c>
      <c r="C3169" s="3" t="s">
        <v>64</v>
      </c>
      <c r="D3169" s="16" t="s">
        <v>64</v>
      </c>
      <c r="E3169" s="16">
        <v>0</v>
      </c>
      <c r="F3169" s="16" t="s">
        <v>64</v>
      </c>
      <c r="G3169" s="16" t="s">
        <v>64</v>
      </c>
    </row>
    <row r="3170" spans="1:7" x14ac:dyDescent="0.2">
      <c r="A3170" t="s">
        <v>64</v>
      </c>
      <c r="B3170" t="s">
        <v>64</v>
      </c>
      <c r="C3170" s="3" t="s">
        <v>64</v>
      </c>
      <c r="D3170" s="16" t="s">
        <v>64</v>
      </c>
      <c r="E3170" s="16">
        <v>0</v>
      </c>
      <c r="F3170" s="16" t="s">
        <v>64</v>
      </c>
      <c r="G3170" s="16" t="s">
        <v>64</v>
      </c>
    </row>
    <row r="3171" spans="1:7" x14ac:dyDescent="0.2">
      <c r="A3171" t="s">
        <v>64</v>
      </c>
      <c r="B3171" t="s">
        <v>64</v>
      </c>
      <c r="C3171" s="3" t="s">
        <v>64</v>
      </c>
      <c r="D3171" s="16" t="s">
        <v>64</v>
      </c>
      <c r="E3171" s="16">
        <v>0</v>
      </c>
      <c r="F3171" s="16" t="s">
        <v>64</v>
      </c>
      <c r="G3171" s="16" t="s">
        <v>64</v>
      </c>
    </row>
    <row r="3172" spans="1:7" x14ac:dyDescent="0.2">
      <c r="A3172" t="s">
        <v>64</v>
      </c>
      <c r="B3172" t="s">
        <v>64</v>
      </c>
      <c r="C3172" s="3" t="s">
        <v>64</v>
      </c>
      <c r="D3172" s="16" t="s">
        <v>64</v>
      </c>
      <c r="E3172" s="16">
        <v>0</v>
      </c>
      <c r="F3172" s="16" t="s">
        <v>64</v>
      </c>
      <c r="G3172" s="16" t="s">
        <v>64</v>
      </c>
    </row>
    <row r="3173" spans="1:7" x14ac:dyDescent="0.2">
      <c r="A3173" t="s">
        <v>64</v>
      </c>
      <c r="B3173" t="s">
        <v>64</v>
      </c>
      <c r="C3173" s="3" t="s">
        <v>64</v>
      </c>
      <c r="D3173" s="16" t="s">
        <v>64</v>
      </c>
      <c r="E3173" s="16">
        <v>0</v>
      </c>
      <c r="F3173" s="16" t="s">
        <v>64</v>
      </c>
      <c r="G3173" s="16" t="s">
        <v>64</v>
      </c>
    </row>
    <row r="3174" spans="1:7" x14ac:dyDescent="0.2">
      <c r="A3174" t="s">
        <v>64</v>
      </c>
      <c r="B3174" t="s">
        <v>64</v>
      </c>
      <c r="C3174" s="3" t="s">
        <v>64</v>
      </c>
      <c r="D3174" s="16" t="s">
        <v>64</v>
      </c>
      <c r="E3174" s="16">
        <v>0</v>
      </c>
      <c r="F3174" s="16" t="s">
        <v>64</v>
      </c>
      <c r="G3174" s="16" t="s">
        <v>64</v>
      </c>
    </row>
    <row r="3175" spans="1:7" x14ac:dyDescent="0.2">
      <c r="A3175" t="s">
        <v>64</v>
      </c>
      <c r="B3175" t="s">
        <v>64</v>
      </c>
      <c r="C3175" s="3" t="s">
        <v>64</v>
      </c>
      <c r="D3175" s="16" t="s">
        <v>64</v>
      </c>
      <c r="E3175" s="16">
        <v>0</v>
      </c>
      <c r="F3175" s="16" t="s">
        <v>64</v>
      </c>
      <c r="G3175" s="16" t="s">
        <v>64</v>
      </c>
    </row>
    <row r="3176" spans="1:7" x14ac:dyDescent="0.2">
      <c r="A3176" t="s">
        <v>64</v>
      </c>
      <c r="B3176" t="s">
        <v>64</v>
      </c>
      <c r="C3176" s="3" t="s">
        <v>64</v>
      </c>
      <c r="D3176" s="16" t="s">
        <v>64</v>
      </c>
      <c r="E3176" s="16">
        <v>0</v>
      </c>
      <c r="F3176" s="16" t="s">
        <v>64</v>
      </c>
      <c r="G3176" s="16" t="s">
        <v>64</v>
      </c>
    </row>
    <row r="3177" spans="1:7" x14ac:dyDescent="0.2">
      <c r="A3177" t="s">
        <v>64</v>
      </c>
      <c r="B3177" t="s">
        <v>64</v>
      </c>
      <c r="C3177" s="3" t="s">
        <v>64</v>
      </c>
      <c r="D3177" s="16" t="s">
        <v>64</v>
      </c>
      <c r="E3177" s="16">
        <v>0</v>
      </c>
      <c r="F3177" s="16" t="s">
        <v>64</v>
      </c>
      <c r="G3177" s="16" t="s">
        <v>64</v>
      </c>
    </row>
    <row r="3178" spans="1:7" x14ac:dyDescent="0.2">
      <c r="A3178" t="s">
        <v>64</v>
      </c>
      <c r="B3178" t="s">
        <v>64</v>
      </c>
      <c r="C3178" s="3" t="s">
        <v>64</v>
      </c>
      <c r="D3178" s="16" t="s">
        <v>64</v>
      </c>
      <c r="E3178" s="16">
        <v>0</v>
      </c>
      <c r="F3178" s="16" t="s">
        <v>64</v>
      </c>
      <c r="G3178" s="16" t="s">
        <v>64</v>
      </c>
    </row>
    <row r="3179" spans="1:7" x14ac:dyDescent="0.2">
      <c r="A3179" t="s">
        <v>64</v>
      </c>
      <c r="B3179" t="s">
        <v>64</v>
      </c>
      <c r="C3179" s="3" t="s">
        <v>64</v>
      </c>
      <c r="D3179" s="16" t="s">
        <v>64</v>
      </c>
      <c r="E3179" s="16">
        <v>0</v>
      </c>
      <c r="F3179" s="16" t="s">
        <v>64</v>
      </c>
      <c r="G3179" s="16" t="s">
        <v>64</v>
      </c>
    </row>
    <row r="3180" spans="1:7" x14ac:dyDescent="0.2">
      <c r="A3180" t="s">
        <v>64</v>
      </c>
      <c r="B3180" t="s">
        <v>64</v>
      </c>
      <c r="C3180" s="3" t="s">
        <v>64</v>
      </c>
      <c r="D3180" s="16" t="s">
        <v>64</v>
      </c>
      <c r="E3180" s="16">
        <v>0</v>
      </c>
      <c r="F3180" s="16" t="s">
        <v>64</v>
      </c>
      <c r="G3180" s="16" t="s">
        <v>64</v>
      </c>
    </row>
    <row r="3181" spans="1:7" x14ac:dyDescent="0.2">
      <c r="A3181" t="s">
        <v>64</v>
      </c>
      <c r="B3181" t="s">
        <v>64</v>
      </c>
      <c r="C3181" s="3" t="s">
        <v>64</v>
      </c>
      <c r="D3181" s="16" t="s">
        <v>64</v>
      </c>
      <c r="E3181" s="16">
        <v>0</v>
      </c>
      <c r="F3181" s="16" t="s">
        <v>64</v>
      </c>
      <c r="G3181" s="16" t="s">
        <v>64</v>
      </c>
    </row>
    <row r="3182" spans="1:7" x14ac:dyDescent="0.2">
      <c r="A3182" t="s">
        <v>64</v>
      </c>
      <c r="B3182" t="s">
        <v>64</v>
      </c>
      <c r="C3182" s="3" t="s">
        <v>64</v>
      </c>
      <c r="D3182" s="16" t="s">
        <v>64</v>
      </c>
      <c r="E3182" s="16">
        <v>0</v>
      </c>
      <c r="F3182" s="16" t="s">
        <v>64</v>
      </c>
      <c r="G3182" s="16" t="s">
        <v>64</v>
      </c>
    </row>
    <row r="3183" spans="1:7" x14ac:dyDescent="0.2">
      <c r="A3183" t="s">
        <v>64</v>
      </c>
      <c r="B3183" t="s">
        <v>64</v>
      </c>
      <c r="C3183" s="3" t="s">
        <v>64</v>
      </c>
      <c r="D3183" s="16" t="s">
        <v>64</v>
      </c>
      <c r="E3183" s="16">
        <v>0</v>
      </c>
      <c r="F3183" s="16" t="s">
        <v>64</v>
      </c>
      <c r="G3183" s="16" t="s">
        <v>64</v>
      </c>
    </row>
    <row r="3184" spans="1:7" x14ac:dyDescent="0.2">
      <c r="A3184" t="s">
        <v>64</v>
      </c>
      <c r="B3184" t="s">
        <v>64</v>
      </c>
      <c r="C3184" s="3" t="s">
        <v>64</v>
      </c>
      <c r="D3184" s="16" t="s">
        <v>64</v>
      </c>
      <c r="E3184" s="16">
        <v>0</v>
      </c>
      <c r="F3184" s="16" t="s">
        <v>64</v>
      </c>
      <c r="G3184" s="16" t="s">
        <v>64</v>
      </c>
    </row>
    <row r="3185" spans="1:7" x14ac:dyDescent="0.2">
      <c r="A3185" t="s">
        <v>64</v>
      </c>
      <c r="B3185" t="s">
        <v>64</v>
      </c>
      <c r="C3185" s="3" t="s">
        <v>64</v>
      </c>
      <c r="D3185" s="16" t="s">
        <v>64</v>
      </c>
      <c r="E3185" s="16">
        <v>0</v>
      </c>
      <c r="F3185" s="16" t="s">
        <v>64</v>
      </c>
      <c r="G3185" s="16" t="s">
        <v>64</v>
      </c>
    </row>
    <row r="3186" spans="1:7" x14ac:dyDescent="0.2">
      <c r="A3186" t="s">
        <v>64</v>
      </c>
      <c r="B3186" t="s">
        <v>64</v>
      </c>
      <c r="C3186" s="3" t="s">
        <v>64</v>
      </c>
      <c r="D3186" s="16" t="s">
        <v>64</v>
      </c>
      <c r="E3186" s="16">
        <v>0</v>
      </c>
      <c r="F3186" s="16" t="s">
        <v>64</v>
      </c>
      <c r="G3186" s="16" t="s">
        <v>64</v>
      </c>
    </row>
    <row r="3187" spans="1:7" x14ac:dyDescent="0.2">
      <c r="A3187" t="s">
        <v>64</v>
      </c>
      <c r="B3187" t="s">
        <v>64</v>
      </c>
      <c r="C3187" s="3" t="s">
        <v>64</v>
      </c>
      <c r="D3187" s="16" t="s">
        <v>64</v>
      </c>
      <c r="E3187" s="16">
        <v>0</v>
      </c>
      <c r="F3187" s="16" t="s">
        <v>64</v>
      </c>
      <c r="G3187" s="16" t="s">
        <v>64</v>
      </c>
    </row>
    <row r="3188" spans="1:7" x14ac:dyDescent="0.2">
      <c r="A3188" t="s">
        <v>64</v>
      </c>
      <c r="B3188" t="s">
        <v>64</v>
      </c>
      <c r="C3188" s="3" t="s">
        <v>64</v>
      </c>
      <c r="D3188" s="16" t="s">
        <v>64</v>
      </c>
      <c r="E3188" s="16">
        <v>0</v>
      </c>
      <c r="F3188" s="16" t="s">
        <v>64</v>
      </c>
      <c r="G3188" s="16" t="s">
        <v>64</v>
      </c>
    </row>
    <row r="3189" spans="1:7" x14ac:dyDescent="0.2">
      <c r="A3189" t="s">
        <v>64</v>
      </c>
      <c r="B3189" t="s">
        <v>64</v>
      </c>
      <c r="C3189" s="3" t="s">
        <v>64</v>
      </c>
      <c r="D3189" s="16" t="s">
        <v>64</v>
      </c>
      <c r="E3189" s="16">
        <v>0</v>
      </c>
      <c r="F3189" s="16" t="s">
        <v>64</v>
      </c>
      <c r="G3189" s="16" t="s">
        <v>64</v>
      </c>
    </row>
    <row r="3190" spans="1:7" x14ac:dyDescent="0.2">
      <c r="A3190" t="s">
        <v>64</v>
      </c>
      <c r="B3190" t="s">
        <v>64</v>
      </c>
      <c r="C3190" s="3" t="s">
        <v>64</v>
      </c>
      <c r="D3190" s="16" t="s">
        <v>64</v>
      </c>
      <c r="E3190" s="16">
        <v>0</v>
      </c>
      <c r="F3190" s="16" t="s">
        <v>64</v>
      </c>
      <c r="G3190" s="16" t="s">
        <v>64</v>
      </c>
    </row>
    <row r="3191" spans="1:7" x14ac:dyDescent="0.2">
      <c r="A3191" t="s">
        <v>64</v>
      </c>
      <c r="B3191" t="s">
        <v>64</v>
      </c>
      <c r="C3191" s="3" t="s">
        <v>64</v>
      </c>
      <c r="D3191" s="16" t="s">
        <v>64</v>
      </c>
      <c r="E3191" s="16">
        <v>0</v>
      </c>
      <c r="F3191" s="16" t="s">
        <v>64</v>
      </c>
      <c r="G3191" s="16" t="s">
        <v>64</v>
      </c>
    </row>
    <row r="3192" spans="1:7" x14ac:dyDescent="0.2">
      <c r="A3192" t="s">
        <v>64</v>
      </c>
      <c r="B3192" t="s">
        <v>64</v>
      </c>
      <c r="C3192" s="3" t="s">
        <v>64</v>
      </c>
      <c r="D3192" s="16" t="s">
        <v>64</v>
      </c>
      <c r="E3192" s="16">
        <v>0</v>
      </c>
      <c r="F3192" s="16" t="s">
        <v>64</v>
      </c>
      <c r="G3192" s="16" t="s">
        <v>64</v>
      </c>
    </row>
    <row r="3193" spans="1:7" x14ac:dyDescent="0.2">
      <c r="A3193" t="s">
        <v>64</v>
      </c>
      <c r="B3193" t="s">
        <v>64</v>
      </c>
      <c r="C3193" s="3" t="s">
        <v>64</v>
      </c>
      <c r="D3193" s="16" t="s">
        <v>64</v>
      </c>
      <c r="E3193" s="16">
        <v>0</v>
      </c>
      <c r="F3193" s="16" t="s">
        <v>64</v>
      </c>
      <c r="G3193" s="16" t="s">
        <v>64</v>
      </c>
    </row>
    <row r="3194" spans="1:7" x14ac:dyDescent="0.2">
      <c r="A3194" t="s">
        <v>64</v>
      </c>
      <c r="B3194" t="s">
        <v>64</v>
      </c>
      <c r="C3194" s="3" t="s">
        <v>64</v>
      </c>
      <c r="D3194" s="16" t="s">
        <v>64</v>
      </c>
      <c r="E3194" s="16">
        <v>0</v>
      </c>
      <c r="F3194" s="16" t="s">
        <v>64</v>
      </c>
      <c r="G3194" s="16" t="s">
        <v>64</v>
      </c>
    </row>
    <row r="3195" spans="1:7" x14ac:dyDescent="0.2">
      <c r="A3195" t="s">
        <v>64</v>
      </c>
      <c r="B3195" t="s">
        <v>64</v>
      </c>
      <c r="C3195" s="3" t="s">
        <v>64</v>
      </c>
      <c r="D3195" s="16" t="s">
        <v>64</v>
      </c>
      <c r="E3195" s="16">
        <v>0</v>
      </c>
      <c r="F3195" s="16" t="s">
        <v>64</v>
      </c>
      <c r="G3195" s="16" t="s">
        <v>64</v>
      </c>
    </row>
    <row r="3196" spans="1:7" x14ac:dyDescent="0.2">
      <c r="A3196" t="s">
        <v>64</v>
      </c>
      <c r="B3196" t="s">
        <v>64</v>
      </c>
      <c r="C3196" s="3" t="s">
        <v>64</v>
      </c>
      <c r="D3196" s="16" t="s">
        <v>64</v>
      </c>
      <c r="E3196" s="16">
        <v>0</v>
      </c>
      <c r="F3196" s="16" t="s">
        <v>64</v>
      </c>
      <c r="G3196" s="16" t="s">
        <v>64</v>
      </c>
    </row>
    <row r="3197" spans="1:7" x14ac:dyDescent="0.2">
      <c r="A3197" t="s">
        <v>64</v>
      </c>
      <c r="B3197" t="s">
        <v>64</v>
      </c>
      <c r="C3197" s="3" t="s">
        <v>64</v>
      </c>
      <c r="D3197" s="16" t="s">
        <v>64</v>
      </c>
      <c r="E3197" s="16">
        <v>0</v>
      </c>
      <c r="F3197" s="16" t="s">
        <v>64</v>
      </c>
      <c r="G3197" s="16" t="s">
        <v>64</v>
      </c>
    </row>
    <row r="3198" spans="1:7" x14ac:dyDescent="0.2">
      <c r="A3198" t="s">
        <v>64</v>
      </c>
      <c r="B3198" t="s">
        <v>64</v>
      </c>
      <c r="C3198" s="3" t="s">
        <v>64</v>
      </c>
      <c r="D3198" s="16" t="s">
        <v>64</v>
      </c>
      <c r="E3198" s="16">
        <v>0</v>
      </c>
      <c r="F3198" s="16" t="s">
        <v>64</v>
      </c>
      <c r="G3198" s="16" t="s">
        <v>64</v>
      </c>
    </row>
    <row r="3199" spans="1:7" x14ac:dyDescent="0.2">
      <c r="A3199" t="s">
        <v>64</v>
      </c>
      <c r="B3199" t="s">
        <v>64</v>
      </c>
      <c r="C3199" s="3" t="s">
        <v>64</v>
      </c>
      <c r="D3199" s="16" t="s">
        <v>64</v>
      </c>
      <c r="E3199" s="16">
        <v>0</v>
      </c>
      <c r="F3199" s="16" t="s">
        <v>64</v>
      </c>
      <c r="G3199" s="16" t="s">
        <v>64</v>
      </c>
    </row>
    <row r="3200" spans="1:7" x14ac:dyDescent="0.2">
      <c r="A3200" t="s">
        <v>64</v>
      </c>
      <c r="B3200" t="s">
        <v>64</v>
      </c>
      <c r="C3200" s="3" t="s">
        <v>64</v>
      </c>
      <c r="D3200" s="16" t="s">
        <v>64</v>
      </c>
      <c r="E3200" s="16">
        <v>0</v>
      </c>
      <c r="F3200" s="16" t="s">
        <v>64</v>
      </c>
      <c r="G3200" s="16" t="s">
        <v>64</v>
      </c>
    </row>
    <row r="3201" spans="1:7" x14ac:dyDescent="0.2">
      <c r="A3201" t="s">
        <v>64</v>
      </c>
      <c r="B3201" t="s">
        <v>64</v>
      </c>
      <c r="C3201" s="3" t="s">
        <v>64</v>
      </c>
      <c r="D3201" s="16" t="s">
        <v>64</v>
      </c>
      <c r="E3201" s="16">
        <v>0</v>
      </c>
      <c r="F3201" s="16" t="s">
        <v>64</v>
      </c>
      <c r="G3201" s="16" t="s">
        <v>64</v>
      </c>
    </row>
    <row r="3202" spans="1:7" x14ac:dyDescent="0.2">
      <c r="A3202" t="s">
        <v>64</v>
      </c>
      <c r="B3202" t="s">
        <v>64</v>
      </c>
      <c r="C3202" s="3" t="s">
        <v>64</v>
      </c>
      <c r="D3202" s="16" t="s">
        <v>64</v>
      </c>
      <c r="E3202" s="16">
        <v>0</v>
      </c>
      <c r="F3202" s="16" t="s">
        <v>64</v>
      </c>
      <c r="G3202" s="16" t="s">
        <v>64</v>
      </c>
    </row>
    <row r="3203" spans="1:7" x14ac:dyDescent="0.2">
      <c r="A3203" t="s">
        <v>64</v>
      </c>
      <c r="B3203" t="s">
        <v>64</v>
      </c>
      <c r="C3203" s="3" t="s">
        <v>64</v>
      </c>
      <c r="D3203" s="16" t="s">
        <v>64</v>
      </c>
      <c r="E3203" s="16">
        <v>0</v>
      </c>
      <c r="F3203" s="16" t="s">
        <v>64</v>
      </c>
      <c r="G3203" s="16" t="s">
        <v>64</v>
      </c>
    </row>
    <row r="3204" spans="1:7" x14ac:dyDescent="0.2">
      <c r="A3204" t="s">
        <v>64</v>
      </c>
      <c r="B3204" t="s">
        <v>64</v>
      </c>
      <c r="C3204" s="3" t="s">
        <v>64</v>
      </c>
      <c r="D3204" s="16" t="s">
        <v>64</v>
      </c>
      <c r="E3204" s="16">
        <v>0</v>
      </c>
      <c r="F3204" s="16" t="s">
        <v>64</v>
      </c>
      <c r="G3204" s="16" t="s">
        <v>64</v>
      </c>
    </row>
    <row r="3205" spans="1:7" x14ac:dyDescent="0.2">
      <c r="A3205" t="s">
        <v>64</v>
      </c>
      <c r="B3205" t="s">
        <v>64</v>
      </c>
      <c r="C3205" s="3" t="s">
        <v>64</v>
      </c>
      <c r="D3205" s="16" t="s">
        <v>64</v>
      </c>
      <c r="E3205" s="16">
        <v>0</v>
      </c>
      <c r="F3205" s="16" t="s">
        <v>64</v>
      </c>
      <c r="G3205" s="16" t="s">
        <v>64</v>
      </c>
    </row>
    <row r="3206" spans="1:7" x14ac:dyDescent="0.2">
      <c r="A3206" t="s">
        <v>64</v>
      </c>
      <c r="B3206" t="s">
        <v>64</v>
      </c>
      <c r="C3206" s="3" t="s">
        <v>64</v>
      </c>
      <c r="D3206" s="16" t="s">
        <v>64</v>
      </c>
      <c r="E3206" s="16">
        <v>0</v>
      </c>
      <c r="F3206" s="16" t="s">
        <v>64</v>
      </c>
      <c r="G3206" s="16" t="s">
        <v>64</v>
      </c>
    </row>
    <row r="3207" spans="1:7" x14ac:dyDescent="0.2">
      <c r="A3207" t="s">
        <v>64</v>
      </c>
      <c r="B3207" t="s">
        <v>64</v>
      </c>
      <c r="C3207" s="3" t="s">
        <v>64</v>
      </c>
      <c r="D3207" s="16" t="s">
        <v>64</v>
      </c>
      <c r="E3207" s="16">
        <v>0</v>
      </c>
      <c r="F3207" s="16" t="s">
        <v>64</v>
      </c>
      <c r="G3207" s="16" t="s">
        <v>64</v>
      </c>
    </row>
    <row r="3208" spans="1:7" x14ac:dyDescent="0.2">
      <c r="A3208" t="s">
        <v>64</v>
      </c>
      <c r="B3208" t="s">
        <v>64</v>
      </c>
      <c r="C3208" s="3" t="s">
        <v>64</v>
      </c>
      <c r="D3208" s="16" t="s">
        <v>64</v>
      </c>
      <c r="E3208" s="16">
        <v>0</v>
      </c>
      <c r="F3208" s="16" t="s">
        <v>64</v>
      </c>
      <c r="G3208" s="16" t="s">
        <v>64</v>
      </c>
    </row>
    <row r="3209" spans="1:7" x14ac:dyDescent="0.2">
      <c r="A3209" t="s">
        <v>64</v>
      </c>
      <c r="B3209" t="s">
        <v>64</v>
      </c>
      <c r="C3209" s="3" t="s">
        <v>64</v>
      </c>
      <c r="D3209" s="16" t="s">
        <v>64</v>
      </c>
      <c r="E3209" s="16">
        <v>0</v>
      </c>
      <c r="F3209" s="16" t="s">
        <v>64</v>
      </c>
      <c r="G3209" s="16" t="s">
        <v>64</v>
      </c>
    </row>
    <row r="3210" spans="1:7" x14ac:dyDescent="0.2">
      <c r="A3210" t="s">
        <v>64</v>
      </c>
      <c r="B3210" t="s">
        <v>64</v>
      </c>
      <c r="C3210" s="3" t="s">
        <v>64</v>
      </c>
      <c r="D3210" s="16" t="s">
        <v>64</v>
      </c>
      <c r="E3210" s="16">
        <v>0</v>
      </c>
      <c r="F3210" s="16" t="s">
        <v>64</v>
      </c>
      <c r="G3210" s="16" t="s">
        <v>64</v>
      </c>
    </row>
    <row r="3211" spans="1:7" x14ac:dyDescent="0.2">
      <c r="A3211" t="s">
        <v>64</v>
      </c>
      <c r="B3211" t="s">
        <v>64</v>
      </c>
      <c r="C3211" s="3" t="s">
        <v>64</v>
      </c>
      <c r="D3211" s="16" t="s">
        <v>64</v>
      </c>
      <c r="E3211" s="16">
        <v>0</v>
      </c>
      <c r="F3211" s="16" t="s">
        <v>64</v>
      </c>
      <c r="G3211" s="16" t="s">
        <v>64</v>
      </c>
    </row>
    <row r="3212" spans="1:7" x14ac:dyDescent="0.2">
      <c r="A3212" t="s">
        <v>64</v>
      </c>
      <c r="B3212" t="s">
        <v>64</v>
      </c>
      <c r="C3212" s="3" t="s">
        <v>64</v>
      </c>
      <c r="D3212" s="16" t="s">
        <v>64</v>
      </c>
      <c r="E3212" s="16">
        <v>0</v>
      </c>
      <c r="F3212" s="16" t="s">
        <v>64</v>
      </c>
      <c r="G3212" s="16" t="s">
        <v>64</v>
      </c>
    </row>
    <row r="3213" spans="1:7" x14ac:dyDescent="0.2">
      <c r="A3213" t="s">
        <v>64</v>
      </c>
      <c r="B3213" t="s">
        <v>64</v>
      </c>
      <c r="C3213" s="3" t="s">
        <v>64</v>
      </c>
      <c r="D3213" s="16" t="s">
        <v>64</v>
      </c>
      <c r="E3213" s="16">
        <v>0</v>
      </c>
      <c r="F3213" s="16" t="s">
        <v>64</v>
      </c>
      <c r="G3213" s="16" t="s">
        <v>64</v>
      </c>
    </row>
    <row r="3214" spans="1:7" x14ac:dyDescent="0.2">
      <c r="A3214" t="s">
        <v>64</v>
      </c>
      <c r="B3214" t="s">
        <v>64</v>
      </c>
      <c r="C3214" s="3" t="s">
        <v>64</v>
      </c>
      <c r="D3214" s="16" t="s">
        <v>64</v>
      </c>
      <c r="E3214" s="16">
        <v>0</v>
      </c>
      <c r="F3214" s="16" t="s">
        <v>64</v>
      </c>
      <c r="G3214" s="16" t="s">
        <v>64</v>
      </c>
    </row>
    <row r="3215" spans="1:7" x14ac:dyDescent="0.2">
      <c r="A3215" t="s">
        <v>64</v>
      </c>
      <c r="B3215" t="s">
        <v>64</v>
      </c>
      <c r="C3215" s="3" t="s">
        <v>64</v>
      </c>
      <c r="D3215" s="16" t="s">
        <v>64</v>
      </c>
      <c r="E3215" s="16">
        <v>0</v>
      </c>
      <c r="F3215" s="16" t="s">
        <v>64</v>
      </c>
      <c r="G3215" s="16" t="s">
        <v>64</v>
      </c>
    </row>
    <row r="3216" spans="1:7" x14ac:dyDescent="0.2">
      <c r="A3216" t="s">
        <v>64</v>
      </c>
      <c r="B3216" t="s">
        <v>64</v>
      </c>
      <c r="C3216" s="3" t="s">
        <v>64</v>
      </c>
      <c r="D3216" s="16" t="s">
        <v>64</v>
      </c>
      <c r="E3216" s="16">
        <v>0</v>
      </c>
      <c r="F3216" s="16" t="s">
        <v>64</v>
      </c>
      <c r="G3216" s="16" t="s">
        <v>64</v>
      </c>
    </row>
    <row r="3217" spans="1:7" x14ac:dyDescent="0.2">
      <c r="A3217" t="s">
        <v>64</v>
      </c>
      <c r="B3217" t="s">
        <v>64</v>
      </c>
      <c r="C3217" s="3" t="s">
        <v>64</v>
      </c>
      <c r="D3217" s="16" t="s">
        <v>64</v>
      </c>
      <c r="E3217" s="16">
        <v>0</v>
      </c>
      <c r="F3217" s="16" t="s">
        <v>64</v>
      </c>
      <c r="G3217" s="16" t="s">
        <v>64</v>
      </c>
    </row>
    <row r="3218" spans="1:7" x14ac:dyDescent="0.2">
      <c r="A3218" t="s">
        <v>64</v>
      </c>
      <c r="B3218" t="s">
        <v>64</v>
      </c>
      <c r="C3218" s="3" t="s">
        <v>64</v>
      </c>
      <c r="D3218" s="16" t="s">
        <v>64</v>
      </c>
      <c r="E3218" s="16">
        <v>0</v>
      </c>
      <c r="F3218" s="16" t="s">
        <v>64</v>
      </c>
      <c r="G3218" s="16" t="s">
        <v>64</v>
      </c>
    </row>
    <row r="3219" spans="1:7" x14ac:dyDescent="0.2">
      <c r="A3219" t="s">
        <v>64</v>
      </c>
      <c r="B3219" t="s">
        <v>64</v>
      </c>
      <c r="C3219" s="3" t="s">
        <v>64</v>
      </c>
      <c r="D3219" s="16" t="s">
        <v>64</v>
      </c>
      <c r="E3219" s="16">
        <v>0</v>
      </c>
      <c r="F3219" s="16" t="s">
        <v>64</v>
      </c>
      <c r="G3219" s="16" t="s">
        <v>64</v>
      </c>
    </row>
    <row r="3220" spans="1:7" x14ac:dyDescent="0.2">
      <c r="A3220" t="s">
        <v>64</v>
      </c>
      <c r="B3220" t="s">
        <v>64</v>
      </c>
      <c r="C3220" s="3" t="s">
        <v>64</v>
      </c>
      <c r="D3220" s="16" t="s">
        <v>64</v>
      </c>
      <c r="E3220" s="16">
        <v>0</v>
      </c>
      <c r="F3220" s="16" t="s">
        <v>64</v>
      </c>
      <c r="G3220" s="16" t="s">
        <v>64</v>
      </c>
    </row>
    <row r="3221" spans="1:7" x14ac:dyDescent="0.2">
      <c r="A3221" t="s">
        <v>64</v>
      </c>
      <c r="B3221" t="s">
        <v>64</v>
      </c>
      <c r="C3221" s="3" t="s">
        <v>64</v>
      </c>
      <c r="D3221" s="16" t="s">
        <v>64</v>
      </c>
      <c r="E3221" s="16">
        <v>0</v>
      </c>
      <c r="F3221" s="16" t="s">
        <v>64</v>
      </c>
      <c r="G3221" s="16" t="s">
        <v>64</v>
      </c>
    </row>
    <row r="3222" spans="1:7" x14ac:dyDescent="0.2">
      <c r="A3222" t="s">
        <v>64</v>
      </c>
      <c r="B3222" t="s">
        <v>64</v>
      </c>
      <c r="C3222" s="3" t="s">
        <v>64</v>
      </c>
      <c r="D3222" s="16" t="s">
        <v>64</v>
      </c>
      <c r="E3222" s="16">
        <v>0</v>
      </c>
      <c r="F3222" s="16" t="s">
        <v>64</v>
      </c>
      <c r="G3222" s="16" t="s">
        <v>64</v>
      </c>
    </row>
    <row r="3223" spans="1:7" x14ac:dyDescent="0.2">
      <c r="A3223" t="s">
        <v>64</v>
      </c>
      <c r="B3223" t="s">
        <v>64</v>
      </c>
      <c r="C3223" s="3" t="s">
        <v>64</v>
      </c>
      <c r="D3223" s="16" t="s">
        <v>64</v>
      </c>
      <c r="E3223" s="16">
        <v>0</v>
      </c>
      <c r="F3223" s="16" t="s">
        <v>64</v>
      </c>
      <c r="G3223" s="16" t="s">
        <v>64</v>
      </c>
    </row>
    <row r="3224" spans="1:7" x14ac:dyDescent="0.2">
      <c r="A3224" t="s">
        <v>64</v>
      </c>
      <c r="B3224" t="s">
        <v>64</v>
      </c>
      <c r="C3224" s="3" t="s">
        <v>64</v>
      </c>
      <c r="D3224" s="16" t="s">
        <v>64</v>
      </c>
      <c r="E3224" s="16">
        <v>0</v>
      </c>
      <c r="F3224" s="16" t="s">
        <v>64</v>
      </c>
      <c r="G3224" s="16" t="s">
        <v>64</v>
      </c>
    </row>
    <row r="3225" spans="1:7" x14ac:dyDescent="0.2">
      <c r="A3225" t="s">
        <v>64</v>
      </c>
      <c r="B3225" t="s">
        <v>64</v>
      </c>
      <c r="C3225" s="3" t="s">
        <v>64</v>
      </c>
      <c r="D3225" s="16" t="s">
        <v>64</v>
      </c>
      <c r="E3225" s="16">
        <v>0</v>
      </c>
      <c r="F3225" s="16" t="s">
        <v>64</v>
      </c>
      <c r="G3225" s="16" t="s">
        <v>64</v>
      </c>
    </row>
    <row r="3226" spans="1:7" x14ac:dyDescent="0.2">
      <c r="A3226" t="s">
        <v>64</v>
      </c>
      <c r="B3226" t="s">
        <v>64</v>
      </c>
      <c r="C3226" s="3" t="s">
        <v>64</v>
      </c>
      <c r="D3226" s="16" t="s">
        <v>64</v>
      </c>
      <c r="E3226" s="16">
        <v>0</v>
      </c>
      <c r="F3226" s="16" t="s">
        <v>64</v>
      </c>
      <c r="G3226" s="16" t="s">
        <v>64</v>
      </c>
    </row>
    <row r="3227" spans="1:7" x14ac:dyDescent="0.2">
      <c r="A3227" t="s">
        <v>64</v>
      </c>
      <c r="B3227" t="s">
        <v>64</v>
      </c>
      <c r="C3227" s="3" t="s">
        <v>64</v>
      </c>
      <c r="D3227" s="16" t="s">
        <v>64</v>
      </c>
      <c r="E3227" s="16">
        <v>0</v>
      </c>
      <c r="F3227" s="16" t="s">
        <v>64</v>
      </c>
      <c r="G3227" s="16" t="s">
        <v>64</v>
      </c>
    </row>
    <row r="3228" spans="1:7" x14ac:dyDescent="0.2">
      <c r="A3228" t="s">
        <v>64</v>
      </c>
      <c r="B3228" t="s">
        <v>64</v>
      </c>
      <c r="C3228" s="3" t="s">
        <v>64</v>
      </c>
      <c r="D3228" s="16" t="s">
        <v>64</v>
      </c>
      <c r="E3228" s="16">
        <v>0</v>
      </c>
      <c r="F3228" s="16" t="s">
        <v>64</v>
      </c>
      <c r="G3228" s="16" t="s">
        <v>64</v>
      </c>
    </row>
    <row r="3229" spans="1:7" x14ac:dyDescent="0.2">
      <c r="A3229" t="s">
        <v>64</v>
      </c>
      <c r="B3229" t="s">
        <v>64</v>
      </c>
      <c r="C3229" s="3" t="s">
        <v>64</v>
      </c>
      <c r="D3229" s="16" t="s">
        <v>64</v>
      </c>
      <c r="E3229" s="16">
        <v>0</v>
      </c>
      <c r="F3229" s="16" t="s">
        <v>64</v>
      </c>
      <c r="G3229" s="16" t="s">
        <v>64</v>
      </c>
    </row>
    <row r="3230" spans="1:7" x14ac:dyDescent="0.2">
      <c r="A3230" t="s">
        <v>64</v>
      </c>
      <c r="B3230" t="s">
        <v>64</v>
      </c>
      <c r="C3230" s="3" t="s">
        <v>64</v>
      </c>
      <c r="D3230" s="16" t="s">
        <v>64</v>
      </c>
      <c r="E3230" s="16">
        <v>0</v>
      </c>
      <c r="F3230" s="16" t="s">
        <v>64</v>
      </c>
      <c r="G3230" s="16" t="s">
        <v>64</v>
      </c>
    </row>
    <row r="3231" spans="1:7" x14ac:dyDescent="0.2">
      <c r="A3231" t="s">
        <v>64</v>
      </c>
      <c r="B3231" t="s">
        <v>64</v>
      </c>
      <c r="C3231" s="3" t="s">
        <v>64</v>
      </c>
      <c r="D3231" s="16" t="s">
        <v>64</v>
      </c>
      <c r="E3231" s="16">
        <v>0</v>
      </c>
      <c r="F3231" s="16" t="s">
        <v>64</v>
      </c>
      <c r="G3231" s="16" t="s">
        <v>64</v>
      </c>
    </row>
    <row r="3232" spans="1:7" x14ac:dyDescent="0.2">
      <c r="A3232" t="s">
        <v>64</v>
      </c>
      <c r="B3232" t="s">
        <v>64</v>
      </c>
      <c r="C3232" s="3" t="s">
        <v>64</v>
      </c>
      <c r="D3232" s="16" t="s">
        <v>64</v>
      </c>
      <c r="E3232" s="16">
        <v>0</v>
      </c>
      <c r="F3232" s="16" t="s">
        <v>64</v>
      </c>
      <c r="G3232" s="16" t="s">
        <v>64</v>
      </c>
    </row>
    <row r="3233" spans="1:7" x14ac:dyDescent="0.2">
      <c r="A3233" t="s">
        <v>64</v>
      </c>
      <c r="B3233" t="s">
        <v>64</v>
      </c>
      <c r="C3233" s="3" t="s">
        <v>64</v>
      </c>
      <c r="D3233" s="16" t="s">
        <v>64</v>
      </c>
      <c r="E3233" s="16">
        <v>0</v>
      </c>
      <c r="F3233" s="16" t="s">
        <v>64</v>
      </c>
      <c r="G3233" s="16" t="s">
        <v>64</v>
      </c>
    </row>
    <row r="3234" spans="1:7" x14ac:dyDescent="0.2">
      <c r="A3234" t="s">
        <v>64</v>
      </c>
      <c r="B3234" t="s">
        <v>64</v>
      </c>
      <c r="C3234" s="3" t="s">
        <v>64</v>
      </c>
      <c r="D3234" s="16" t="s">
        <v>64</v>
      </c>
      <c r="E3234" s="16">
        <v>0</v>
      </c>
      <c r="F3234" s="16" t="s">
        <v>64</v>
      </c>
      <c r="G3234" s="16" t="s">
        <v>64</v>
      </c>
    </row>
    <row r="3235" spans="1:7" x14ac:dyDescent="0.2">
      <c r="A3235" t="s">
        <v>64</v>
      </c>
      <c r="B3235" t="s">
        <v>64</v>
      </c>
      <c r="C3235" s="3" t="s">
        <v>64</v>
      </c>
      <c r="D3235" s="16" t="s">
        <v>64</v>
      </c>
      <c r="E3235" s="16">
        <v>0</v>
      </c>
      <c r="F3235" s="16" t="s">
        <v>64</v>
      </c>
      <c r="G3235" s="16" t="s">
        <v>64</v>
      </c>
    </row>
    <row r="3236" spans="1:7" x14ac:dyDescent="0.2">
      <c r="A3236" t="s">
        <v>64</v>
      </c>
      <c r="B3236" t="s">
        <v>64</v>
      </c>
      <c r="C3236" s="3" t="s">
        <v>64</v>
      </c>
      <c r="D3236" s="16" t="s">
        <v>64</v>
      </c>
      <c r="E3236" s="16">
        <v>0</v>
      </c>
      <c r="F3236" s="16" t="s">
        <v>64</v>
      </c>
      <c r="G3236" s="16" t="s">
        <v>64</v>
      </c>
    </row>
    <row r="3237" spans="1:7" x14ac:dyDescent="0.2">
      <c r="A3237" t="s">
        <v>64</v>
      </c>
      <c r="B3237" t="s">
        <v>64</v>
      </c>
      <c r="C3237" s="3" t="s">
        <v>64</v>
      </c>
      <c r="D3237" s="16" t="s">
        <v>64</v>
      </c>
      <c r="E3237" s="16">
        <v>0</v>
      </c>
      <c r="F3237" s="16" t="s">
        <v>64</v>
      </c>
      <c r="G3237" s="16" t="s">
        <v>64</v>
      </c>
    </row>
    <row r="3238" spans="1:7" x14ac:dyDescent="0.2">
      <c r="A3238" t="s">
        <v>64</v>
      </c>
      <c r="B3238" t="s">
        <v>64</v>
      </c>
      <c r="C3238" s="3" t="s">
        <v>64</v>
      </c>
      <c r="D3238" s="16" t="s">
        <v>64</v>
      </c>
      <c r="E3238" s="16">
        <v>0</v>
      </c>
      <c r="F3238" s="16" t="s">
        <v>64</v>
      </c>
      <c r="G3238" s="16" t="s">
        <v>64</v>
      </c>
    </row>
    <row r="3239" spans="1:7" x14ac:dyDescent="0.2">
      <c r="A3239" t="s">
        <v>64</v>
      </c>
      <c r="B3239" t="s">
        <v>64</v>
      </c>
      <c r="C3239" s="3" t="s">
        <v>64</v>
      </c>
      <c r="D3239" s="16" t="s">
        <v>64</v>
      </c>
      <c r="E3239" s="16">
        <v>0</v>
      </c>
      <c r="F3239" s="16" t="s">
        <v>64</v>
      </c>
      <c r="G3239" s="16" t="s">
        <v>64</v>
      </c>
    </row>
    <row r="3240" spans="1:7" x14ac:dyDescent="0.2">
      <c r="A3240" t="s">
        <v>64</v>
      </c>
      <c r="B3240" t="s">
        <v>64</v>
      </c>
      <c r="C3240" s="3" t="s">
        <v>64</v>
      </c>
      <c r="D3240" s="16" t="s">
        <v>64</v>
      </c>
      <c r="E3240" s="16">
        <v>0</v>
      </c>
      <c r="F3240" s="16" t="s">
        <v>64</v>
      </c>
      <c r="G3240" s="16" t="s">
        <v>64</v>
      </c>
    </row>
    <row r="3241" spans="1:7" x14ac:dyDescent="0.2">
      <c r="A3241" t="s">
        <v>64</v>
      </c>
      <c r="B3241" t="s">
        <v>64</v>
      </c>
      <c r="C3241" s="3" t="s">
        <v>64</v>
      </c>
      <c r="D3241" s="16" t="s">
        <v>64</v>
      </c>
      <c r="E3241" s="16">
        <v>0</v>
      </c>
      <c r="F3241" s="16" t="s">
        <v>64</v>
      </c>
      <c r="G3241" s="16" t="s">
        <v>64</v>
      </c>
    </row>
    <row r="3242" spans="1:7" x14ac:dyDescent="0.2">
      <c r="A3242" t="s">
        <v>64</v>
      </c>
      <c r="B3242" t="s">
        <v>64</v>
      </c>
      <c r="C3242" s="3" t="s">
        <v>64</v>
      </c>
      <c r="D3242" s="16" t="s">
        <v>64</v>
      </c>
      <c r="E3242" s="16">
        <v>0</v>
      </c>
      <c r="F3242" s="16" t="s">
        <v>64</v>
      </c>
      <c r="G3242" s="16" t="s">
        <v>64</v>
      </c>
    </row>
    <row r="3243" spans="1:7" x14ac:dyDescent="0.2">
      <c r="A3243" t="s">
        <v>64</v>
      </c>
      <c r="B3243" t="s">
        <v>64</v>
      </c>
      <c r="C3243" s="3" t="s">
        <v>64</v>
      </c>
      <c r="D3243" s="16" t="s">
        <v>64</v>
      </c>
      <c r="E3243" s="16">
        <v>0</v>
      </c>
      <c r="F3243" s="16" t="s">
        <v>64</v>
      </c>
      <c r="G3243" s="16" t="s">
        <v>64</v>
      </c>
    </row>
    <row r="3244" spans="1:7" x14ac:dyDescent="0.2">
      <c r="A3244" t="s">
        <v>64</v>
      </c>
      <c r="B3244" t="s">
        <v>64</v>
      </c>
      <c r="C3244" s="3" t="s">
        <v>64</v>
      </c>
      <c r="D3244" s="16" t="s">
        <v>64</v>
      </c>
      <c r="E3244" s="16">
        <v>0</v>
      </c>
      <c r="F3244" s="16" t="s">
        <v>64</v>
      </c>
      <c r="G3244" s="16" t="s">
        <v>64</v>
      </c>
    </row>
    <row r="3245" spans="1:7" x14ac:dyDescent="0.2">
      <c r="A3245" t="s">
        <v>64</v>
      </c>
      <c r="B3245" t="s">
        <v>64</v>
      </c>
      <c r="C3245" s="3" t="s">
        <v>64</v>
      </c>
      <c r="D3245" s="16" t="s">
        <v>64</v>
      </c>
      <c r="E3245" s="16">
        <v>0</v>
      </c>
      <c r="F3245" s="16" t="s">
        <v>64</v>
      </c>
      <c r="G3245" s="16" t="s">
        <v>64</v>
      </c>
    </row>
    <row r="3246" spans="1:7" x14ac:dyDescent="0.2">
      <c r="A3246" t="s">
        <v>64</v>
      </c>
      <c r="B3246" t="s">
        <v>64</v>
      </c>
      <c r="C3246" s="3" t="s">
        <v>64</v>
      </c>
      <c r="D3246" s="16" t="s">
        <v>64</v>
      </c>
      <c r="E3246" s="16">
        <v>0</v>
      </c>
      <c r="F3246" s="16" t="s">
        <v>64</v>
      </c>
      <c r="G3246" s="16" t="s">
        <v>64</v>
      </c>
    </row>
    <row r="3247" spans="1:7" x14ac:dyDescent="0.2">
      <c r="A3247" t="s">
        <v>64</v>
      </c>
      <c r="B3247" t="s">
        <v>64</v>
      </c>
      <c r="C3247" s="3" t="s">
        <v>64</v>
      </c>
      <c r="D3247" s="16" t="s">
        <v>64</v>
      </c>
      <c r="E3247" s="16">
        <v>0</v>
      </c>
      <c r="F3247" s="16" t="s">
        <v>64</v>
      </c>
      <c r="G3247" s="16" t="s">
        <v>64</v>
      </c>
    </row>
    <row r="3248" spans="1:7" x14ac:dyDescent="0.2">
      <c r="A3248" t="s">
        <v>64</v>
      </c>
      <c r="B3248" t="s">
        <v>64</v>
      </c>
      <c r="C3248" s="3" t="s">
        <v>64</v>
      </c>
      <c r="D3248" s="16" t="s">
        <v>64</v>
      </c>
      <c r="E3248" s="16">
        <v>0</v>
      </c>
      <c r="F3248" s="16" t="s">
        <v>64</v>
      </c>
      <c r="G3248" s="16" t="s">
        <v>64</v>
      </c>
    </row>
    <row r="3249" spans="1:7" x14ac:dyDescent="0.2">
      <c r="A3249" t="s">
        <v>64</v>
      </c>
      <c r="B3249" t="s">
        <v>64</v>
      </c>
      <c r="C3249" s="3" t="s">
        <v>64</v>
      </c>
      <c r="D3249" s="16" t="s">
        <v>64</v>
      </c>
      <c r="E3249" s="16">
        <v>0</v>
      </c>
      <c r="F3249" s="16" t="s">
        <v>64</v>
      </c>
      <c r="G3249" s="16" t="s">
        <v>64</v>
      </c>
    </row>
    <row r="3250" spans="1:7" x14ac:dyDescent="0.2">
      <c r="A3250" t="s">
        <v>64</v>
      </c>
      <c r="B3250" t="s">
        <v>64</v>
      </c>
      <c r="C3250" s="3" t="s">
        <v>64</v>
      </c>
      <c r="D3250" s="16" t="s">
        <v>64</v>
      </c>
      <c r="E3250" s="16">
        <v>0</v>
      </c>
      <c r="F3250" s="16" t="s">
        <v>64</v>
      </c>
      <c r="G3250" s="16" t="s">
        <v>64</v>
      </c>
    </row>
    <row r="3251" spans="1:7" x14ac:dyDescent="0.2">
      <c r="A3251" t="s">
        <v>64</v>
      </c>
      <c r="B3251" t="s">
        <v>64</v>
      </c>
      <c r="C3251" s="3" t="s">
        <v>64</v>
      </c>
      <c r="D3251" s="16" t="s">
        <v>64</v>
      </c>
      <c r="E3251" s="16">
        <v>0</v>
      </c>
      <c r="F3251" s="16" t="s">
        <v>64</v>
      </c>
      <c r="G3251" s="16" t="s">
        <v>64</v>
      </c>
    </row>
    <row r="3252" spans="1:7" x14ac:dyDescent="0.2">
      <c r="A3252" t="s">
        <v>64</v>
      </c>
      <c r="B3252" t="s">
        <v>64</v>
      </c>
      <c r="C3252" s="3" t="s">
        <v>64</v>
      </c>
      <c r="D3252" s="16" t="s">
        <v>64</v>
      </c>
      <c r="E3252" s="16">
        <v>0</v>
      </c>
      <c r="F3252" s="16" t="s">
        <v>64</v>
      </c>
      <c r="G3252" s="16" t="s">
        <v>64</v>
      </c>
    </row>
    <row r="3253" spans="1:7" x14ac:dyDescent="0.2">
      <c r="A3253" t="s">
        <v>64</v>
      </c>
      <c r="B3253" t="s">
        <v>64</v>
      </c>
      <c r="C3253" s="3" t="s">
        <v>64</v>
      </c>
      <c r="D3253" s="16" t="s">
        <v>64</v>
      </c>
      <c r="E3253" s="16">
        <v>0</v>
      </c>
      <c r="F3253" s="16" t="s">
        <v>64</v>
      </c>
      <c r="G3253" s="16" t="s">
        <v>64</v>
      </c>
    </row>
    <row r="3254" spans="1:7" x14ac:dyDescent="0.2">
      <c r="A3254" t="s">
        <v>64</v>
      </c>
      <c r="B3254" t="s">
        <v>64</v>
      </c>
      <c r="C3254" s="3" t="s">
        <v>64</v>
      </c>
      <c r="D3254" s="16" t="s">
        <v>64</v>
      </c>
      <c r="E3254" s="16">
        <v>0</v>
      </c>
      <c r="F3254" s="16" t="s">
        <v>64</v>
      </c>
      <c r="G3254" s="16" t="s">
        <v>64</v>
      </c>
    </row>
    <row r="3255" spans="1:7" x14ac:dyDescent="0.2">
      <c r="A3255" t="s">
        <v>64</v>
      </c>
      <c r="B3255" t="s">
        <v>64</v>
      </c>
      <c r="C3255" s="3" t="s">
        <v>64</v>
      </c>
      <c r="D3255" s="16" t="s">
        <v>64</v>
      </c>
      <c r="E3255" s="16">
        <v>0</v>
      </c>
      <c r="F3255" s="16" t="s">
        <v>64</v>
      </c>
      <c r="G3255" s="16" t="s">
        <v>64</v>
      </c>
    </row>
    <row r="3256" spans="1:7" x14ac:dyDescent="0.2">
      <c r="A3256" t="s">
        <v>64</v>
      </c>
      <c r="B3256" t="s">
        <v>64</v>
      </c>
      <c r="C3256" s="3" t="s">
        <v>64</v>
      </c>
      <c r="D3256" s="16" t="s">
        <v>64</v>
      </c>
      <c r="E3256" s="16">
        <v>0</v>
      </c>
      <c r="F3256" s="16" t="s">
        <v>64</v>
      </c>
      <c r="G3256" s="16" t="s">
        <v>64</v>
      </c>
    </row>
    <row r="3257" spans="1:7" x14ac:dyDescent="0.2">
      <c r="A3257" t="s">
        <v>64</v>
      </c>
      <c r="B3257" t="s">
        <v>64</v>
      </c>
      <c r="C3257" s="3" t="s">
        <v>64</v>
      </c>
      <c r="D3257" s="16" t="s">
        <v>64</v>
      </c>
      <c r="E3257" s="16">
        <v>0</v>
      </c>
      <c r="F3257" s="16" t="s">
        <v>64</v>
      </c>
      <c r="G3257" s="16" t="s">
        <v>64</v>
      </c>
    </row>
    <row r="3258" spans="1:7" x14ac:dyDescent="0.2">
      <c r="A3258" t="s">
        <v>64</v>
      </c>
      <c r="B3258" t="s">
        <v>64</v>
      </c>
      <c r="C3258" s="3" t="s">
        <v>64</v>
      </c>
      <c r="D3258" s="16" t="s">
        <v>64</v>
      </c>
      <c r="E3258" s="16">
        <v>0</v>
      </c>
      <c r="F3258" s="16" t="s">
        <v>64</v>
      </c>
      <c r="G3258" s="16" t="s">
        <v>64</v>
      </c>
    </row>
    <row r="3259" spans="1:7" x14ac:dyDescent="0.2">
      <c r="A3259" t="s">
        <v>64</v>
      </c>
      <c r="B3259" t="s">
        <v>64</v>
      </c>
      <c r="C3259" s="3" t="s">
        <v>64</v>
      </c>
      <c r="D3259" s="16" t="s">
        <v>64</v>
      </c>
      <c r="E3259" s="16">
        <v>0</v>
      </c>
      <c r="F3259" s="16" t="s">
        <v>64</v>
      </c>
      <c r="G3259" s="16" t="s">
        <v>64</v>
      </c>
    </row>
    <row r="3260" spans="1:7" x14ac:dyDescent="0.2">
      <c r="A3260" t="s">
        <v>64</v>
      </c>
      <c r="B3260" t="s">
        <v>64</v>
      </c>
      <c r="C3260" s="3" t="s">
        <v>64</v>
      </c>
      <c r="D3260" s="16" t="s">
        <v>64</v>
      </c>
      <c r="E3260" s="16">
        <v>0</v>
      </c>
      <c r="F3260" s="16" t="s">
        <v>64</v>
      </c>
      <c r="G3260" s="16" t="s">
        <v>64</v>
      </c>
    </row>
    <row r="3261" spans="1:7" x14ac:dyDescent="0.2">
      <c r="A3261" t="s">
        <v>64</v>
      </c>
      <c r="B3261" t="s">
        <v>64</v>
      </c>
      <c r="C3261" s="3" t="s">
        <v>64</v>
      </c>
      <c r="D3261" s="16" t="s">
        <v>64</v>
      </c>
      <c r="E3261" s="16">
        <v>0</v>
      </c>
      <c r="F3261" s="16" t="s">
        <v>64</v>
      </c>
      <c r="G3261" s="16" t="s">
        <v>64</v>
      </c>
    </row>
    <row r="3262" spans="1:7" x14ac:dyDescent="0.2">
      <c r="A3262" t="s">
        <v>64</v>
      </c>
      <c r="B3262" t="s">
        <v>64</v>
      </c>
      <c r="C3262" s="3" t="s">
        <v>64</v>
      </c>
      <c r="D3262" s="16" t="s">
        <v>64</v>
      </c>
      <c r="E3262" s="16">
        <v>0</v>
      </c>
      <c r="F3262" s="16" t="s">
        <v>64</v>
      </c>
      <c r="G3262" s="16" t="s">
        <v>64</v>
      </c>
    </row>
    <row r="3263" spans="1:7" x14ac:dyDescent="0.2">
      <c r="A3263" t="s">
        <v>64</v>
      </c>
      <c r="B3263" t="s">
        <v>64</v>
      </c>
      <c r="C3263" s="3" t="s">
        <v>64</v>
      </c>
      <c r="D3263" s="16" t="s">
        <v>64</v>
      </c>
      <c r="E3263" s="16">
        <v>0</v>
      </c>
      <c r="F3263" s="16" t="s">
        <v>64</v>
      </c>
      <c r="G3263" s="16" t="s">
        <v>64</v>
      </c>
    </row>
    <row r="3264" spans="1:7" x14ac:dyDescent="0.2">
      <c r="A3264" t="s">
        <v>64</v>
      </c>
      <c r="B3264" t="s">
        <v>64</v>
      </c>
      <c r="C3264" s="3" t="s">
        <v>64</v>
      </c>
      <c r="D3264" s="16" t="s">
        <v>64</v>
      </c>
      <c r="E3264" s="16">
        <v>0</v>
      </c>
      <c r="F3264" s="16" t="s">
        <v>64</v>
      </c>
      <c r="G3264" s="16" t="s">
        <v>64</v>
      </c>
    </row>
    <row r="3265" spans="1:7" x14ac:dyDescent="0.2">
      <c r="A3265" t="s">
        <v>64</v>
      </c>
      <c r="B3265" t="s">
        <v>64</v>
      </c>
      <c r="C3265" s="3" t="s">
        <v>64</v>
      </c>
      <c r="D3265" s="16" t="s">
        <v>64</v>
      </c>
      <c r="E3265" s="16">
        <v>0</v>
      </c>
      <c r="F3265" s="16" t="s">
        <v>64</v>
      </c>
      <c r="G3265" s="16" t="s">
        <v>64</v>
      </c>
    </row>
    <row r="3266" spans="1:7" x14ac:dyDescent="0.2">
      <c r="A3266" t="s">
        <v>64</v>
      </c>
      <c r="B3266" t="s">
        <v>64</v>
      </c>
      <c r="C3266" s="3" t="s">
        <v>64</v>
      </c>
      <c r="D3266" s="16" t="s">
        <v>64</v>
      </c>
      <c r="E3266" s="16">
        <v>0</v>
      </c>
      <c r="F3266" s="16" t="s">
        <v>64</v>
      </c>
      <c r="G3266" s="16" t="s">
        <v>64</v>
      </c>
    </row>
    <row r="3267" spans="1:7" x14ac:dyDescent="0.2">
      <c r="A3267" t="s">
        <v>64</v>
      </c>
      <c r="B3267" t="s">
        <v>64</v>
      </c>
      <c r="C3267" s="3" t="s">
        <v>64</v>
      </c>
      <c r="D3267" s="16" t="s">
        <v>64</v>
      </c>
      <c r="E3267" s="16">
        <v>0</v>
      </c>
      <c r="F3267" s="16" t="s">
        <v>64</v>
      </c>
      <c r="G3267" s="16" t="s">
        <v>64</v>
      </c>
    </row>
    <row r="3268" spans="1:7" x14ac:dyDescent="0.2">
      <c r="A3268" t="s">
        <v>64</v>
      </c>
      <c r="B3268" t="s">
        <v>64</v>
      </c>
      <c r="C3268" s="3" t="s">
        <v>64</v>
      </c>
      <c r="D3268" s="16" t="s">
        <v>64</v>
      </c>
      <c r="E3268" s="16">
        <v>0</v>
      </c>
      <c r="F3268" s="16" t="s">
        <v>64</v>
      </c>
      <c r="G3268" s="16" t="s">
        <v>64</v>
      </c>
    </row>
    <row r="3269" spans="1:7" x14ac:dyDescent="0.2">
      <c r="A3269" t="s">
        <v>64</v>
      </c>
      <c r="B3269" t="s">
        <v>64</v>
      </c>
      <c r="C3269" s="3" t="s">
        <v>64</v>
      </c>
      <c r="D3269" s="16" t="s">
        <v>64</v>
      </c>
      <c r="E3269" s="16">
        <v>0</v>
      </c>
      <c r="F3269" s="16" t="s">
        <v>64</v>
      </c>
      <c r="G3269" s="16" t="s">
        <v>64</v>
      </c>
    </row>
    <row r="3270" spans="1:7" x14ac:dyDescent="0.2">
      <c r="A3270" t="s">
        <v>64</v>
      </c>
      <c r="B3270" t="s">
        <v>64</v>
      </c>
      <c r="C3270" s="3" t="s">
        <v>64</v>
      </c>
      <c r="D3270" s="16" t="s">
        <v>64</v>
      </c>
      <c r="E3270" s="16">
        <v>0</v>
      </c>
      <c r="F3270" s="16" t="s">
        <v>64</v>
      </c>
      <c r="G3270" s="16" t="s">
        <v>64</v>
      </c>
    </row>
    <row r="3271" spans="1:7" x14ac:dyDescent="0.2">
      <c r="A3271" t="s">
        <v>64</v>
      </c>
      <c r="B3271" t="s">
        <v>64</v>
      </c>
      <c r="C3271" s="3" t="s">
        <v>64</v>
      </c>
      <c r="D3271" s="16" t="s">
        <v>64</v>
      </c>
      <c r="E3271" s="16">
        <v>0</v>
      </c>
      <c r="F3271" s="16" t="s">
        <v>64</v>
      </c>
      <c r="G3271" s="16" t="s">
        <v>64</v>
      </c>
    </row>
    <row r="3272" spans="1:7" x14ac:dyDescent="0.2">
      <c r="A3272" t="s">
        <v>64</v>
      </c>
      <c r="B3272" t="s">
        <v>64</v>
      </c>
      <c r="C3272" s="3" t="s">
        <v>64</v>
      </c>
      <c r="D3272" s="16" t="s">
        <v>64</v>
      </c>
      <c r="E3272" s="16">
        <v>0</v>
      </c>
      <c r="F3272" s="16" t="s">
        <v>64</v>
      </c>
      <c r="G3272" s="16" t="s">
        <v>64</v>
      </c>
    </row>
    <row r="3273" spans="1:7" x14ac:dyDescent="0.2">
      <c r="A3273" t="s">
        <v>64</v>
      </c>
      <c r="B3273" t="s">
        <v>64</v>
      </c>
      <c r="C3273" s="3" t="s">
        <v>64</v>
      </c>
      <c r="D3273" s="16" t="s">
        <v>64</v>
      </c>
      <c r="E3273" s="16">
        <v>0</v>
      </c>
      <c r="F3273" s="16" t="s">
        <v>64</v>
      </c>
      <c r="G3273" s="16" t="s">
        <v>64</v>
      </c>
    </row>
    <row r="3274" spans="1:7" x14ac:dyDescent="0.2">
      <c r="A3274" t="s">
        <v>64</v>
      </c>
      <c r="B3274" t="s">
        <v>64</v>
      </c>
      <c r="C3274" s="3" t="s">
        <v>64</v>
      </c>
      <c r="D3274" s="16" t="s">
        <v>64</v>
      </c>
      <c r="E3274" s="16">
        <v>0</v>
      </c>
      <c r="F3274" s="16" t="s">
        <v>64</v>
      </c>
      <c r="G3274" s="16" t="s">
        <v>64</v>
      </c>
    </row>
    <row r="3275" spans="1:7" x14ac:dyDescent="0.2">
      <c r="A3275" t="s">
        <v>64</v>
      </c>
      <c r="B3275" t="s">
        <v>64</v>
      </c>
      <c r="C3275" s="3" t="s">
        <v>64</v>
      </c>
      <c r="D3275" s="16" t="s">
        <v>64</v>
      </c>
      <c r="E3275" s="16">
        <v>0</v>
      </c>
      <c r="F3275" s="16" t="s">
        <v>64</v>
      </c>
      <c r="G3275" s="16" t="s">
        <v>64</v>
      </c>
    </row>
    <row r="3276" spans="1:7" x14ac:dyDescent="0.2">
      <c r="A3276" t="s">
        <v>64</v>
      </c>
      <c r="B3276" t="s">
        <v>64</v>
      </c>
      <c r="C3276" s="3" t="s">
        <v>64</v>
      </c>
      <c r="D3276" s="16" t="s">
        <v>64</v>
      </c>
      <c r="E3276" s="16">
        <v>0</v>
      </c>
      <c r="F3276" s="16" t="s">
        <v>64</v>
      </c>
      <c r="G3276" s="16" t="s">
        <v>64</v>
      </c>
    </row>
    <row r="3277" spans="1:7" x14ac:dyDescent="0.2">
      <c r="A3277" t="s">
        <v>64</v>
      </c>
      <c r="B3277" t="s">
        <v>64</v>
      </c>
      <c r="C3277" s="3" t="s">
        <v>64</v>
      </c>
      <c r="D3277" s="16" t="s">
        <v>64</v>
      </c>
      <c r="E3277" s="16">
        <v>0</v>
      </c>
      <c r="F3277" s="16" t="s">
        <v>64</v>
      </c>
      <c r="G3277" s="16" t="s">
        <v>64</v>
      </c>
    </row>
    <row r="3278" spans="1:7" x14ac:dyDescent="0.2">
      <c r="A3278" t="s">
        <v>64</v>
      </c>
      <c r="B3278" t="s">
        <v>64</v>
      </c>
      <c r="C3278" s="3" t="s">
        <v>64</v>
      </c>
      <c r="D3278" s="16" t="s">
        <v>64</v>
      </c>
      <c r="E3278" s="16">
        <v>0</v>
      </c>
      <c r="F3278" s="16" t="s">
        <v>64</v>
      </c>
      <c r="G3278" s="16" t="s">
        <v>64</v>
      </c>
    </row>
    <row r="3279" spans="1:7" x14ac:dyDescent="0.2">
      <c r="A3279" t="s">
        <v>64</v>
      </c>
      <c r="B3279" t="s">
        <v>64</v>
      </c>
      <c r="C3279" s="3" t="s">
        <v>64</v>
      </c>
      <c r="D3279" s="16" t="s">
        <v>64</v>
      </c>
      <c r="E3279" s="16">
        <v>0</v>
      </c>
      <c r="F3279" s="16" t="s">
        <v>64</v>
      </c>
      <c r="G3279" s="16" t="s">
        <v>64</v>
      </c>
    </row>
    <row r="3280" spans="1:7" x14ac:dyDescent="0.2">
      <c r="A3280" t="s">
        <v>64</v>
      </c>
      <c r="B3280" t="s">
        <v>64</v>
      </c>
      <c r="C3280" s="3" t="s">
        <v>64</v>
      </c>
      <c r="D3280" s="16" t="s">
        <v>64</v>
      </c>
      <c r="E3280" s="16">
        <v>0</v>
      </c>
      <c r="F3280" s="16" t="s">
        <v>64</v>
      </c>
      <c r="G3280" s="16" t="s">
        <v>64</v>
      </c>
    </row>
    <row r="3281" spans="1:7" x14ac:dyDescent="0.2">
      <c r="A3281" t="s">
        <v>64</v>
      </c>
      <c r="B3281" t="s">
        <v>64</v>
      </c>
      <c r="C3281" s="3" t="s">
        <v>64</v>
      </c>
      <c r="D3281" s="16" t="s">
        <v>64</v>
      </c>
      <c r="E3281" s="16">
        <v>0</v>
      </c>
      <c r="F3281" s="16" t="s">
        <v>64</v>
      </c>
      <c r="G3281" s="16" t="s">
        <v>64</v>
      </c>
    </row>
    <row r="3282" spans="1:7" x14ac:dyDescent="0.2">
      <c r="A3282" t="s">
        <v>64</v>
      </c>
      <c r="B3282" t="s">
        <v>64</v>
      </c>
      <c r="C3282" s="3" t="s">
        <v>64</v>
      </c>
      <c r="D3282" s="16" t="s">
        <v>64</v>
      </c>
      <c r="E3282" s="16">
        <v>0</v>
      </c>
      <c r="F3282" s="16" t="s">
        <v>64</v>
      </c>
      <c r="G3282" s="16" t="s">
        <v>64</v>
      </c>
    </row>
    <row r="3283" spans="1:7" x14ac:dyDescent="0.2">
      <c r="A3283" t="s">
        <v>64</v>
      </c>
      <c r="B3283" t="s">
        <v>64</v>
      </c>
      <c r="C3283" s="3" t="s">
        <v>64</v>
      </c>
      <c r="D3283" s="16" t="s">
        <v>64</v>
      </c>
      <c r="E3283" s="16">
        <v>0</v>
      </c>
      <c r="F3283" s="16" t="s">
        <v>64</v>
      </c>
      <c r="G3283" s="16" t="s">
        <v>64</v>
      </c>
    </row>
    <row r="3284" spans="1:7" x14ac:dyDescent="0.2">
      <c r="A3284" t="s">
        <v>64</v>
      </c>
      <c r="B3284" t="s">
        <v>64</v>
      </c>
      <c r="C3284" s="3" t="s">
        <v>64</v>
      </c>
      <c r="D3284" s="16" t="s">
        <v>64</v>
      </c>
      <c r="E3284" s="16">
        <v>0</v>
      </c>
      <c r="F3284" s="16" t="s">
        <v>64</v>
      </c>
      <c r="G3284" s="16" t="s">
        <v>64</v>
      </c>
    </row>
    <row r="3285" spans="1:7" x14ac:dyDescent="0.2">
      <c r="A3285" t="s">
        <v>64</v>
      </c>
      <c r="B3285" t="s">
        <v>64</v>
      </c>
      <c r="C3285" s="3" t="s">
        <v>64</v>
      </c>
      <c r="D3285" s="16" t="s">
        <v>64</v>
      </c>
      <c r="E3285" s="16">
        <v>0</v>
      </c>
      <c r="F3285" s="16" t="s">
        <v>64</v>
      </c>
      <c r="G3285" s="16" t="s">
        <v>64</v>
      </c>
    </row>
    <row r="3286" spans="1:7" x14ac:dyDescent="0.2">
      <c r="A3286" t="s">
        <v>64</v>
      </c>
      <c r="B3286" t="s">
        <v>64</v>
      </c>
      <c r="C3286" s="3" t="s">
        <v>64</v>
      </c>
      <c r="D3286" s="16" t="s">
        <v>64</v>
      </c>
      <c r="E3286" s="16">
        <v>0</v>
      </c>
      <c r="F3286" s="16" t="s">
        <v>64</v>
      </c>
      <c r="G3286" s="16" t="s">
        <v>64</v>
      </c>
    </row>
    <row r="3287" spans="1:7" x14ac:dyDescent="0.2">
      <c r="A3287" t="s">
        <v>64</v>
      </c>
      <c r="B3287" t="s">
        <v>64</v>
      </c>
      <c r="C3287" s="3" t="s">
        <v>64</v>
      </c>
      <c r="D3287" s="16" t="s">
        <v>64</v>
      </c>
      <c r="E3287" s="16">
        <v>0</v>
      </c>
      <c r="F3287" s="16" t="s">
        <v>64</v>
      </c>
      <c r="G3287" s="16" t="s">
        <v>64</v>
      </c>
    </row>
    <row r="3288" spans="1:7" x14ac:dyDescent="0.2">
      <c r="A3288" t="s">
        <v>64</v>
      </c>
      <c r="B3288" t="s">
        <v>64</v>
      </c>
      <c r="C3288" s="3" t="s">
        <v>64</v>
      </c>
      <c r="D3288" s="16" t="s">
        <v>64</v>
      </c>
      <c r="E3288" s="16">
        <v>0</v>
      </c>
      <c r="F3288" s="16" t="s">
        <v>64</v>
      </c>
      <c r="G3288" s="16" t="s">
        <v>64</v>
      </c>
    </row>
    <row r="3289" spans="1:7" x14ac:dyDescent="0.2">
      <c r="A3289" t="s">
        <v>64</v>
      </c>
      <c r="B3289" t="s">
        <v>64</v>
      </c>
      <c r="C3289" s="3" t="s">
        <v>64</v>
      </c>
      <c r="D3289" s="16" t="s">
        <v>64</v>
      </c>
      <c r="E3289" s="16">
        <v>0</v>
      </c>
      <c r="F3289" s="16" t="s">
        <v>64</v>
      </c>
      <c r="G3289" s="16" t="s">
        <v>64</v>
      </c>
    </row>
    <row r="3290" spans="1:7" x14ac:dyDescent="0.2">
      <c r="A3290" t="s">
        <v>64</v>
      </c>
      <c r="B3290" t="s">
        <v>64</v>
      </c>
      <c r="C3290" s="3" t="s">
        <v>64</v>
      </c>
      <c r="D3290" s="16" t="s">
        <v>64</v>
      </c>
      <c r="E3290" s="16">
        <v>0</v>
      </c>
      <c r="F3290" s="16" t="s">
        <v>64</v>
      </c>
      <c r="G3290" s="16" t="s">
        <v>64</v>
      </c>
    </row>
    <row r="3291" spans="1:7" x14ac:dyDescent="0.2">
      <c r="A3291" t="s">
        <v>64</v>
      </c>
      <c r="B3291" t="s">
        <v>64</v>
      </c>
      <c r="C3291" s="3" t="s">
        <v>64</v>
      </c>
      <c r="D3291" s="16" t="s">
        <v>64</v>
      </c>
      <c r="E3291" s="16">
        <v>0</v>
      </c>
      <c r="F3291" s="16" t="s">
        <v>64</v>
      </c>
      <c r="G3291" s="16" t="s">
        <v>64</v>
      </c>
    </row>
    <row r="3292" spans="1:7" x14ac:dyDescent="0.2">
      <c r="A3292" t="s">
        <v>64</v>
      </c>
      <c r="B3292" t="s">
        <v>64</v>
      </c>
      <c r="C3292" s="3" t="s">
        <v>64</v>
      </c>
      <c r="D3292" s="16" t="s">
        <v>64</v>
      </c>
      <c r="E3292" s="16">
        <v>0</v>
      </c>
      <c r="F3292" s="16" t="s">
        <v>64</v>
      </c>
      <c r="G3292" s="16" t="s">
        <v>64</v>
      </c>
    </row>
    <row r="3293" spans="1:7" x14ac:dyDescent="0.2">
      <c r="A3293" t="s">
        <v>64</v>
      </c>
      <c r="B3293" t="s">
        <v>64</v>
      </c>
      <c r="C3293" s="3" t="s">
        <v>64</v>
      </c>
      <c r="D3293" s="16" t="s">
        <v>64</v>
      </c>
      <c r="E3293" s="16">
        <v>0</v>
      </c>
      <c r="F3293" s="16" t="s">
        <v>64</v>
      </c>
      <c r="G3293" s="16" t="s">
        <v>64</v>
      </c>
    </row>
    <row r="3294" spans="1:7" x14ac:dyDescent="0.2">
      <c r="A3294" t="s">
        <v>64</v>
      </c>
      <c r="B3294" t="s">
        <v>64</v>
      </c>
      <c r="C3294" s="3" t="s">
        <v>64</v>
      </c>
      <c r="D3294" s="16" t="s">
        <v>64</v>
      </c>
      <c r="E3294" s="16">
        <v>0</v>
      </c>
      <c r="F3294" s="16" t="s">
        <v>64</v>
      </c>
      <c r="G3294" s="16" t="s">
        <v>64</v>
      </c>
    </row>
    <row r="3295" spans="1:7" x14ac:dyDescent="0.2">
      <c r="A3295" t="s">
        <v>64</v>
      </c>
      <c r="B3295" t="s">
        <v>64</v>
      </c>
      <c r="C3295" s="3" t="s">
        <v>64</v>
      </c>
      <c r="D3295" s="16" t="s">
        <v>64</v>
      </c>
      <c r="E3295" s="16">
        <v>0</v>
      </c>
      <c r="F3295" s="16" t="s">
        <v>64</v>
      </c>
      <c r="G3295" s="16" t="s">
        <v>64</v>
      </c>
    </row>
    <row r="3296" spans="1:7" x14ac:dyDescent="0.2">
      <c r="A3296" t="s">
        <v>64</v>
      </c>
      <c r="B3296" t="s">
        <v>64</v>
      </c>
      <c r="C3296" s="3" t="s">
        <v>64</v>
      </c>
      <c r="D3296" s="16" t="s">
        <v>64</v>
      </c>
      <c r="E3296" s="16">
        <v>0</v>
      </c>
      <c r="F3296" s="16" t="s">
        <v>64</v>
      </c>
      <c r="G3296" s="16" t="s">
        <v>64</v>
      </c>
    </row>
    <row r="3297" spans="1:7" x14ac:dyDescent="0.2">
      <c r="A3297" t="s">
        <v>64</v>
      </c>
      <c r="B3297" t="s">
        <v>64</v>
      </c>
      <c r="C3297" s="3" t="s">
        <v>64</v>
      </c>
      <c r="D3297" s="16" t="s">
        <v>64</v>
      </c>
      <c r="E3297" s="16">
        <v>0</v>
      </c>
      <c r="F3297" s="16" t="s">
        <v>64</v>
      </c>
      <c r="G3297" s="16" t="s">
        <v>64</v>
      </c>
    </row>
    <row r="3298" spans="1:7" x14ac:dyDescent="0.2">
      <c r="A3298" t="s">
        <v>64</v>
      </c>
      <c r="B3298" t="s">
        <v>64</v>
      </c>
      <c r="C3298" s="3" t="s">
        <v>64</v>
      </c>
      <c r="D3298" s="16" t="s">
        <v>64</v>
      </c>
      <c r="E3298" s="16">
        <v>0</v>
      </c>
      <c r="F3298" s="16" t="s">
        <v>64</v>
      </c>
      <c r="G3298" s="16" t="s">
        <v>64</v>
      </c>
    </row>
    <row r="3299" spans="1:7" x14ac:dyDescent="0.2">
      <c r="A3299" t="s">
        <v>64</v>
      </c>
      <c r="B3299" t="s">
        <v>64</v>
      </c>
      <c r="C3299" s="3" t="s">
        <v>64</v>
      </c>
      <c r="D3299" s="16" t="s">
        <v>64</v>
      </c>
      <c r="E3299" s="16">
        <v>0</v>
      </c>
      <c r="F3299" s="16" t="s">
        <v>64</v>
      </c>
      <c r="G3299" s="16" t="s">
        <v>64</v>
      </c>
    </row>
    <row r="3300" spans="1:7" x14ac:dyDescent="0.2">
      <c r="A3300" t="s">
        <v>64</v>
      </c>
      <c r="B3300" t="s">
        <v>64</v>
      </c>
      <c r="C3300" s="3" t="s">
        <v>64</v>
      </c>
      <c r="D3300" s="16" t="s">
        <v>64</v>
      </c>
      <c r="E3300" s="16">
        <v>0</v>
      </c>
      <c r="F3300" s="16" t="s">
        <v>64</v>
      </c>
      <c r="G3300" s="16" t="s">
        <v>64</v>
      </c>
    </row>
    <row r="3301" spans="1:7" x14ac:dyDescent="0.2">
      <c r="A3301" t="s">
        <v>64</v>
      </c>
      <c r="B3301" t="s">
        <v>64</v>
      </c>
      <c r="C3301" s="3" t="s">
        <v>64</v>
      </c>
      <c r="D3301" s="16" t="s">
        <v>64</v>
      </c>
      <c r="E3301" s="16">
        <v>0</v>
      </c>
      <c r="F3301" s="16" t="s">
        <v>64</v>
      </c>
      <c r="G3301" s="16" t="s">
        <v>64</v>
      </c>
    </row>
    <row r="3302" spans="1:7" x14ac:dyDescent="0.2">
      <c r="A3302" t="s">
        <v>64</v>
      </c>
      <c r="B3302" t="s">
        <v>64</v>
      </c>
      <c r="C3302" s="3" t="s">
        <v>64</v>
      </c>
      <c r="D3302" s="16" t="s">
        <v>64</v>
      </c>
      <c r="E3302" s="16">
        <v>0</v>
      </c>
      <c r="F3302" s="16" t="s">
        <v>64</v>
      </c>
      <c r="G3302" s="16" t="s">
        <v>64</v>
      </c>
    </row>
    <row r="3303" spans="1:7" x14ac:dyDescent="0.2">
      <c r="A3303" t="s">
        <v>64</v>
      </c>
      <c r="B3303" t="s">
        <v>64</v>
      </c>
      <c r="C3303" s="3" t="s">
        <v>64</v>
      </c>
      <c r="D3303" s="16" t="s">
        <v>64</v>
      </c>
      <c r="E3303" s="16">
        <v>0</v>
      </c>
      <c r="F3303" s="16" t="s">
        <v>64</v>
      </c>
      <c r="G3303" s="16" t="s">
        <v>64</v>
      </c>
    </row>
    <row r="3304" spans="1:7" x14ac:dyDescent="0.2">
      <c r="A3304" t="s">
        <v>64</v>
      </c>
      <c r="B3304" t="s">
        <v>64</v>
      </c>
      <c r="C3304" s="3" t="s">
        <v>64</v>
      </c>
      <c r="D3304" s="16" t="s">
        <v>64</v>
      </c>
      <c r="E3304" s="16">
        <v>0</v>
      </c>
      <c r="F3304" s="16" t="s">
        <v>64</v>
      </c>
      <c r="G3304" s="16" t="s">
        <v>64</v>
      </c>
    </row>
    <row r="3305" spans="1:7" x14ac:dyDescent="0.2">
      <c r="A3305" t="s">
        <v>64</v>
      </c>
      <c r="B3305" t="s">
        <v>64</v>
      </c>
      <c r="C3305" s="3" t="s">
        <v>64</v>
      </c>
      <c r="D3305" s="16" t="s">
        <v>64</v>
      </c>
      <c r="E3305" s="16">
        <v>0</v>
      </c>
      <c r="F3305" s="16" t="s">
        <v>64</v>
      </c>
      <c r="G3305" s="16" t="s">
        <v>64</v>
      </c>
    </row>
    <row r="3306" spans="1:7" x14ac:dyDescent="0.2">
      <c r="A3306" t="s">
        <v>64</v>
      </c>
      <c r="B3306" t="s">
        <v>64</v>
      </c>
      <c r="C3306" s="3" t="s">
        <v>64</v>
      </c>
      <c r="D3306" s="16" t="s">
        <v>64</v>
      </c>
      <c r="E3306" s="16">
        <v>0</v>
      </c>
      <c r="F3306" s="16" t="s">
        <v>64</v>
      </c>
      <c r="G3306" s="16" t="s">
        <v>64</v>
      </c>
    </row>
    <row r="3307" spans="1:7" x14ac:dyDescent="0.2">
      <c r="A3307" t="s">
        <v>64</v>
      </c>
      <c r="B3307" t="s">
        <v>64</v>
      </c>
      <c r="C3307" s="3" t="s">
        <v>64</v>
      </c>
      <c r="D3307" s="16" t="s">
        <v>64</v>
      </c>
      <c r="E3307" s="16">
        <v>0</v>
      </c>
      <c r="F3307" s="16" t="s">
        <v>64</v>
      </c>
      <c r="G3307" s="16" t="s">
        <v>64</v>
      </c>
    </row>
    <row r="3308" spans="1:7" x14ac:dyDescent="0.2">
      <c r="A3308" t="s">
        <v>64</v>
      </c>
      <c r="B3308" t="s">
        <v>64</v>
      </c>
      <c r="C3308" s="3" t="s">
        <v>64</v>
      </c>
      <c r="D3308" s="16" t="s">
        <v>64</v>
      </c>
      <c r="E3308" s="16">
        <v>0</v>
      </c>
      <c r="F3308" s="16" t="s">
        <v>64</v>
      </c>
      <c r="G3308" s="16" t="s">
        <v>64</v>
      </c>
    </row>
    <row r="3309" spans="1:7" x14ac:dyDescent="0.2">
      <c r="A3309" t="s">
        <v>64</v>
      </c>
      <c r="B3309" t="s">
        <v>64</v>
      </c>
      <c r="C3309" s="3" t="s">
        <v>64</v>
      </c>
      <c r="D3309" s="16" t="s">
        <v>64</v>
      </c>
      <c r="E3309" s="16">
        <v>0</v>
      </c>
      <c r="F3309" s="16" t="s">
        <v>64</v>
      </c>
      <c r="G3309" s="16" t="s">
        <v>64</v>
      </c>
    </row>
    <row r="3310" spans="1:7" x14ac:dyDescent="0.2">
      <c r="A3310" t="s">
        <v>64</v>
      </c>
      <c r="B3310" t="s">
        <v>64</v>
      </c>
      <c r="C3310" s="3" t="s">
        <v>64</v>
      </c>
      <c r="D3310" s="16" t="s">
        <v>64</v>
      </c>
      <c r="E3310" s="16">
        <v>0</v>
      </c>
      <c r="F3310" s="16" t="s">
        <v>64</v>
      </c>
      <c r="G3310" s="16" t="s">
        <v>64</v>
      </c>
    </row>
    <row r="3311" spans="1:7" x14ac:dyDescent="0.2">
      <c r="A3311" t="s">
        <v>64</v>
      </c>
      <c r="B3311" t="s">
        <v>64</v>
      </c>
      <c r="C3311" s="3" t="s">
        <v>64</v>
      </c>
      <c r="D3311" s="16" t="s">
        <v>64</v>
      </c>
      <c r="E3311" s="16">
        <v>0</v>
      </c>
      <c r="F3311" s="16" t="s">
        <v>64</v>
      </c>
      <c r="G3311" s="16" t="s">
        <v>64</v>
      </c>
    </row>
    <row r="3312" spans="1:7" x14ac:dyDescent="0.2">
      <c r="A3312" t="s">
        <v>64</v>
      </c>
      <c r="B3312" t="s">
        <v>64</v>
      </c>
      <c r="C3312" s="3" t="s">
        <v>64</v>
      </c>
      <c r="D3312" s="16" t="s">
        <v>64</v>
      </c>
      <c r="E3312" s="16">
        <v>0</v>
      </c>
      <c r="F3312" s="16" t="s">
        <v>64</v>
      </c>
      <c r="G3312" s="16" t="s">
        <v>64</v>
      </c>
    </row>
    <row r="3313" spans="1:7" x14ac:dyDescent="0.2">
      <c r="A3313" t="s">
        <v>64</v>
      </c>
      <c r="B3313" t="s">
        <v>64</v>
      </c>
      <c r="C3313" s="3" t="s">
        <v>64</v>
      </c>
      <c r="D3313" s="16" t="s">
        <v>64</v>
      </c>
      <c r="E3313" s="16">
        <v>0</v>
      </c>
      <c r="F3313" s="16" t="s">
        <v>64</v>
      </c>
      <c r="G3313" s="16" t="s">
        <v>64</v>
      </c>
    </row>
    <row r="3314" spans="1:7" x14ac:dyDescent="0.2">
      <c r="A3314" t="s">
        <v>64</v>
      </c>
      <c r="B3314" t="s">
        <v>64</v>
      </c>
      <c r="C3314" s="3" t="s">
        <v>64</v>
      </c>
      <c r="D3314" s="16" t="s">
        <v>64</v>
      </c>
      <c r="E3314" s="16">
        <v>0</v>
      </c>
      <c r="F3314" s="16" t="s">
        <v>64</v>
      </c>
      <c r="G3314" s="16" t="s">
        <v>64</v>
      </c>
    </row>
    <row r="3315" spans="1:7" x14ac:dyDescent="0.2">
      <c r="A3315" t="s">
        <v>64</v>
      </c>
      <c r="B3315" t="s">
        <v>64</v>
      </c>
      <c r="C3315" s="3" t="s">
        <v>64</v>
      </c>
      <c r="D3315" s="16" t="s">
        <v>64</v>
      </c>
      <c r="E3315" s="16">
        <v>0</v>
      </c>
      <c r="F3315" s="16" t="s">
        <v>64</v>
      </c>
      <c r="G3315" s="16" t="s">
        <v>64</v>
      </c>
    </row>
    <row r="3316" spans="1:7" x14ac:dyDescent="0.2">
      <c r="A3316" t="s">
        <v>64</v>
      </c>
      <c r="B3316" t="s">
        <v>64</v>
      </c>
      <c r="C3316" s="3" t="s">
        <v>64</v>
      </c>
      <c r="D3316" s="16" t="s">
        <v>64</v>
      </c>
      <c r="E3316" s="16">
        <v>0</v>
      </c>
      <c r="F3316" s="16" t="s">
        <v>64</v>
      </c>
      <c r="G3316" s="16" t="s">
        <v>64</v>
      </c>
    </row>
    <row r="3317" spans="1:7" x14ac:dyDescent="0.2">
      <c r="A3317" t="s">
        <v>64</v>
      </c>
      <c r="B3317" t="s">
        <v>64</v>
      </c>
      <c r="C3317" s="3" t="s">
        <v>64</v>
      </c>
      <c r="D3317" s="16" t="s">
        <v>64</v>
      </c>
      <c r="E3317" s="16">
        <v>0</v>
      </c>
      <c r="F3317" s="16" t="s">
        <v>64</v>
      </c>
      <c r="G3317" s="16" t="s">
        <v>64</v>
      </c>
    </row>
    <row r="3318" spans="1:7" x14ac:dyDescent="0.2">
      <c r="A3318" t="s">
        <v>64</v>
      </c>
      <c r="B3318" t="s">
        <v>64</v>
      </c>
      <c r="C3318" s="3" t="s">
        <v>64</v>
      </c>
      <c r="D3318" s="16" t="s">
        <v>64</v>
      </c>
      <c r="E3318" s="16">
        <v>0</v>
      </c>
      <c r="F3318" s="16" t="s">
        <v>64</v>
      </c>
      <c r="G3318" s="16" t="s">
        <v>64</v>
      </c>
    </row>
    <row r="3319" spans="1:7" x14ac:dyDescent="0.2">
      <c r="A3319" t="s">
        <v>64</v>
      </c>
      <c r="B3319" t="s">
        <v>64</v>
      </c>
      <c r="C3319" s="3" t="s">
        <v>64</v>
      </c>
      <c r="D3319" s="16" t="s">
        <v>64</v>
      </c>
      <c r="E3319" s="16">
        <v>0</v>
      </c>
      <c r="F3319" s="16" t="s">
        <v>64</v>
      </c>
      <c r="G3319" s="16" t="s">
        <v>64</v>
      </c>
    </row>
    <row r="3320" spans="1:7" x14ac:dyDescent="0.2">
      <c r="A3320" t="s">
        <v>64</v>
      </c>
      <c r="B3320" t="s">
        <v>64</v>
      </c>
      <c r="C3320" s="3" t="s">
        <v>64</v>
      </c>
      <c r="D3320" s="16" t="s">
        <v>64</v>
      </c>
      <c r="E3320" s="16">
        <v>0</v>
      </c>
      <c r="F3320" s="16" t="s">
        <v>64</v>
      </c>
      <c r="G3320" s="16" t="s">
        <v>64</v>
      </c>
    </row>
    <row r="3321" spans="1:7" x14ac:dyDescent="0.2">
      <c r="A3321" t="s">
        <v>64</v>
      </c>
      <c r="B3321" t="s">
        <v>64</v>
      </c>
      <c r="C3321" s="3" t="s">
        <v>64</v>
      </c>
      <c r="D3321" s="16" t="s">
        <v>64</v>
      </c>
      <c r="E3321" s="16">
        <v>0</v>
      </c>
      <c r="F3321" s="16" t="s">
        <v>64</v>
      </c>
      <c r="G3321" s="16" t="s">
        <v>64</v>
      </c>
    </row>
    <row r="3322" spans="1:7" x14ac:dyDescent="0.2">
      <c r="A3322" t="s">
        <v>64</v>
      </c>
      <c r="B3322" t="s">
        <v>64</v>
      </c>
      <c r="C3322" s="3" t="s">
        <v>64</v>
      </c>
      <c r="D3322" s="16" t="s">
        <v>64</v>
      </c>
      <c r="E3322" s="16">
        <v>0</v>
      </c>
      <c r="F3322" s="16" t="s">
        <v>64</v>
      </c>
      <c r="G3322" s="16" t="s">
        <v>64</v>
      </c>
    </row>
    <row r="3323" spans="1:7" x14ac:dyDescent="0.2">
      <c r="A3323" t="s">
        <v>64</v>
      </c>
      <c r="B3323" t="s">
        <v>64</v>
      </c>
      <c r="C3323" s="3" t="s">
        <v>64</v>
      </c>
      <c r="D3323" s="16" t="s">
        <v>64</v>
      </c>
      <c r="E3323" s="16">
        <v>0</v>
      </c>
      <c r="F3323" s="16" t="s">
        <v>64</v>
      </c>
      <c r="G3323" s="16" t="s">
        <v>64</v>
      </c>
    </row>
    <row r="3324" spans="1:7" x14ac:dyDescent="0.2">
      <c r="A3324" t="s">
        <v>64</v>
      </c>
      <c r="B3324" t="s">
        <v>64</v>
      </c>
      <c r="C3324" s="3" t="s">
        <v>64</v>
      </c>
      <c r="D3324" s="16" t="s">
        <v>64</v>
      </c>
      <c r="E3324" s="16">
        <v>0</v>
      </c>
      <c r="F3324" s="16" t="s">
        <v>64</v>
      </c>
      <c r="G3324" s="16" t="s">
        <v>64</v>
      </c>
    </row>
    <row r="3325" spans="1:7" x14ac:dyDescent="0.2">
      <c r="A3325" t="s">
        <v>64</v>
      </c>
      <c r="B3325" t="s">
        <v>64</v>
      </c>
      <c r="C3325" s="3" t="s">
        <v>64</v>
      </c>
      <c r="D3325" s="16" t="s">
        <v>64</v>
      </c>
      <c r="E3325" s="16">
        <v>0</v>
      </c>
      <c r="F3325" s="16" t="s">
        <v>64</v>
      </c>
      <c r="G3325" s="16" t="s">
        <v>64</v>
      </c>
    </row>
    <row r="3326" spans="1:7" x14ac:dyDescent="0.2">
      <c r="A3326" t="s">
        <v>64</v>
      </c>
      <c r="B3326" t="s">
        <v>64</v>
      </c>
      <c r="C3326" s="3" t="s">
        <v>64</v>
      </c>
      <c r="D3326" s="16" t="s">
        <v>64</v>
      </c>
      <c r="E3326" s="16">
        <v>0</v>
      </c>
      <c r="F3326" s="16" t="s">
        <v>64</v>
      </c>
      <c r="G3326" s="16" t="s">
        <v>64</v>
      </c>
    </row>
    <row r="3327" spans="1:7" x14ac:dyDescent="0.2">
      <c r="A3327" t="s">
        <v>64</v>
      </c>
      <c r="B3327" t="s">
        <v>64</v>
      </c>
      <c r="C3327" s="3" t="s">
        <v>64</v>
      </c>
      <c r="D3327" s="16" t="s">
        <v>64</v>
      </c>
      <c r="E3327" s="16">
        <v>0</v>
      </c>
      <c r="F3327" s="16" t="s">
        <v>64</v>
      </c>
      <c r="G3327" s="16" t="s">
        <v>64</v>
      </c>
    </row>
    <row r="3328" spans="1:7" x14ac:dyDescent="0.2">
      <c r="A3328" t="s">
        <v>64</v>
      </c>
      <c r="B3328" t="s">
        <v>64</v>
      </c>
      <c r="C3328" s="3" t="s">
        <v>64</v>
      </c>
      <c r="D3328" s="16" t="s">
        <v>64</v>
      </c>
      <c r="E3328" s="16">
        <v>0</v>
      </c>
      <c r="F3328" s="16" t="s">
        <v>64</v>
      </c>
      <c r="G3328" s="16" t="s">
        <v>64</v>
      </c>
    </row>
    <row r="3329" spans="1:7" x14ac:dyDescent="0.2">
      <c r="A3329" t="s">
        <v>64</v>
      </c>
      <c r="B3329" t="s">
        <v>64</v>
      </c>
      <c r="C3329" s="3" t="s">
        <v>64</v>
      </c>
      <c r="D3329" s="16" t="s">
        <v>64</v>
      </c>
      <c r="E3329" s="16">
        <v>0</v>
      </c>
      <c r="F3329" s="16" t="s">
        <v>64</v>
      </c>
      <c r="G3329" s="16" t="s">
        <v>64</v>
      </c>
    </row>
    <row r="3330" spans="1:7" x14ac:dyDescent="0.2">
      <c r="A3330" t="s">
        <v>64</v>
      </c>
      <c r="B3330" t="s">
        <v>64</v>
      </c>
      <c r="C3330" s="3" t="s">
        <v>64</v>
      </c>
      <c r="D3330" s="16" t="s">
        <v>64</v>
      </c>
      <c r="E3330" s="16">
        <v>0</v>
      </c>
      <c r="F3330" s="16" t="s">
        <v>64</v>
      </c>
      <c r="G3330" s="16" t="s">
        <v>64</v>
      </c>
    </row>
    <row r="3331" spans="1:7" x14ac:dyDescent="0.2">
      <c r="A3331" t="s">
        <v>64</v>
      </c>
      <c r="B3331" t="s">
        <v>64</v>
      </c>
      <c r="C3331" s="3" t="s">
        <v>64</v>
      </c>
      <c r="D3331" s="16" t="s">
        <v>64</v>
      </c>
      <c r="E3331" s="16">
        <v>0</v>
      </c>
      <c r="F3331" s="16" t="s">
        <v>64</v>
      </c>
      <c r="G3331" s="16" t="s">
        <v>64</v>
      </c>
    </row>
    <row r="3332" spans="1:7" x14ac:dyDescent="0.2">
      <c r="A3332" t="s">
        <v>64</v>
      </c>
      <c r="B3332" t="s">
        <v>64</v>
      </c>
      <c r="C3332" s="3" t="s">
        <v>64</v>
      </c>
      <c r="D3332" s="16" t="s">
        <v>64</v>
      </c>
      <c r="E3332" s="16">
        <v>0</v>
      </c>
      <c r="F3332" s="16" t="s">
        <v>64</v>
      </c>
      <c r="G3332" s="16" t="s">
        <v>64</v>
      </c>
    </row>
    <row r="3333" spans="1:7" x14ac:dyDescent="0.2">
      <c r="A3333" t="s">
        <v>64</v>
      </c>
      <c r="B3333" t="s">
        <v>64</v>
      </c>
      <c r="C3333" s="3" t="s">
        <v>64</v>
      </c>
      <c r="D3333" s="16" t="s">
        <v>64</v>
      </c>
      <c r="E3333" s="16">
        <v>0</v>
      </c>
      <c r="F3333" s="16" t="s">
        <v>64</v>
      </c>
      <c r="G3333" s="16" t="s">
        <v>64</v>
      </c>
    </row>
    <row r="3334" spans="1:7" x14ac:dyDescent="0.2">
      <c r="A3334" t="s">
        <v>64</v>
      </c>
      <c r="B3334" t="s">
        <v>64</v>
      </c>
      <c r="C3334" s="3" t="s">
        <v>64</v>
      </c>
      <c r="D3334" s="16" t="s">
        <v>64</v>
      </c>
      <c r="E3334" s="16">
        <v>0</v>
      </c>
      <c r="F3334" s="16" t="s">
        <v>64</v>
      </c>
      <c r="G3334" s="16" t="s">
        <v>64</v>
      </c>
    </row>
    <row r="3335" spans="1:7" x14ac:dyDescent="0.2">
      <c r="A3335" t="s">
        <v>64</v>
      </c>
      <c r="B3335" t="s">
        <v>64</v>
      </c>
      <c r="C3335" s="3" t="s">
        <v>64</v>
      </c>
      <c r="D3335" s="16" t="s">
        <v>64</v>
      </c>
      <c r="E3335" s="16">
        <v>0</v>
      </c>
      <c r="F3335" s="16" t="s">
        <v>64</v>
      </c>
      <c r="G3335" s="16" t="s">
        <v>64</v>
      </c>
    </row>
    <row r="3336" spans="1:7" x14ac:dyDescent="0.2">
      <c r="A3336" t="s">
        <v>64</v>
      </c>
      <c r="B3336" t="s">
        <v>64</v>
      </c>
      <c r="C3336" s="3" t="s">
        <v>64</v>
      </c>
      <c r="D3336" s="16" t="s">
        <v>64</v>
      </c>
      <c r="E3336" s="16">
        <v>0</v>
      </c>
      <c r="F3336" s="16" t="s">
        <v>64</v>
      </c>
      <c r="G3336" s="16" t="s">
        <v>64</v>
      </c>
    </row>
    <row r="3337" spans="1:7" x14ac:dyDescent="0.2">
      <c r="A3337" t="s">
        <v>64</v>
      </c>
      <c r="B3337" t="s">
        <v>64</v>
      </c>
      <c r="C3337" s="3" t="s">
        <v>64</v>
      </c>
      <c r="D3337" s="16" t="s">
        <v>64</v>
      </c>
      <c r="E3337" s="16">
        <v>0</v>
      </c>
      <c r="F3337" s="16" t="s">
        <v>64</v>
      </c>
      <c r="G3337" s="16" t="s">
        <v>64</v>
      </c>
    </row>
    <row r="3338" spans="1:7" x14ac:dyDescent="0.2">
      <c r="A3338" t="s">
        <v>64</v>
      </c>
      <c r="B3338" t="s">
        <v>64</v>
      </c>
      <c r="C3338" s="3" t="s">
        <v>64</v>
      </c>
      <c r="D3338" s="16" t="s">
        <v>64</v>
      </c>
      <c r="E3338" s="16">
        <v>0</v>
      </c>
      <c r="F3338" s="16" t="s">
        <v>64</v>
      </c>
      <c r="G3338" s="16" t="s">
        <v>64</v>
      </c>
    </row>
    <row r="3339" spans="1:7" x14ac:dyDescent="0.2">
      <c r="A3339" t="s">
        <v>64</v>
      </c>
      <c r="B3339" t="s">
        <v>64</v>
      </c>
      <c r="C3339" s="3" t="s">
        <v>64</v>
      </c>
      <c r="D3339" s="16" t="s">
        <v>64</v>
      </c>
      <c r="E3339" s="16">
        <v>0</v>
      </c>
      <c r="F3339" s="16" t="s">
        <v>64</v>
      </c>
      <c r="G3339" s="16" t="s">
        <v>64</v>
      </c>
    </row>
    <row r="3340" spans="1:7" x14ac:dyDescent="0.2">
      <c r="A3340" t="s">
        <v>64</v>
      </c>
      <c r="B3340" t="s">
        <v>64</v>
      </c>
      <c r="C3340" s="3" t="s">
        <v>64</v>
      </c>
      <c r="D3340" s="16" t="s">
        <v>64</v>
      </c>
      <c r="E3340" s="16">
        <v>0</v>
      </c>
      <c r="F3340" s="16" t="s">
        <v>64</v>
      </c>
      <c r="G3340" s="16" t="s">
        <v>64</v>
      </c>
    </row>
    <row r="3341" spans="1:7" x14ac:dyDescent="0.2">
      <c r="A3341" t="s">
        <v>64</v>
      </c>
      <c r="B3341" t="s">
        <v>64</v>
      </c>
      <c r="C3341" s="3" t="s">
        <v>64</v>
      </c>
      <c r="D3341" s="16" t="s">
        <v>64</v>
      </c>
      <c r="E3341" s="16">
        <v>0</v>
      </c>
      <c r="F3341" s="16" t="s">
        <v>64</v>
      </c>
      <c r="G3341" s="16" t="s">
        <v>64</v>
      </c>
    </row>
    <row r="3342" spans="1:7" x14ac:dyDescent="0.2">
      <c r="A3342" t="s">
        <v>64</v>
      </c>
      <c r="B3342" t="s">
        <v>64</v>
      </c>
      <c r="C3342" s="3" t="s">
        <v>64</v>
      </c>
      <c r="D3342" s="16" t="s">
        <v>64</v>
      </c>
      <c r="E3342" s="16">
        <v>0</v>
      </c>
      <c r="F3342" s="16" t="s">
        <v>64</v>
      </c>
      <c r="G3342" s="16" t="s">
        <v>64</v>
      </c>
    </row>
    <row r="3343" spans="1:7" x14ac:dyDescent="0.2">
      <c r="A3343" t="s">
        <v>64</v>
      </c>
      <c r="B3343" t="s">
        <v>64</v>
      </c>
      <c r="C3343" s="3" t="s">
        <v>64</v>
      </c>
      <c r="D3343" s="16" t="s">
        <v>64</v>
      </c>
      <c r="E3343" s="16">
        <v>0</v>
      </c>
      <c r="F3343" s="16" t="s">
        <v>64</v>
      </c>
      <c r="G3343" s="16" t="s">
        <v>64</v>
      </c>
    </row>
    <row r="3344" spans="1:7" x14ac:dyDescent="0.2">
      <c r="A3344" t="s">
        <v>64</v>
      </c>
      <c r="B3344" t="s">
        <v>64</v>
      </c>
      <c r="C3344" s="3" t="s">
        <v>64</v>
      </c>
      <c r="D3344" s="16" t="s">
        <v>64</v>
      </c>
      <c r="E3344" s="16">
        <v>0</v>
      </c>
      <c r="F3344" s="16" t="s">
        <v>64</v>
      </c>
      <c r="G3344" s="16" t="s">
        <v>64</v>
      </c>
    </row>
    <row r="3345" spans="1:7" x14ac:dyDescent="0.2">
      <c r="A3345" t="s">
        <v>64</v>
      </c>
      <c r="B3345" t="s">
        <v>64</v>
      </c>
      <c r="C3345" s="3" t="s">
        <v>64</v>
      </c>
      <c r="D3345" s="16" t="s">
        <v>64</v>
      </c>
      <c r="E3345" s="16">
        <v>0</v>
      </c>
      <c r="F3345" s="16" t="s">
        <v>64</v>
      </c>
      <c r="G3345" s="16" t="s">
        <v>64</v>
      </c>
    </row>
    <row r="3346" spans="1:7" x14ac:dyDescent="0.2">
      <c r="A3346" t="s">
        <v>64</v>
      </c>
      <c r="B3346" t="s">
        <v>64</v>
      </c>
      <c r="C3346" s="3" t="s">
        <v>64</v>
      </c>
      <c r="D3346" s="16" t="s">
        <v>64</v>
      </c>
      <c r="E3346" s="16">
        <v>0</v>
      </c>
      <c r="F3346" s="16" t="s">
        <v>64</v>
      </c>
      <c r="G3346" s="16" t="s">
        <v>64</v>
      </c>
    </row>
    <row r="3347" spans="1:7" x14ac:dyDescent="0.2">
      <c r="A3347" t="s">
        <v>64</v>
      </c>
      <c r="B3347" t="s">
        <v>64</v>
      </c>
      <c r="C3347" s="3" t="s">
        <v>64</v>
      </c>
      <c r="D3347" s="16" t="s">
        <v>64</v>
      </c>
      <c r="E3347" s="16">
        <v>0</v>
      </c>
      <c r="F3347" s="16" t="s">
        <v>64</v>
      </c>
      <c r="G3347" s="16" t="s">
        <v>64</v>
      </c>
    </row>
    <row r="3348" spans="1:7" x14ac:dyDescent="0.2">
      <c r="A3348" t="s">
        <v>64</v>
      </c>
      <c r="B3348" t="s">
        <v>64</v>
      </c>
      <c r="C3348" s="3" t="s">
        <v>64</v>
      </c>
      <c r="D3348" s="16" t="s">
        <v>64</v>
      </c>
      <c r="E3348" s="16">
        <v>0</v>
      </c>
      <c r="F3348" s="16" t="s">
        <v>64</v>
      </c>
      <c r="G3348" s="16" t="s">
        <v>64</v>
      </c>
    </row>
    <row r="3349" spans="1:7" x14ac:dyDescent="0.2">
      <c r="A3349" t="s">
        <v>64</v>
      </c>
      <c r="B3349" t="s">
        <v>64</v>
      </c>
      <c r="C3349" s="3" t="s">
        <v>64</v>
      </c>
      <c r="D3349" s="16" t="s">
        <v>64</v>
      </c>
      <c r="E3349" s="16">
        <v>0</v>
      </c>
      <c r="F3349" s="16" t="s">
        <v>64</v>
      </c>
      <c r="G3349" s="16" t="s">
        <v>64</v>
      </c>
    </row>
    <row r="3350" spans="1:7" x14ac:dyDescent="0.2">
      <c r="A3350" t="s">
        <v>64</v>
      </c>
      <c r="B3350" t="s">
        <v>64</v>
      </c>
      <c r="C3350" s="3" t="s">
        <v>64</v>
      </c>
      <c r="D3350" s="16" t="s">
        <v>64</v>
      </c>
      <c r="E3350" s="16">
        <v>0</v>
      </c>
      <c r="F3350" s="16" t="s">
        <v>64</v>
      </c>
      <c r="G3350" s="16" t="s">
        <v>64</v>
      </c>
    </row>
    <row r="3351" spans="1:7" x14ac:dyDescent="0.2">
      <c r="A3351" t="s">
        <v>64</v>
      </c>
      <c r="B3351" t="s">
        <v>64</v>
      </c>
      <c r="C3351" s="3" t="s">
        <v>64</v>
      </c>
      <c r="D3351" s="16" t="s">
        <v>64</v>
      </c>
      <c r="E3351" s="16">
        <v>0</v>
      </c>
      <c r="F3351" s="16" t="s">
        <v>64</v>
      </c>
      <c r="G3351" s="16" t="s">
        <v>64</v>
      </c>
    </row>
    <row r="3352" spans="1:7" x14ac:dyDescent="0.2">
      <c r="A3352" t="s">
        <v>64</v>
      </c>
      <c r="B3352" t="s">
        <v>64</v>
      </c>
      <c r="C3352" s="3" t="s">
        <v>64</v>
      </c>
      <c r="D3352" s="16" t="s">
        <v>64</v>
      </c>
      <c r="E3352" s="16">
        <v>0</v>
      </c>
      <c r="F3352" s="16" t="s">
        <v>64</v>
      </c>
      <c r="G3352" s="16" t="s">
        <v>64</v>
      </c>
    </row>
    <row r="3353" spans="1:7" x14ac:dyDescent="0.2">
      <c r="A3353" t="s">
        <v>64</v>
      </c>
      <c r="B3353" t="s">
        <v>64</v>
      </c>
      <c r="C3353" s="3" t="s">
        <v>64</v>
      </c>
      <c r="D3353" s="16" t="s">
        <v>64</v>
      </c>
      <c r="E3353" s="16">
        <v>0</v>
      </c>
      <c r="F3353" s="16" t="s">
        <v>64</v>
      </c>
      <c r="G3353" s="16" t="s">
        <v>64</v>
      </c>
    </row>
    <row r="3354" spans="1:7" x14ac:dyDescent="0.2">
      <c r="A3354" t="s">
        <v>64</v>
      </c>
      <c r="B3354" t="s">
        <v>64</v>
      </c>
      <c r="C3354" s="3" t="s">
        <v>64</v>
      </c>
      <c r="D3354" s="16" t="s">
        <v>64</v>
      </c>
      <c r="E3354" s="16">
        <v>0</v>
      </c>
      <c r="F3354" s="16" t="s">
        <v>64</v>
      </c>
      <c r="G3354" s="16" t="s">
        <v>64</v>
      </c>
    </row>
    <row r="3355" spans="1:7" x14ac:dyDescent="0.2">
      <c r="A3355" t="s">
        <v>64</v>
      </c>
      <c r="B3355" t="s">
        <v>64</v>
      </c>
      <c r="C3355" s="3" t="s">
        <v>64</v>
      </c>
      <c r="D3355" s="16" t="s">
        <v>64</v>
      </c>
      <c r="E3355" s="16">
        <v>0</v>
      </c>
      <c r="F3355" s="16" t="s">
        <v>64</v>
      </c>
      <c r="G3355" s="16" t="s">
        <v>64</v>
      </c>
    </row>
    <row r="3356" spans="1:7" x14ac:dyDescent="0.2">
      <c r="A3356" t="s">
        <v>64</v>
      </c>
      <c r="B3356" t="s">
        <v>64</v>
      </c>
      <c r="C3356" s="3" t="s">
        <v>64</v>
      </c>
      <c r="D3356" s="16" t="s">
        <v>64</v>
      </c>
      <c r="E3356" s="16">
        <v>0</v>
      </c>
      <c r="F3356" s="16" t="s">
        <v>64</v>
      </c>
      <c r="G3356" s="16" t="s">
        <v>64</v>
      </c>
    </row>
    <row r="3357" spans="1:7" x14ac:dyDescent="0.2">
      <c r="A3357" t="s">
        <v>64</v>
      </c>
      <c r="B3357" t="s">
        <v>64</v>
      </c>
      <c r="C3357" s="3" t="s">
        <v>64</v>
      </c>
      <c r="D3357" s="16" t="s">
        <v>64</v>
      </c>
      <c r="E3357" s="16">
        <v>0</v>
      </c>
      <c r="F3357" s="16" t="s">
        <v>64</v>
      </c>
      <c r="G3357" s="16" t="s">
        <v>64</v>
      </c>
    </row>
    <row r="3358" spans="1:7" x14ac:dyDescent="0.2">
      <c r="A3358" t="s">
        <v>64</v>
      </c>
      <c r="B3358" t="s">
        <v>64</v>
      </c>
      <c r="C3358" s="3" t="s">
        <v>64</v>
      </c>
      <c r="D3358" s="16" t="s">
        <v>64</v>
      </c>
      <c r="E3358" s="16">
        <v>0</v>
      </c>
      <c r="F3358" s="16" t="s">
        <v>64</v>
      </c>
      <c r="G3358" s="16" t="s">
        <v>64</v>
      </c>
    </row>
    <row r="3359" spans="1:7" x14ac:dyDescent="0.2">
      <c r="A3359" t="s">
        <v>64</v>
      </c>
      <c r="B3359" t="s">
        <v>64</v>
      </c>
      <c r="C3359" s="3" t="s">
        <v>64</v>
      </c>
      <c r="D3359" s="16" t="s">
        <v>64</v>
      </c>
      <c r="E3359" s="16">
        <v>0</v>
      </c>
      <c r="F3359" s="16" t="s">
        <v>64</v>
      </c>
      <c r="G3359" s="16" t="s">
        <v>64</v>
      </c>
    </row>
    <row r="3360" spans="1:7" x14ac:dyDescent="0.2">
      <c r="A3360" t="s">
        <v>64</v>
      </c>
      <c r="B3360" t="s">
        <v>64</v>
      </c>
      <c r="C3360" s="3" t="s">
        <v>64</v>
      </c>
      <c r="D3360" s="16" t="s">
        <v>64</v>
      </c>
      <c r="E3360" s="16">
        <v>0</v>
      </c>
      <c r="F3360" s="16" t="s">
        <v>64</v>
      </c>
      <c r="G3360" s="16" t="s">
        <v>64</v>
      </c>
    </row>
    <row r="3361" spans="1:7" x14ac:dyDescent="0.2">
      <c r="A3361" t="s">
        <v>64</v>
      </c>
      <c r="B3361" t="s">
        <v>64</v>
      </c>
      <c r="C3361" s="3" t="s">
        <v>64</v>
      </c>
      <c r="D3361" s="16" t="s">
        <v>64</v>
      </c>
      <c r="E3361" s="16">
        <v>0</v>
      </c>
      <c r="F3361" s="16" t="s">
        <v>64</v>
      </c>
      <c r="G3361" s="16" t="s">
        <v>64</v>
      </c>
    </row>
    <row r="3362" spans="1:7" x14ac:dyDescent="0.2">
      <c r="A3362" t="s">
        <v>64</v>
      </c>
      <c r="B3362" t="s">
        <v>64</v>
      </c>
      <c r="C3362" s="3" t="s">
        <v>64</v>
      </c>
      <c r="D3362" s="16" t="s">
        <v>64</v>
      </c>
      <c r="E3362" s="16">
        <v>0</v>
      </c>
      <c r="F3362" s="16" t="s">
        <v>64</v>
      </c>
      <c r="G3362" s="16" t="s">
        <v>64</v>
      </c>
    </row>
    <row r="3363" spans="1:7" x14ac:dyDescent="0.2">
      <c r="A3363" t="s">
        <v>64</v>
      </c>
      <c r="B3363" t="s">
        <v>64</v>
      </c>
      <c r="C3363" s="3" t="s">
        <v>64</v>
      </c>
      <c r="D3363" s="16" t="s">
        <v>64</v>
      </c>
      <c r="E3363" s="16">
        <v>0</v>
      </c>
      <c r="F3363" s="16" t="s">
        <v>64</v>
      </c>
      <c r="G3363" s="16" t="s">
        <v>64</v>
      </c>
    </row>
    <row r="3364" spans="1:7" x14ac:dyDescent="0.2">
      <c r="A3364" t="s">
        <v>64</v>
      </c>
      <c r="B3364" t="s">
        <v>64</v>
      </c>
      <c r="C3364" s="3" t="s">
        <v>64</v>
      </c>
      <c r="D3364" s="16" t="s">
        <v>64</v>
      </c>
      <c r="E3364" s="16">
        <v>0</v>
      </c>
      <c r="F3364" s="16" t="s">
        <v>64</v>
      </c>
      <c r="G3364" s="16" t="s">
        <v>64</v>
      </c>
    </row>
    <row r="3365" spans="1:7" x14ac:dyDescent="0.2">
      <c r="A3365" t="s">
        <v>64</v>
      </c>
      <c r="B3365" t="s">
        <v>64</v>
      </c>
      <c r="C3365" s="3" t="s">
        <v>64</v>
      </c>
      <c r="D3365" s="16" t="s">
        <v>64</v>
      </c>
      <c r="E3365" s="16">
        <v>0</v>
      </c>
      <c r="F3365" s="16" t="s">
        <v>64</v>
      </c>
      <c r="G3365" s="16" t="s">
        <v>64</v>
      </c>
    </row>
    <row r="3366" spans="1:7" x14ac:dyDescent="0.2">
      <c r="A3366" t="s">
        <v>64</v>
      </c>
      <c r="B3366" t="s">
        <v>64</v>
      </c>
      <c r="C3366" s="3" t="s">
        <v>64</v>
      </c>
      <c r="D3366" s="16" t="s">
        <v>64</v>
      </c>
      <c r="E3366" s="16">
        <v>0</v>
      </c>
      <c r="F3366" s="16" t="s">
        <v>64</v>
      </c>
      <c r="G3366" s="16" t="s">
        <v>64</v>
      </c>
    </row>
    <row r="3367" spans="1:7" x14ac:dyDescent="0.2">
      <c r="A3367" t="s">
        <v>64</v>
      </c>
      <c r="B3367" t="s">
        <v>64</v>
      </c>
      <c r="C3367" s="3" t="s">
        <v>64</v>
      </c>
      <c r="D3367" s="16" t="s">
        <v>64</v>
      </c>
      <c r="E3367" s="16">
        <v>0</v>
      </c>
      <c r="F3367" s="16" t="s">
        <v>64</v>
      </c>
      <c r="G3367" s="16" t="s">
        <v>64</v>
      </c>
    </row>
    <row r="3368" spans="1:7" x14ac:dyDescent="0.2">
      <c r="A3368" t="s">
        <v>64</v>
      </c>
      <c r="B3368" t="s">
        <v>64</v>
      </c>
      <c r="C3368" s="3" t="s">
        <v>64</v>
      </c>
      <c r="D3368" s="16" t="s">
        <v>64</v>
      </c>
      <c r="E3368" s="16">
        <v>0</v>
      </c>
      <c r="F3368" s="16" t="s">
        <v>64</v>
      </c>
      <c r="G3368" s="16" t="s">
        <v>64</v>
      </c>
    </row>
    <row r="3369" spans="1:7" x14ac:dyDescent="0.2">
      <c r="A3369" t="s">
        <v>64</v>
      </c>
      <c r="B3369" t="s">
        <v>64</v>
      </c>
      <c r="C3369" s="3" t="s">
        <v>64</v>
      </c>
      <c r="D3369" s="16" t="s">
        <v>64</v>
      </c>
      <c r="E3369" s="16">
        <v>0</v>
      </c>
      <c r="F3369" s="16" t="s">
        <v>64</v>
      </c>
      <c r="G3369" s="16" t="s">
        <v>64</v>
      </c>
    </row>
    <row r="3370" spans="1:7" x14ac:dyDescent="0.2">
      <c r="A3370" t="s">
        <v>64</v>
      </c>
      <c r="B3370" t="s">
        <v>64</v>
      </c>
      <c r="C3370" s="3" t="s">
        <v>64</v>
      </c>
      <c r="D3370" s="16" t="s">
        <v>64</v>
      </c>
      <c r="E3370" s="16">
        <v>0</v>
      </c>
      <c r="F3370" s="16" t="s">
        <v>64</v>
      </c>
      <c r="G3370" s="16" t="s">
        <v>64</v>
      </c>
    </row>
    <row r="3371" spans="1:7" x14ac:dyDescent="0.2">
      <c r="A3371" t="s">
        <v>64</v>
      </c>
      <c r="B3371" t="s">
        <v>64</v>
      </c>
      <c r="C3371" s="3" t="s">
        <v>64</v>
      </c>
      <c r="D3371" s="16" t="s">
        <v>64</v>
      </c>
      <c r="E3371" s="16">
        <v>0</v>
      </c>
      <c r="F3371" s="16" t="s">
        <v>64</v>
      </c>
      <c r="G3371" s="16" t="s">
        <v>64</v>
      </c>
    </row>
    <row r="3372" spans="1:7" x14ac:dyDescent="0.2">
      <c r="A3372" t="s">
        <v>64</v>
      </c>
      <c r="B3372" t="s">
        <v>64</v>
      </c>
      <c r="C3372" s="3" t="s">
        <v>64</v>
      </c>
      <c r="D3372" s="16" t="s">
        <v>64</v>
      </c>
      <c r="E3372" s="16">
        <v>0</v>
      </c>
      <c r="F3372" s="16" t="s">
        <v>64</v>
      </c>
      <c r="G3372" s="16" t="s">
        <v>64</v>
      </c>
    </row>
    <row r="3373" spans="1:7" x14ac:dyDescent="0.2">
      <c r="A3373" t="s">
        <v>64</v>
      </c>
      <c r="B3373" t="s">
        <v>64</v>
      </c>
      <c r="C3373" s="3" t="s">
        <v>64</v>
      </c>
      <c r="D3373" s="16" t="s">
        <v>64</v>
      </c>
      <c r="E3373" s="16">
        <v>0</v>
      </c>
      <c r="F3373" s="16" t="s">
        <v>64</v>
      </c>
      <c r="G3373" s="16" t="s">
        <v>64</v>
      </c>
    </row>
    <row r="3374" spans="1:7" x14ac:dyDescent="0.2">
      <c r="A3374" t="s">
        <v>64</v>
      </c>
      <c r="B3374" t="s">
        <v>64</v>
      </c>
      <c r="C3374" s="3" t="s">
        <v>64</v>
      </c>
      <c r="D3374" s="16" t="s">
        <v>64</v>
      </c>
      <c r="E3374" s="16">
        <v>0</v>
      </c>
      <c r="F3374" s="16" t="s">
        <v>64</v>
      </c>
      <c r="G3374" s="16" t="s">
        <v>64</v>
      </c>
    </row>
    <row r="3375" spans="1:7" x14ac:dyDescent="0.2">
      <c r="A3375" t="s">
        <v>64</v>
      </c>
      <c r="B3375" t="s">
        <v>64</v>
      </c>
      <c r="C3375" s="3" t="s">
        <v>64</v>
      </c>
      <c r="D3375" s="16" t="s">
        <v>64</v>
      </c>
      <c r="E3375" s="16">
        <v>0</v>
      </c>
      <c r="F3375" s="16" t="s">
        <v>64</v>
      </c>
      <c r="G3375" s="16" t="s">
        <v>64</v>
      </c>
    </row>
    <row r="3376" spans="1:7" x14ac:dyDescent="0.2">
      <c r="A3376" t="s">
        <v>64</v>
      </c>
      <c r="B3376" t="s">
        <v>64</v>
      </c>
      <c r="C3376" s="3" t="s">
        <v>64</v>
      </c>
      <c r="D3376" s="16" t="s">
        <v>64</v>
      </c>
      <c r="E3376" s="16">
        <v>0</v>
      </c>
      <c r="F3376" s="16" t="s">
        <v>64</v>
      </c>
      <c r="G3376" s="16" t="s">
        <v>64</v>
      </c>
    </row>
    <row r="3377" spans="1:7" x14ac:dyDescent="0.2">
      <c r="A3377" t="s">
        <v>64</v>
      </c>
      <c r="B3377" t="s">
        <v>64</v>
      </c>
      <c r="C3377" s="3" t="s">
        <v>64</v>
      </c>
      <c r="D3377" s="16" t="s">
        <v>64</v>
      </c>
      <c r="E3377" s="16">
        <v>0</v>
      </c>
      <c r="F3377" s="16" t="s">
        <v>64</v>
      </c>
      <c r="G3377" s="16" t="s">
        <v>64</v>
      </c>
    </row>
    <row r="3378" spans="1:7" x14ac:dyDescent="0.2">
      <c r="A3378" t="s">
        <v>64</v>
      </c>
      <c r="B3378" t="s">
        <v>64</v>
      </c>
      <c r="C3378" s="3" t="s">
        <v>64</v>
      </c>
      <c r="D3378" s="16" t="s">
        <v>64</v>
      </c>
      <c r="E3378" s="16">
        <v>0</v>
      </c>
      <c r="F3378" s="16" t="s">
        <v>64</v>
      </c>
      <c r="G3378" s="16" t="s">
        <v>64</v>
      </c>
    </row>
    <row r="3379" spans="1:7" x14ac:dyDescent="0.2">
      <c r="A3379" t="s">
        <v>64</v>
      </c>
      <c r="B3379" t="s">
        <v>64</v>
      </c>
      <c r="C3379" s="3" t="s">
        <v>64</v>
      </c>
      <c r="D3379" s="16" t="s">
        <v>64</v>
      </c>
      <c r="E3379" s="16">
        <v>0</v>
      </c>
      <c r="F3379" s="16" t="s">
        <v>64</v>
      </c>
      <c r="G3379" s="16" t="s">
        <v>64</v>
      </c>
    </row>
    <row r="3380" spans="1:7" x14ac:dyDescent="0.2">
      <c r="A3380" t="s">
        <v>64</v>
      </c>
      <c r="B3380" t="s">
        <v>64</v>
      </c>
      <c r="C3380" s="3" t="s">
        <v>64</v>
      </c>
      <c r="D3380" s="16" t="s">
        <v>64</v>
      </c>
      <c r="E3380" s="16">
        <v>0</v>
      </c>
      <c r="F3380" s="16" t="s">
        <v>64</v>
      </c>
      <c r="G3380" s="16" t="s">
        <v>64</v>
      </c>
    </row>
    <row r="3381" spans="1:7" x14ac:dyDescent="0.2">
      <c r="A3381" t="s">
        <v>64</v>
      </c>
      <c r="B3381" t="s">
        <v>64</v>
      </c>
      <c r="C3381" s="3" t="s">
        <v>64</v>
      </c>
      <c r="D3381" s="16" t="s">
        <v>64</v>
      </c>
      <c r="E3381" s="16">
        <v>0</v>
      </c>
      <c r="F3381" s="16" t="s">
        <v>64</v>
      </c>
      <c r="G3381" s="16" t="s">
        <v>64</v>
      </c>
    </row>
    <row r="3382" spans="1:7" x14ac:dyDescent="0.2">
      <c r="A3382" t="s">
        <v>64</v>
      </c>
      <c r="B3382" t="s">
        <v>64</v>
      </c>
      <c r="C3382" s="3" t="s">
        <v>64</v>
      </c>
      <c r="D3382" s="16" t="s">
        <v>64</v>
      </c>
      <c r="E3382" s="16">
        <v>0</v>
      </c>
      <c r="F3382" s="16" t="s">
        <v>64</v>
      </c>
      <c r="G3382" s="16" t="s">
        <v>64</v>
      </c>
    </row>
    <row r="3383" spans="1:7" x14ac:dyDescent="0.2">
      <c r="A3383" t="s">
        <v>64</v>
      </c>
      <c r="B3383" t="s">
        <v>64</v>
      </c>
      <c r="C3383" s="3" t="s">
        <v>64</v>
      </c>
      <c r="D3383" s="16" t="s">
        <v>64</v>
      </c>
      <c r="E3383" s="16">
        <v>0</v>
      </c>
      <c r="F3383" s="16" t="s">
        <v>64</v>
      </c>
      <c r="G3383" s="16" t="s">
        <v>64</v>
      </c>
    </row>
    <row r="3384" spans="1:7" x14ac:dyDescent="0.2">
      <c r="A3384" t="s">
        <v>64</v>
      </c>
      <c r="B3384" t="s">
        <v>64</v>
      </c>
      <c r="C3384" s="3" t="s">
        <v>64</v>
      </c>
      <c r="D3384" s="16" t="s">
        <v>64</v>
      </c>
      <c r="E3384" s="16">
        <v>0</v>
      </c>
      <c r="F3384" s="16" t="s">
        <v>64</v>
      </c>
      <c r="G3384" s="16" t="s">
        <v>64</v>
      </c>
    </row>
    <row r="3385" spans="1:7" x14ac:dyDescent="0.2">
      <c r="A3385" t="s">
        <v>64</v>
      </c>
      <c r="B3385" t="s">
        <v>64</v>
      </c>
      <c r="C3385" s="3" t="s">
        <v>64</v>
      </c>
      <c r="D3385" s="16" t="s">
        <v>64</v>
      </c>
      <c r="E3385" s="16">
        <v>0</v>
      </c>
      <c r="F3385" s="16" t="s">
        <v>64</v>
      </c>
      <c r="G3385" s="16" t="s">
        <v>64</v>
      </c>
    </row>
    <row r="3386" spans="1:7" x14ac:dyDescent="0.2">
      <c r="A3386" t="s">
        <v>64</v>
      </c>
      <c r="B3386" t="s">
        <v>64</v>
      </c>
      <c r="C3386" s="3" t="s">
        <v>64</v>
      </c>
      <c r="D3386" s="16" t="s">
        <v>64</v>
      </c>
      <c r="E3386" s="16">
        <v>0</v>
      </c>
      <c r="F3386" s="16" t="s">
        <v>64</v>
      </c>
      <c r="G3386" s="16" t="s">
        <v>64</v>
      </c>
    </row>
    <row r="3387" spans="1:7" x14ac:dyDescent="0.2">
      <c r="A3387" t="s">
        <v>64</v>
      </c>
      <c r="B3387" t="s">
        <v>64</v>
      </c>
      <c r="C3387" s="3" t="s">
        <v>64</v>
      </c>
      <c r="D3387" s="16" t="s">
        <v>64</v>
      </c>
      <c r="E3387" s="16">
        <v>0</v>
      </c>
      <c r="F3387" s="16" t="s">
        <v>64</v>
      </c>
      <c r="G3387" s="16" t="s">
        <v>64</v>
      </c>
    </row>
    <row r="3388" spans="1:7" x14ac:dyDescent="0.2">
      <c r="A3388" t="s">
        <v>64</v>
      </c>
      <c r="B3388" t="s">
        <v>64</v>
      </c>
      <c r="C3388" s="3" t="s">
        <v>64</v>
      </c>
      <c r="D3388" s="16" t="s">
        <v>64</v>
      </c>
      <c r="E3388" s="16">
        <v>0</v>
      </c>
      <c r="F3388" s="16" t="s">
        <v>64</v>
      </c>
      <c r="G3388" s="16" t="s">
        <v>64</v>
      </c>
    </row>
    <row r="3389" spans="1:7" x14ac:dyDescent="0.2">
      <c r="A3389" t="s">
        <v>64</v>
      </c>
      <c r="B3389" t="s">
        <v>64</v>
      </c>
      <c r="C3389" s="3" t="s">
        <v>64</v>
      </c>
      <c r="D3389" s="16" t="s">
        <v>64</v>
      </c>
      <c r="E3389" s="16">
        <v>0</v>
      </c>
      <c r="F3389" s="16" t="s">
        <v>64</v>
      </c>
      <c r="G3389" s="16" t="s">
        <v>64</v>
      </c>
    </row>
    <row r="3390" spans="1:7" x14ac:dyDescent="0.2">
      <c r="A3390" t="s">
        <v>64</v>
      </c>
      <c r="B3390" t="s">
        <v>64</v>
      </c>
      <c r="C3390" s="3" t="s">
        <v>64</v>
      </c>
      <c r="D3390" s="16" t="s">
        <v>64</v>
      </c>
      <c r="E3390" s="16">
        <v>0</v>
      </c>
      <c r="F3390" s="16" t="s">
        <v>64</v>
      </c>
      <c r="G3390" s="16" t="s">
        <v>64</v>
      </c>
    </row>
    <row r="3391" spans="1:7" x14ac:dyDescent="0.2">
      <c r="A3391" t="s">
        <v>64</v>
      </c>
      <c r="B3391" t="s">
        <v>64</v>
      </c>
      <c r="C3391" s="3" t="s">
        <v>64</v>
      </c>
      <c r="D3391" s="16" t="s">
        <v>64</v>
      </c>
      <c r="E3391" s="16">
        <v>0</v>
      </c>
      <c r="F3391" s="16" t="s">
        <v>64</v>
      </c>
      <c r="G3391" s="16" t="s">
        <v>64</v>
      </c>
    </row>
    <row r="3392" spans="1:7" x14ac:dyDescent="0.2">
      <c r="A3392" t="s">
        <v>64</v>
      </c>
      <c r="B3392" t="s">
        <v>64</v>
      </c>
      <c r="C3392" s="3" t="s">
        <v>64</v>
      </c>
      <c r="D3392" s="16" t="s">
        <v>64</v>
      </c>
      <c r="E3392" s="16">
        <v>0</v>
      </c>
      <c r="F3392" s="16" t="s">
        <v>64</v>
      </c>
      <c r="G3392" s="16" t="s">
        <v>64</v>
      </c>
    </row>
    <row r="3393" spans="1:7" x14ac:dyDescent="0.2">
      <c r="A3393" t="s">
        <v>64</v>
      </c>
      <c r="B3393" t="s">
        <v>64</v>
      </c>
      <c r="C3393" s="3" t="s">
        <v>64</v>
      </c>
      <c r="D3393" s="16" t="s">
        <v>64</v>
      </c>
      <c r="E3393" s="16">
        <v>0</v>
      </c>
      <c r="F3393" s="16" t="s">
        <v>64</v>
      </c>
      <c r="G3393" s="16" t="s">
        <v>64</v>
      </c>
    </row>
    <row r="3394" spans="1:7" x14ac:dyDescent="0.2">
      <c r="A3394" t="s">
        <v>64</v>
      </c>
      <c r="B3394" t="s">
        <v>64</v>
      </c>
      <c r="C3394" s="3" t="s">
        <v>64</v>
      </c>
      <c r="D3394" s="16" t="s">
        <v>64</v>
      </c>
      <c r="E3394" s="16">
        <v>0</v>
      </c>
      <c r="F3394" s="16" t="s">
        <v>64</v>
      </c>
      <c r="G3394" s="16" t="s">
        <v>64</v>
      </c>
    </row>
    <row r="3395" spans="1:7" x14ac:dyDescent="0.2">
      <c r="A3395" t="s">
        <v>64</v>
      </c>
      <c r="B3395" t="s">
        <v>64</v>
      </c>
      <c r="C3395" s="3" t="s">
        <v>64</v>
      </c>
      <c r="D3395" s="16" t="s">
        <v>64</v>
      </c>
      <c r="E3395" s="16">
        <v>0</v>
      </c>
      <c r="F3395" s="16" t="s">
        <v>64</v>
      </c>
      <c r="G3395" s="16" t="s">
        <v>64</v>
      </c>
    </row>
    <row r="3396" spans="1:7" x14ac:dyDescent="0.2">
      <c r="A3396" t="s">
        <v>64</v>
      </c>
      <c r="B3396" t="s">
        <v>64</v>
      </c>
      <c r="C3396" s="3" t="s">
        <v>64</v>
      </c>
      <c r="D3396" s="16" t="s">
        <v>64</v>
      </c>
      <c r="E3396" s="16">
        <v>0</v>
      </c>
      <c r="F3396" s="16" t="s">
        <v>64</v>
      </c>
      <c r="G3396" s="16" t="s">
        <v>64</v>
      </c>
    </row>
    <row r="3397" spans="1:7" x14ac:dyDescent="0.2">
      <c r="A3397" t="s">
        <v>64</v>
      </c>
      <c r="B3397" t="s">
        <v>64</v>
      </c>
      <c r="C3397" s="3" t="s">
        <v>64</v>
      </c>
      <c r="D3397" s="16" t="s">
        <v>64</v>
      </c>
      <c r="E3397" s="16">
        <v>0</v>
      </c>
      <c r="F3397" s="16" t="s">
        <v>64</v>
      </c>
      <c r="G3397" s="16" t="s">
        <v>64</v>
      </c>
    </row>
    <row r="3398" spans="1:7" x14ac:dyDescent="0.2">
      <c r="A3398" t="s">
        <v>64</v>
      </c>
      <c r="B3398" t="s">
        <v>64</v>
      </c>
      <c r="C3398" s="3" t="s">
        <v>64</v>
      </c>
      <c r="D3398" s="16" t="s">
        <v>64</v>
      </c>
      <c r="E3398" s="16">
        <v>0</v>
      </c>
      <c r="F3398" s="16" t="s">
        <v>64</v>
      </c>
      <c r="G3398" s="16" t="s">
        <v>64</v>
      </c>
    </row>
    <row r="3399" spans="1:7" x14ac:dyDescent="0.2">
      <c r="A3399" t="s">
        <v>64</v>
      </c>
      <c r="B3399" t="s">
        <v>64</v>
      </c>
      <c r="C3399" s="3" t="s">
        <v>64</v>
      </c>
      <c r="D3399" s="16" t="s">
        <v>64</v>
      </c>
      <c r="E3399" s="16">
        <v>0</v>
      </c>
      <c r="F3399" s="16" t="s">
        <v>64</v>
      </c>
      <c r="G3399" s="16" t="s">
        <v>64</v>
      </c>
    </row>
    <row r="3400" spans="1:7" x14ac:dyDescent="0.2">
      <c r="A3400" t="s">
        <v>64</v>
      </c>
      <c r="B3400" t="s">
        <v>64</v>
      </c>
      <c r="C3400" s="3" t="s">
        <v>64</v>
      </c>
      <c r="D3400" s="16" t="s">
        <v>64</v>
      </c>
      <c r="E3400" s="16">
        <v>0</v>
      </c>
      <c r="F3400" s="16" t="s">
        <v>64</v>
      </c>
      <c r="G3400" s="16" t="s">
        <v>64</v>
      </c>
    </row>
    <row r="3401" spans="1:7" x14ac:dyDescent="0.2">
      <c r="A3401" t="s">
        <v>64</v>
      </c>
      <c r="B3401" t="s">
        <v>64</v>
      </c>
      <c r="C3401" s="3" t="s">
        <v>64</v>
      </c>
      <c r="D3401" s="16" t="s">
        <v>64</v>
      </c>
      <c r="E3401" s="16">
        <v>0</v>
      </c>
      <c r="F3401" s="16" t="s">
        <v>64</v>
      </c>
      <c r="G3401" s="16" t="s">
        <v>64</v>
      </c>
    </row>
    <row r="3402" spans="1:7" x14ac:dyDescent="0.2">
      <c r="A3402" t="s">
        <v>64</v>
      </c>
      <c r="B3402" t="s">
        <v>64</v>
      </c>
      <c r="C3402" s="3" t="s">
        <v>64</v>
      </c>
      <c r="D3402" s="16" t="s">
        <v>64</v>
      </c>
      <c r="E3402" s="16">
        <v>0</v>
      </c>
      <c r="F3402" s="16" t="s">
        <v>64</v>
      </c>
      <c r="G3402" s="16" t="s">
        <v>64</v>
      </c>
    </row>
    <row r="3403" spans="1:7" x14ac:dyDescent="0.2">
      <c r="A3403" t="s">
        <v>64</v>
      </c>
      <c r="B3403" t="s">
        <v>64</v>
      </c>
      <c r="C3403" s="3" t="s">
        <v>64</v>
      </c>
      <c r="D3403" s="16" t="s">
        <v>64</v>
      </c>
      <c r="E3403" s="16">
        <v>0</v>
      </c>
      <c r="F3403" s="16" t="s">
        <v>64</v>
      </c>
      <c r="G3403" s="16" t="s">
        <v>64</v>
      </c>
    </row>
    <row r="3404" spans="1:7" x14ac:dyDescent="0.2">
      <c r="A3404" t="s">
        <v>64</v>
      </c>
      <c r="B3404" t="s">
        <v>64</v>
      </c>
      <c r="C3404" s="3" t="s">
        <v>64</v>
      </c>
      <c r="D3404" s="16" t="s">
        <v>64</v>
      </c>
      <c r="E3404" s="16">
        <v>0</v>
      </c>
      <c r="F3404" s="16" t="s">
        <v>64</v>
      </c>
      <c r="G3404" s="16" t="s">
        <v>64</v>
      </c>
    </row>
    <row r="3405" spans="1:7" x14ac:dyDescent="0.2">
      <c r="A3405" t="s">
        <v>64</v>
      </c>
      <c r="B3405" t="s">
        <v>64</v>
      </c>
      <c r="C3405" s="3" t="s">
        <v>64</v>
      </c>
      <c r="D3405" s="16" t="s">
        <v>64</v>
      </c>
      <c r="E3405" s="16">
        <v>0</v>
      </c>
      <c r="F3405" s="16" t="s">
        <v>64</v>
      </c>
      <c r="G3405" s="16" t="s">
        <v>64</v>
      </c>
    </row>
    <row r="3406" spans="1:7" x14ac:dyDescent="0.2">
      <c r="A3406" t="s">
        <v>64</v>
      </c>
      <c r="B3406" t="s">
        <v>64</v>
      </c>
      <c r="C3406" s="3" t="s">
        <v>64</v>
      </c>
      <c r="D3406" s="16" t="s">
        <v>64</v>
      </c>
      <c r="E3406" s="16">
        <v>0</v>
      </c>
      <c r="F3406" s="16" t="s">
        <v>64</v>
      </c>
      <c r="G3406" s="16" t="s">
        <v>64</v>
      </c>
    </row>
    <row r="3407" spans="1:7" x14ac:dyDescent="0.2">
      <c r="A3407" t="s">
        <v>64</v>
      </c>
      <c r="B3407" t="s">
        <v>64</v>
      </c>
      <c r="C3407" s="3" t="s">
        <v>64</v>
      </c>
      <c r="D3407" s="16" t="s">
        <v>64</v>
      </c>
      <c r="E3407" s="16">
        <v>0</v>
      </c>
      <c r="F3407" s="16" t="s">
        <v>64</v>
      </c>
      <c r="G3407" s="16" t="s">
        <v>64</v>
      </c>
    </row>
    <row r="3408" spans="1:7" x14ac:dyDescent="0.2">
      <c r="A3408" t="s">
        <v>64</v>
      </c>
      <c r="B3408" t="s">
        <v>64</v>
      </c>
      <c r="C3408" s="3" t="s">
        <v>64</v>
      </c>
      <c r="D3408" s="16" t="s">
        <v>64</v>
      </c>
      <c r="E3408" s="16">
        <v>0</v>
      </c>
      <c r="F3408" s="16" t="s">
        <v>64</v>
      </c>
      <c r="G3408" s="16" t="s">
        <v>64</v>
      </c>
    </row>
    <row r="3409" spans="1:7" x14ac:dyDescent="0.2">
      <c r="A3409" t="s">
        <v>64</v>
      </c>
      <c r="B3409" t="s">
        <v>64</v>
      </c>
      <c r="C3409" s="3" t="s">
        <v>64</v>
      </c>
      <c r="D3409" s="16" t="s">
        <v>64</v>
      </c>
      <c r="E3409" s="16">
        <v>0</v>
      </c>
      <c r="F3409" s="16" t="s">
        <v>64</v>
      </c>
      <c r="G3409" s="16" t="s">
        <v>64</v>
      </c>
    </row>
    <row r="3410" spans="1:7" x14ac:dyDescent="0.2">
      <c r="A3410" t="s">
        <v>64</v>
      </c>
      <c r="B3410" t="s">
        <v>64</v>
      </c>
      <c r="C3410" s="3" t="s">
        <v>64</v>
      </c>
      <c r="D3410" s="16" t="s">
        <v>64</v>
      </c>
      <c r="E3410" s="16">
        <v>0</v>
      </c>
      <c r="F3410" s="16" t="s">
        <v>64</v>
      </c>
      <c r="G3410" s="16" t="s">
        <v>64</v>
      </c>
    </row>
    <row r="3411" spans="1:7" x14ac:dyDescent="0.2">
      <c r="A3411" t="s">
        <v>64</v>
      </c>
      <c r="B3411" t="s">
        <v>64</v>
      </c>
      <c r="C3411" s="3" t="s">
        <v>64</v>
      </c>
      <c r="D3411" s="16" t="s">
        <v>64</v>
      </c>
      <c r="E3411" s="16">
        <v>0</v>
      </c>
      <c r="F3411" s="16" t="s">
        <v>64</v>
      </c>
      <c r="G3411" s="16" t="s">
        <v>64</v>
      </c>
    </row>
    <row r="3412" spans="1:7" x14ac:dyDescent="0.2">
      <c r="A3412" t="s">
        <v>64</v>
      </c>
      <c r="B3412" t="s">
        <v>64</v>
      </c>
      <c r="C3412" s="3" t="s">
        <v>64</v>
      </c>
      <c r="D3412" s="16" t="s">
        <v>64</v>
      </c>
      <c r="E3412" s="16">
        <v>0</v>
      </c>
      <c r="F3412" s="16" t="s">
        <v>64</v>
      </c>
      <c r="G3412" s="16" t="s">
        <v>64</v>
      </c>
    </row>
    <row r="3413" spans="1:7" x14ac:dyDescent="0.2">
      <c r="A3413" t="s">
        <v>64</v>
      </c>
      <c r="B3413" t="s">
        <v>64</v>
      </c>
      <c r="C3413" s="3" t="s">
        <v>64</v>
      </c>
      <c r="D3413" s="16" t="s">
        <v>64</v>
      </c>
      <c r="E3413" s="16">
        <v>0</v>
      </c>
      <c r="F3413" s="16" t="s">
        <v>64</v>
      </c>
      <c r="G3413" s="16" t="s">
        <v>64</v>
      </c>
    </row>
    <row r="3414" spans="1:7" x14ac:dyDescent="0.2">
      <c r="A3414" t="s">
        <v>64</v>
      </c>
      <c r="B3414" t="s">
        <v>64</v>
      </c>
      <c r="C3414" s="3" t="s">
        <v>64</v>
      </c>
      <c r="D3414" s="16" t="s">
        <v>64</v>
      </c>
      <c r="E3414" s="16">
        <v>0</v>
      </c>
      <c r="F3414" s="16" t="s">
        <v>64</v>
      </c>
      <c r="G3414" s="16" t="s">
        <v>64</v>
      </c>
    </row>
    <row r="3415" spans="1:7" x14ac:dyDescent="0.2">
      <c r="A3415" t="s">
        <v>64</v>
      </c>
      <c r="B3415" t="s">
        <v>64</v>
      </c>
      <c r="C3415" s="3" t="s">
        <v>64</v>
      </c>
      <c r="D3415" s="16" t="s">
        <v>64</v>
      </c>
      <c r="E3415" s="16">
        <v>0</v>
      </c>
      <c r="F3415" s="16" t="s">
        <v>64</v>
      </c>
      <c r="G3415" s="16" t="s">
        <v>64</v>
      </c>
    </row>
    <row r="3416" spans="1:7" x14ac:dyDescent="0.2">
      <c r="A3416" t="s">
        <v>64</v>
      </c>
      <c r="B3416" t="s">
        <v>64</v>
      </c>
      <c r="C3416" s="3" t="s">
        <v>64</v>
      </c>
      <c r="D3416" s="16" t="s">
        <v>64</v>
      </c>
      <c r="E3416" s="16">
        <v>0</v>
      </c>
      <c r="F3416" s="16" t="s">
        <v>64</v>
      </c>
      <c r="G3416" s="16" t="s">
        <v>64</v>
      </c>
    </row>
    <row r="3417" spans="1:7" x14ac:dyDescent="0.2">
      <c r="A3417" t="s">
        <v>64</v>
      </c>
      <c r="B3417" t="s">
        <v>64</v>
      </c>
      <c r="C3417" s="3" t="s">
        <v>64</v>
      </c>
      <c r="D3417" s="16" t="s">
        <v>64</v>
      </c>
      <c r="E3417" s="16">
        <v>0</v>
      </c>
      <c r="F3417" s="16" t="s">
        <v>64</v>
      </c>
      <c r="G3417" s="16" t="s">
        <v>64</v>
      </c>
    </row>
    <row r="3418" spans="1:7" x14ac:dyDescent="0.2">
      <c r="A3418" t="s">
        <v>64</v>
      </c>
      <c r="B3418" t="s">
        <v>64</v>
      </c>
      <c r="C3418" s="3" t="s">
        <v>64</v>
      </c>
      <c r="D3418" s="16" t="s">
        <v>64</v>
      </c>
      <c r="E3418" s="16">
        <v>0</v>
      </c>
      <c r="F3418" s="16" t="s">
        <v>64</v>
      </c>
      <c r="G3418" s="16" t="s">
        <v>64</v>
      </c>
    </row>
    <row r="3419" spans="1:7" x14ac:dyDescent="0.2">
      <c r="A3419" t="s">
        <v>64</v>
      </c>
      <c r="B3419" t="s">
        <v>64</v>
      </c>
      <c r="C3419" s="3" t="s">
        <v>64</v>
      </c>
      <c r="D3419" s="16" t="s">
        <v>64</v>
      </c>
      <c r="E3419" s="16">
        <v>0</v>
      </c>
      <c r="F3419" s="16" t="s">
        <v>64</v>
      </c>
      <c r="G3419" s="16" t="s">
        <v>64</v>
      </c>
    </row>
    <row r="3420" spans="1:7" x14ac:dyDescent="0.2">
      <c r="A3420" t="s">
        <v>64</v>
      </c>
      <c r="B3420" t="s">
        <v>64</v>
      </c>
      <c r="C3420" s="3" t="s">
        <v>64</v>
      </c>
      <c r="D3420" s="16" t="s">
        <v>64</v>
      </c>
      <c r="E3420" s="16">
        <v>0</v>
      </c>
      <c r="F3420" s="16" t="s">
        <v>64</v>
      </c>
      <c r="G3420" s="16" t="s">
        <v>64</v>
      </c>
    </row>
    <row r="3421" spans="1:7" x14ac:dyDescent="0.2">
      <c r="A3421" t="s">
        <v>64</v>
      </c>
      <c r="B3421" t="s">
        <v>64</v>
      </c>
      <c r="C3421" s="3" t="s">
        <v>64</v>
      </c>
      <c r="D3421" s="16" t="s">
        <v>64</v>
      </c>
      <c r="E3421" s="16">
        <v>0</v>
      </c>
      <c r="F3421" s="16" t="s">
        <v>64</v>
      </c>
      <c r="G3421" s="16" t="s">
        <v>64</v>
      </c>
    </row>
    <row r="3422" spans="1:7" x14ac:dyDescent="0.2">
      <c r="A3422" t="s">
        <v>64</v>
      </c>
      <c r="B3422" t="s">
        <v>64</v>
      </c>
      <c r="C3422" s="3" t="s">
        <v>64</v>
      </c>
      <c r="D3422" s="16" t="s">
        <v>64</v>
      </c>
      <c r="E3422" s="16">
        <v>0</v>
      </c>
      <c r="F3422" s="16" t="s">
        <v>64</v>
      </c>
      <c r="G3422" s="16" t="s">
        <v>64</v>
      </c>
    </row>
    <row r="3423" spans="1:7" x14ac:dyDescent="0.2">
      <c r="A3423" t="s">
        <v>64</v>
      </c>
      <c r="B3423" t="s">
        <v>64</v>
      </c>
      <c r="C3423" s="3" t="s">
        <v>64</v>
      </c>
      <c r="D3423" s="16" t="s">
        <v>64</v>
      </c>
      <c r="E3423" s="16">
        <v>0</v>
      </c>
      <c r="F3423" s="16" t="s">
        <v>64</v>
      </c>
      <c r="G3423" s="16" t="s">
        <v>64</v>
      </c>
    </row>
    <row r="3424" spans="1:7" x14ac:dyDescent="0.2">
      <c r="A3424" t="s">
        <v>64</v>
      </c>
      <c r="B3424" t="s">
        <v>64</v>
      </c>
      <c r="C3424" s="3" t="s">
        <v>64</v>
      </c>
      <c r="D3424" s="16" t="s">
        <v>64</v>
      </c>
      <c r="E3424" s="16">
        <v>0</v>
      </c>
      <c r="F3424" s="16" t="s">
        <v>64</v>
      </c>
      <c r="G3424" s="16" t="s">
        <v>64</v>
      </c>
    </row>
    <row r="3425" spans="1:7" x14ac:dyDescent="0.2">
      <c r="A3425" t="s">
        <v>64</v>
      </c>
      <c r="B3425" t="s">
        <v>64</v>
      </c>
      <c r="C3425" s="3" t="s">
        <v>64</v>
      </c>
      <c r="D3425" s="16" t="s">
        <v>64</v>
      </c>
      <c r="E3425" s="16">
        <v>0</v>
      </c>
      <c r="F3425" s="16" t="s">
        <v>64</v>
      </c>
      <c r="G3425" s="16" t="s">
        <v>64</v>
      </c>
    </row>
    <row r="3426" spans="1:7" x14ac:dyDescent="0.2">
      <c r="A3426" t="s">
        <v>64</v>
      </c>
      <c r="B3426" t="s">
        <v>64</v>
      </c>
      <c r="C3426" s="3" t="s">
        <v>64</v>
      </c>
      <c r="D3426" s="16" t="s">
        <v>64</v>
      </c>
      <c r="E3426" s="16">
        <v>0</v>
      </c>
      <c r="F3426" s="16" t="s">
        <v>64</v>
      </c>
      <c r="G3426" s="16" t="s">
        <v>64</v>
      </c>
    </row>
    <row r="3427" spans="1:7" x14ac:dyDescent="0.2">
      <c r="A3427" t="s">
        <v>64</v>
      </c>
      <c r="B3427" t="s">
        <v>64</v>
      </c>
      <c r="C3427" s="3" t="s">
        <v>64</v>
      </c>
      <c r="D3427" s="16" t="s">
        <v>64</v>
      </c>
      <c r="E3427" s="16">
        <v>0</v>
      </c>
      <c r="F3427" s="16" t="s">
        <v>64</v>
      </c>
      <c r="G3427" s="16" t="s">
        <v>64</v>
      </c>
    </row>
    <row r="3428" spans="1:7" x14ac:dyDescent="0.2">
      <c r="A3428" t="s">
        <v>64</v>
      </c>
      <c r="B3428" t="s">
        <v>64</v>
      </c>
      <c r="C3428" s="3" t="s">
        <v>64</v>
      </c>
      <c r="D3428" s="16" t="s">
        <v>64</v>
      </c>
      <c r="E3428" s="16">
        <v>0</v>
      </c>
      <c r="F3428" s="16" t="s">
        <v>64</v>
      </c>
      <c r="G3428" s="16" t="s">
        <v>64</v>
      </c>
    </row>
    <row r="3429" spans="1:7" x14ac:dyDescent="0.2">
      <c r="A3429" t="s">
        <v>64</v>
      </c>
      <c r="B3429" t="s">
        <v>64</v>
      </c>
      <c r="C3429" s="3" t="s">
        <v>64</v>
      </c>
      <c r="D3429" s="16" t="s">
        <v>64</v>
      </c>
      <c r="E3429" s="16">
        <v>0</v>
      </c>
      <c r="F3429" s="16" t="s">
        <v>64</v>
      </c>
      <c r="G3429" s="16" t="s">
        <v>64</v>
      </c>
    </row>
    <row r="3430" spans="1:7" x14ac:dyDescent="0.2">
      <c r="A3430" t="s">
        <v>64</v>
      </c>
      <c r="B3430" t="s">
        <v>64</v>
      </c>
      <c r="C3430" s="3" t="s">
        <v>64</v>
      </c>
      <c r="D3430" s="16" t="s">
        <v>64</v>
      </c>
      <c r="E3430" s="16">
        <v>0</v>
      </c>
      <c r="F3430" s="16" t="s">
        <v>64</v>
      </c>
      <c r="G3430" s="16" t="s">
        <v>64</v>
      </c>
    </row>
    <row r="3431" spans="1:7" x14ac:dyDescent="0.2">
      <c r="A3431" t="s">
        <v>64</v>
      </c>
      <c r="B3431" t="s">
        <v>64</v>
      </c>
      <c r="C3431" s="3" t="s">
        <v>64</v>
      </c>
      <c r="D3431" s="16" t="s">
        <v>64</v>
      </c>
      <c r="E3431" s="16">
        <v>0</v>
      </c>
      <c r="F3431" s="16" t="s">
        <v>64</v>
      </c>
      <c r="G3431" s="16" t="s">
        <v>64</v>
      </c>
    </row>
    <row r="3432" spans="1:7" x14ac:dyDescent="0.2">
      <c r="A3432" t="s">
        <v>64</v>
      </c>
      <c r="B3432" t="s">
        <v>64</v>
      </c>
      <c r="C3432" s="3" t="s">
        <v>64</v>
      </c>
      <c r="D3432" s="16" t="s">
        <v>64</v>
      </c>
      <c r="E3432" s="16">
        <v>0</v>
      </c>
      <c r="F3432" s="16" t="s">
        <v>64</v>
      </c>
      <c r="G3432" s="16" t="s">
        <v>64</v>
      </c>
    </row>
    <row r="3433" spans="1:7" x14ac:dyDescent="0.2">
      <c r="A3433" t="s">
        <v>64</v>
      </c>
      <c r="B3433" t="s">
        <v>64</v>
      </c>
      <c r="C3433" s="3" t="s">
        <v>64</v>
      </c>
      <c r="D3433" s="16" t="s">
        <v>64</v>
      </c>
      <c r="E3433" s="16">
        <v>0</v>
      </c>
      <c r="F3433" s="16" t="s">
        <v>64</v>
      </c>
      <c r="G3433" s="16" t="s">
        <v>64</v>
      </c>
    </row>
    <row r="3434" spans="1:7" x14ac:dyDescent="0.2">
      <c r="A3434" t="s">
        <v>64</v>
      </c>
      <c r="B3434" t="s">
        <v>64</v>
      </c>
      <c r="C3434" s="3" t="s">
        <v>64</v>
      </c>
      <c r="D3434" s="16" t="s">
        <v>64</v>
      </c>
      <c r="E3434" s="16">
        <v>0</v>
      </c>
      <c r="F3434" s="16" t="s">
        <v>64</v>
      </c>
      <c r="G3434" s="16" t="s">
        <v>64</v>
      </c>
    </row>
    <row r="3435" spans="1:7" x14ac:dyDescent="0.2">
      <c r="A3435" t="s">
        <v>64</v>
      </c>
      <c r="B3435" t="s">
        <v>64</v>
      </c>
      <c r="C3435" s="3" t="s">
        <v>64</v>
      </c>
      <c r="D3435" s="16" t="s">
        <v>64</v>
      </c>
      <c r="E3435" s="16">
        <v>0</v>
      </c>
      <c r="F3435" s="16" t="s">
        <v>64</v>
      </c>
      <c r="G3435" s="16" t="s">
        <v>64</v>
      </c>
    </row>
    <row r="3436" spans="1:7" x14ac:dyDescent="0.2">
      <c r="A3436" t="s">
        <v>64</v>
      </c>
      <c r="B3436" t="s">
        <v>64</v>
      </c>
      <c r="C3436" s="3" t="s">
        <v>64</v>
      </c>
      <c r="D3436" s="16" t="s">
        <v>64</v>
      </c>
      <c r="E3436" s="16">
        <v>0</v>
      </c>
      <c r="F3436" s="16" t="s">
        <v>64</v>
      </c>
      <c r="G3436" s="16" t="s">
        <v>64</v>
      </c>
    </row>
    <row r="3437" spans="1:7" x14ac:dyDescent="0.2">
      <c r="A3437" t="s">
        <v>64</v>
      </c>
      <c r="B3437" t="s">
        <v>64</v>
      </c>
      <c r="C3437" s="3" t="s">
        <v>64</v>
      </c>
      <c r="D3437" s="16" t="s">
        <v>64</v>
      </c>
      <c r="E3437" s="16">
        <v>0</v>
      </c>
      <c r="F3437" s="16" t="s">
        <v>64</v>
      </c>
      <c r="G3437" s="16" t="s">
        <v>64</v>
      </c>
    </row>
    <row r="3438" spans="1:7" x14ac:dyDescent="0.2">
      <c r="A3438" t="s">
        <v>64</v>
      </c>
      <c r="B3438" t="s">
        <v>64</v>
      </c>
      <c r="C3438" s="3" t="s">
        <v>64</v>
      </c>
      <c r="D3438" s="16" t="s">
        <v>64</v>
      </c>
      <c r="E3438" s="16">
        <v>0</v>
      </c>
      <c r="F3438" s="16" t="s">
        <v>64</v>
      </c>
      <c r="G3438" s="16" t="s">
        <v>64</v>
      </c>
    </row>
    <row r="3439" spans="1:7" x14ac:dyDescent="0.2">
      <c r="A3439" t="s">
        <v>64</v>
      </c>
      <c r="B3439" t="s">
        <v>64</v>
      </c>
      <c r="C3439" s="3" t="s">
        <v>64</v>
      </c>
      <c r="D3439" s="16" t="s">
        <v>64</v>
      </c>
      <c r="E3439" s="16">
        <v>0</v>
      </c>
      <c r="F3439" s="16" t="s">
        <v>64</v>
      </c>
      <c r="G3439" s="16" t="s">
        <v>64</v>
      </c>
    </row>
    <row r="3440" spans="1:7" x14ac:dyDescent="0.2">
      <c r="A3440" t="s">
        <v>64</v>
      </c>
      <c r="B3440" t="s">
        <v>64</v>
      </c>
      <c r="C3440" s="3" t="s">
        <v>64</v>
      </c>
      <c r="D3440" s="16" t="s">
        <v>64</v>
      </c>
      <c r="E3440" s="16">
        <v>0</v>
      </c>
      <c r="F3440" s="16" t="s">
        <v>64</v>
      </c>
      <c r="G3440" s="16" t="s">
        <v>64</v>
      </c>
    </row>
    <row r="3441" spans="1:7" x14ac:dyDescent="0.2">
      <c r="A3441" t="s">
        <v>64</v>
      </c>
      <c r="B3441" t="s">
        <v>64</v>
      </c>
      <c r="C3441" s="3" t="s">
        <v>64</v>
      </c>
      <c r="D3441" s="16" t="s">
        <v>64</v>
      </c>
      <c r="E3441" s="16">
        <v>0</v>
      </c>
      <c r="F3441" s="16" t="s">
        <v>64</v>
      </c>
      <c r="G3441" s="16" t="s">
        <v>64</v>
      </c>
    </row>
    <row r="3442" spans="1:7" x14ac:dyDescent="0.2">
      <c r="A3442" t="s">
        <v>64</v>
      </c>
      <c r="B3442" t="s">
        <v>64</v>
      </c>
      <c r="C3442" s="3" t="s">
        <v>64</v>
      </c>
      <c r="D3442" s="16" t="s">
        <v>64</v>
      </c>
      <c r="E3442" s="16">
        <v>0</v>
      </c>
      <c r="F3442" s="16" t="s">
        <v>64</v>
      </c>
      <c r="G3442" s="16" t="s">
        <v>64</v>
      </c>
    </row>
    <row r="3443" spans="1:7" x14ac:dyDescent="0.2">
      <c r="A3443" t="s">
        <v>64</v>
      </c>
      <c r="B3443" t="s">
        <v>64</v>
      </c>
      <c r="C3443" s="3" t="s">
        <v>64</v>
      </c>
      <c r="D3443" s="16" t="s">
        <v>64</v>
      </c>
      <c r="E3443" s="16">
        <v>0</v>
      </c>
      <c r="F3443" s="16" t="s">
        <v>64</v>
      </c>
      <c r="G3443" s="16" t="s">
        <v>64</v>
      </c>
    </row>
    <row r="3444" spans="1:7" x14ac:dyDescent="0.2">
      <c r="A3444" t="s">
        <v>64</v>
      </c>
      <c r="B3444" t="s">
        <v>64</v>
      </c>
      <c r="C3444" s="3" t="s">
        <v>64</v>
      </c>
      <c r="D3444" s="16" t="s">
        <v>64</v>
      </c>
      <c r="E3444" s="16">
        <v>0</v>
      </c>
      <c r="F3444" s="16" t="s">
        <v>64</v>
      </c>
      <c r="G3444" s="16" t="s">
        <v>64</v>
      </c>
    </row>
    <row r="3445" spans="1:7" x14ac:dyDescent="0.2">
      <c r="A3445" t="s">
        <v>64</v>
      </c>
      <c r="B3445" t="s">
        <v>64</v>
      </c>
      <c r="C3445" s="3" t="s">
        <v>64</v>
      </c>
      <c r="D3445" s="16" t="s">
        <v>64</v>
      </c>
      <c r="E3445" s="16">
        <v>0</v>
      </c>
      <c r="F3445" s="16" t="s">
        <v>64</v>
      </c>
      <c r="G3445" s="16" t="s">
        <v>64</v>
      </c>
    </row>
    <row r="3446" spans="1:7" x14ac:dyDescent="0.2">
      <c r="A3446" t="s">
        <v>64</v>
      </c>
      <c r="B3446" t="s">
        <v>64</v>
      </c>
      <c r="C3446" s="3" t="s">
        <v>64</v>
      </c>
      <c r="D3446" s="16" t="s">
        <v>64</v>
      </c>
      <c r="E3446" s="16">
        <v>0</v>
      </c>
      <c r="F3446" s="16" t="s">
        <v>64</v>
      </c>
      <c r="G3446" s="16" t="s">
        <v>64</v>
      </c>
    </row>
    <row r="3447" spans="1:7" x14ac:dyDescent="0.2">
      <c r="A3447" t="s">
        <v>64</v>
      </c>
      <c r="B3447" t="s">
        <v>64</v>
      </c>
      <c r="C3447" s="3" t="s">
        <v>64</v>
      </c>
      <c r="D3447" s="16" t="s">
        <v>64</v>
      </c>
      <c r="E3447" s="16">
        <v>0</v>
      </c>
      <c r="F3447" s="16" t="s">
        <v>64</v>
      </c>
      <c r="G3447" s="16" t="s">
        <v>64</v>
      </c>
    </row>
    <row r="3448" spans="1:7" x14ac:dyDescent="0.2">
      <c r="A3448" t="s">
        <v>64</v>
      </c>
      <c r="B3448" t="s">
        <v>64</v>
      </c>
      <c r="C3448" s="3" t="s">
        <v>64</v>
      </c>
      <c r="D3448" s="16" t="s">
        <v>64</v>
      </c>
      <c r="E3448" s="16">
        <v>0</v>
      </c>
      <c r="F3448" s="16" t="s">
        <v>64</v>
      </c>
      <c r="G3448" s="16" t="s">
        <v>64</v>
      </c>
    </row>
    <row r="3449" spans="1:7" x14ac:dyDescent="0.2">
      <c r="A3449" t="s">
        <v>64</v>
      </c>
      <c r="B3449" t="s">
        <v>64</v>
      </c>
      <c r="C3449" s="3" t="s">
        <v>64</v>
      </c>
      <c r="D3449" s="16" t="s">
        <v>64</v>
      </c>
      <c r="E3449" s="16">
        <v>0</v>
      </c>
      <c r="F3449" s="16" t="s">
        <v>64</v>
      </c>
      <c r="G3449" s="16" t="s">
        <v>64</v>
      </c>
    </row>
    <row r="3450" spans="1:7" x14ac:dyDescent="0.2">
      <c r="A3450" t="s">
        <v>64</v>
      </c>
      <c r="B3450" t="s">
        <v>64</v>
      </c>
      <c r="C3450" s="3" t="s">
        <v>64</v>
      </c>
      <c r="D3450" s="16" t="s">
        <v>64</v>
      </c>
      <c r="E3450" s="16">
        <v>0</v>
      </c>
      <c r="F3450" s="16" t="s">
        <v>64</v>
      </c>
      <c r="G3450" s="16" t="s">
        <v>64</v>
      </c>
    </row>
    <row r="3451" spans="1:7" x14ac:dyDescent="0.2">
      <c r="A3451" t="s">
        <v>64</v>
      </c>
      <c r="B3451" t="s">
        <v>64</v>
      </c>
      <c r="C3451" s="3" t="s">
        <v>64</v>
      </c>
      <c r="D3451" s="16" t="s">
        <v>64</v>
      </c>
      <c r="E3451" s="16">
        <v>0</v>
      </c>
      <c r="F3451" s="16" t="s">
        <v>64</v>
      </c>
      <c r="G3451" s="16" t="s">
        <v>64</v>
      </c>
    </row>
    <row r="3452" spans="1:7" x14ac:dyDescent="0.2">
      <c r="A3452" t="s">
        <v>64</v>
      </c>
      <c r="B3452" t="s">
        <v>64</v>
      </c>
      <c r="C3452" s="3" t="s">
        <v>64</v>
      </c>
      <c r="D3452" s="16" t="s">
        <v>64</v>
      </c>
      <c r="E3452" s="16">
        <v>0</v>
      </c>
      <c r="F3452" s="16" t="s">
        <v>64</v>
      </c>
      <c r="G3452" s="16" t="s">
        <v>64</v>
      </c>
    </row>
    <row r="3453" spans="1:7" x14ac:dyDescent="0.2">
      <c r="A3453" t="s">
        <v>64</v>
      </c>
      <c r="B3453" t="s">
        <v>64</v>
      </c>
      <c r="C3453" s="3" t="s">
        <v>64</v>
      </c>
      <c r="D3453" s="16" t="s">
        <v>64</v>
      </c>
      <c r="E3453" s="16">
        <v>0</v>
      </c>
      <c r="F3453" s="16" t="s">
        <v>64</v>
      </c>
      <c r="G3453" s="16" t="s">
        <v>64</v>
      </c>
    </row>
    <row r="3454" spans="1:7" x14ac:dyDescent="0.2">
      <c r="A3454" t="s">
        <v>64</v>
      </c>
      <c r="B3454" t="s">
        <v>64</v>
      </c>
      <c r="C3454" s="3" t="s">
        <v>64</v>
      </c>
      <c r="D3454" s="16" t="s">
        <v>64</v>
      </c>
      <c r="E3454" s="16">
        <v>0</v>
      </c>
      <c r="F3454" s="16" t="s">
        <v>64</v>
      </c>
      <c r="G3454" s="16" t="s">
        <v>64</v>
      </c>
    </row>
    <row r="3455" spans="1:7" x14ac:dyDescent="0.2">
      <c r="A3455" t="s">
        <v>64</v>
      </c>
      <c r="B3455" t="s">
        <v>64</v>
      </c>
      <c r="C3455" s="3" t="s">
        <v>64</v>
      </c>
      <c r="D3455" s="16" t="s">
        <v>64</v>
      </c>
      <c r="E3455" s="16">
        <v>0</v>
      </c>
      <c r="F3455" s="16" t="s">
        <v>64</v>
      </c>
      <c r="G3455" s="16" t="s">
        <v>64</v>
      </c>
    </row>
    <row r="3456" spans="1:7" x14ac:dyDescent="0.2">
      <c r="A3456" t="s">
        <v>64</v>
      </c>
      <c r="B3456" t="s">
        <v>64</v>
      </c>
      <c r="C3456" s="3" t="s">
        <v>64</v>
      </c>
      <c r="D3456" s="16" t="s">
        <v>64</v>
      </c>
      <c r="E3456" s="16">
        <v>0</v>
      </c>
      <c r="F3456" s="16" t="s">
        <v>64</v>
      </c>
      <c r="G3456" s="16" t="s">
        <v>64</v>
      </c>
    </row>
    <row r="3457" spans="1:7" x14ac:dyDescent="0.2">
      <c r="A3457" t="s">
        <v>64</v>
      </c>
      <c r="B3457" t="s">
        <v>64</v>
      </c>
      <c r="C3457" s="3" t="s">
        <v>64</v>
      </c>
      <c r="D3457" s="16" t="s">
        <v>64</v>
      </c>
      <c r="E3457" s="16">
        <v>0</v>
      </c>
      <c r="F3457" s="16" t="s">
        <v>64</v>
      </c>
      <c r="G3457" s="16" t="s">
        <v>64</v>
      </c>
    </row>
    <row r="3458" spans="1:7" x14ac:dyDescent="0.2">
      <c r="A3458" t="s">
        <v>64</v>
      </c>
      <c r="B3458" t="s">
        <v>64</v>
      </c>
      <c r="C3458" s="3" t="s">
        <v>64</v>
      </c>
      <c r="D3458" s="16" t="s">
        <v>64</v>
      </c>
      <c r="E3458" s="16">
        <v>0</v>
      </c>
      <c r="F3458" s="16" t="s">
        <v>64</v>
      </c>
      <c r="G3458" s="16" t="s">
        <v>64</v>
      </c>
    </row>
    <row r="3459" spans="1:7" x14ac:dyDescent="0.2">
      <c r="A3459" t="s">
        <v>64</v>
      </c>
      <c r="B3459" t="s">
        <v>64</v>
      </c>
      <c r="C3459" s="3" t="s">
        <v>64</v>
      </c>
      <c r="D3459" s="16" t="s">
        <v>64</v>
      </c>
      <c r="E3459" s="16">
        <v>0</v>
      </c>
      <c r="F3459" s="16" t="s">
        <v>64</v>
      </c>
      <c r="G3459" s="16" t="s">
        <v>64</v>
      </c>
    </row>
    <row r="3460" spans="1:7" x14ac:dyDescent="0.2">
      <c r="A3460" t="s">
        <v>64</v>
      </c>
      <c r="B3460" t="s">
        <v>64</v>
      </c>
      <c r="C3460" s="3" t="s">
        <v>64</v>
      </c>
      <c r="D3460" s="16" t="s">
        <v>64</v>
      </c>
      <c r="E3460" s="16">
        <v>0</v>
      </c>
      <c r="F3460" s="16" t="s">
        <v>64</v>
      </c>
      <c r="G3460" s="16" t="s">
        <v>64</v>
      </c>
    </row>
    <row r="3461" spans="1:7" x14ac:dyDescent="0.2">
      <c r="A3461" t="s">
        <v>64</v>
      </c>
      <c r="B3461" t="s">
        <v>64</v>
      </c>
      <c r="C3461" s="3" t="s">
        <v>64</v>
      </c>
      <c r="D3461" s="16" t="s">
        <v>64</v>
      </c>
      <c r="E3461" s="16">
        <v>0</v>
      </c>
      <c r="F3461" s="16" t="s">
        <v>64</v>
      </c>
      <c r="G3461" s="16" t="s">
        <v>64</v>
      </c>
    </row>
    <row r="3462" spans="1:7" x14ac:dyDescent="0.2">
      <c r="A3462" t="s">
        <v>64</v>
      </c>
      <c r="B3462" t="s">
        <v>64</v>
      </c>
      <c r="C3462" s="3" t="s">
        <v>64</v>
      </c>
      <c r="D3462" s="16" t="s">
        <v>64</v>
      </c>
      <c r="E3462" s="16">
        <v>0</v>
      </c>
      <c r="F3462" s="16" t="s">
        <v>64</v>
      </c>
      <c r="G3462" s="16" t="s">
        <v>64</v>
      </c>
    </row>
    <row r="3463" spans="1:7" x14ac:dyDescent="0.2">
      <c r="A3463" t="s">
        <v>64</v>
      </c>
      <c r="B3463" t="s">
        <v>64</v>
      </c>
      <c r="C3463" s="3" t="s">
        <v>64</v>
      </c>
      <c r="D3463" s="16" t="s">
        <v>64</v>
      </c>
      <c r="E3463" s="16">
        <v>0</v>
      </c>
      <c r="F3463" s="16" t="s">
        <v>64</v>
      </c>
      <c r="G3463" s="16" t="s">
        <v>64</v>
      </c>
    </row>
    <row r="3464" spans="1:7" x14ac:dyDescent="0.2">
      <c r="A3464" t="s">
        <v>64</v>
      </c>
      <c r="B3464" t="s">
        <v>64</v>
      </c>
      <c r="C3464" s="3" t="s">
        <v>64</v>
      </c>
      <c r="D3464" s="16" t="s">
        <v>64</v>
      </c>
      <c r="E3464" s="16">
        <v>0</v>
      </c>
      <c r="F3464" s="16" t="s">
        <v>64</v>
      </c>
      <c r="G3464" s="16" t="s">
        <v>64</v>
      </c>
    </row>
    <row r="3465" spans="1:7" x14ac:dyDescent="0.2">
      <c r="A3465" t="s">
        <v>64</v>
      </c>
      <c r="B3465" t="s">
        <v>64</v>
      </c>
      <c r="C3465" s="3" t="s">
        <v>64</v>
      </c>
      <c r="D3465" s="16" t="s">
        <v>64</v>
      </c>
      <c r="E3465" s="16">
        <v>0</v>
      </c>
      <c r="F3465" s="16" t="s">
        <v>64</v>
      </c>
      <c r="G3465" s="16" t="s">
        <v>64</v>
      </c>
    </row>
    <row r="3466" spans="1:7" x14ac:dyDescent="0.2">
      <c r="A3466" t="s">
        <v>64</v>
      </c>
      <c r="B3466" t="s">
        <v>64</v>
      </c>
      <c r="C3466" s="3" t="s">
        <v>64</v>
      </c>
      <c r="D3466" s="16" t="s">
        <v>64</v>
      </c>
      <c r="E3466" s="16">
        <v>0</v>
      </c>
      <c r="F3466" s="16" t="s">
        <v>64</v>
      </c>
      <c r="G3466" s="16" t="s">
        <v>64</v>
      </c>
    </row>
    <row r="3467" spans="1:7" x14ac:dyDescent="0.2">
      <c r="A3467" t="s">
        <v>64</v>
      </c>
      <c r="B3467" t="s">
        <v>64</v>
      </c>
      <c r="C3467" s="3" t="s">
        <v>64</v>
      </c>
      <c r="D3467" s="16" t="s">
        <v>64</v>
      </c>
      <c r="E3467" s="16">
        <v>0</v>
      </c>
      <c r="F3467" s="16" t="s">
        <v>64</v>
      </c>
      <c r="G3467" s="16" t="s">
        <v>64</v>
      </c>
    </row>
    <row r="3468" spans="1:7" x14ac:dyDescent="0.2">
      <c r="A3468" t="s">
        <v>64</v>
      </c>
      <c r="B3468" t="s">
        <v>64</v>
      </c>
      <c r="C3468" s="3" t="s">
        <v>64</v>
      </c>
      <c r="D3468" s="16" t="s">
        <v>64</v>
      </c>
      <c r="E3468" s="16">
        <v>0</v>
      </c>
      <c r="F3468" s="16" t="s">
        <v>64</v>
      </c>
      <c r="G3468" s="16" t="s">
        <v>64</v>
      </c>
    </row>
    <row r="3469" spans="1:7" x14ac:dyDescent="0.2">
      <c r="A3469" t="s">
        <v>64</v>
      </c>
      <c r="B3469" t="s">
        <v>64</v>
      </c>
      <c r="C3469" s="3" t="s">
        <v>64</v>
      </c>
      <c r="D3469" s="16" t="s">
        <v>64</v>
      </c>
      <c r="E3469" s="16">
        <v>0</v>
      </c>
      <c r="F3469" s="16" t="s">
        <v>64</v>
      </c>
      <c r="G3469" s="16" t="s">
        <v>64</v>
      </c>
    </row>
    <row r="3470" spans="1:7" x14ac:dyDescent="0.2">
      <c r="A3470" t="s">
        <v>64</v>
      </c>
      <c r="B3470" t="s">
        <v>64</v>
      </c>
      <c r="C3470" s="3" t="s">
        <v>64</v>
      </c>
      <c r="D3470" s="16" t="s">
        <v>64</v>
      </c>
      <c r="E3470" s="16">
        <v>0</v>
      </c>
      <c r="F3470" s="16" t="s">
        <v>64</v>
      </c>
      <c r="G3470" s="16" t="s">
        <v>64</v>
      </c>
    </row>
    <row r="3471" spans="1:7" x14ac:dyDescent="0.2">
      <c r="A3471" t="s">
        <v>64</v>
      </c>
      <c r="B3471" t="s">
        <v>64</v>
      </c>
      <c r="C3471" s="3" t="s">
        <v>64</v>
      </c>
      <c r="D3471" s="16" t="s">
        <v>64</v>
      </c>
      <c r="E3471" s="16">
        <v>0</v>
      </c>
      <c r="F3471" s="16" t="s">
        <v>64</v>
      </c>
      <c r="G3471" s="16" t="s">
        <v>64</v>
      </c>
    </row>
    <row r="3472" spans="1:7" x14ac:dyDescent="0.2">
      <c r="A3472" t="s">
        <v>64</v>
      </c>
      <c r="B3472" t="s">
        <v>64</v>
      </c>
      <c r="C3472" s="3" t="s">
        <v>64</v>
      </c>
      <c r="D3472" s="16" t="s">
        <v>64</v>
      </c>
      <c r="E3472" s="16">
        <v>0</v>
      </c>
      <c r="F3472" s="16" t="s">
        <v>64</v>
      </c>
      <c r="G3472" s="16" t="s">
        <v>64</v>
      </c>
    </row>
    <row r="3473" spans="1:7" x14ac:dyDescent="0.2">
      <c r="A3473" t="s">
        <v>64</v>
      </c>
      <c r="B3473" t="s">
        <v>64</v>
      </c>
      <c r="C3473" s="3" t="s">
        <v>64</v>
      </c>
      <c r="D3473" s="16" t="s">
        <v>64</v>
      </c>
      <c r="E3473" s="16">
        <v>0</v>
      </c>
      <c r="F3473" s="16" t="s">
        <v>64</v>
      </c>
      <c r="G3473" s="16" t="s">
        <v>64</v>
      </c>
    </row>
    <row r="3474" spans="1:7" x14ac:dyDescent="0.2">
      <c r="A3474" t="s">
        <v>64</v>
      </c>
      <c r="B3474" t="s">
        <v>64</v>
      </c>
      <c r="C3474" s="3" t="s">
        <v>64</v>
      </c>
      <c r="D3474" s="16" t="s">
        <v>64</v>
      </c>
      <c r="E3474" s="16">
        <v>0</v>
      </c>
      <c r="F3474" s="16" t="s">
        <v>64</v>
      </c>
      <c r="G3474" s="16" t="s">
        <v>64</v>
      </c>
    </row>
    <row r="3475" spans="1:7" x14ac:dyDescent="0.2">
      <c r="A3475" t="s">
        <v>64</v>
      </c>
      <c r="B3475" t="s">
        <v>64</v>
      </c>
      <c r="C3475" s="3" t="s">
        <v>64</v>
      </c>
      <c r="D3475" s="16" t="s">
        <v>64</v>
      </c>
      <c r="E3475" s="16">
        <v>0</v>
      </c>
      <c r="F3475" s="16" t="s">
        <v>64</v>
      </c>
      <c r="G3475" s="16" t="s">
        <v>64</v>
      </c>
    </row>
    <row r="3476" spans="1:7" x14ac:dyDescent="0.2">
      <c r="A3476" t="s">
        <v>64</v>
      </c>
      <c r="B3476" t="s">
        <v>64</v>
      </c>
      <c r="C3476" s="3" t="s">
        <v>64</v>
      </c>
      <c r="D3476" s="16" t="s">
        <v>64</v>
      </c>
      <c r="E3476" s="16">
        <v>0</v>
      </c>
      <c r="F3476" s="16" t="s">
        <v>64</v>
      </c>
      <c r="G3476" s="16" t="s">
        <v>64</v>
      </c>
    </row>
    <row r="3477" spans="1:7" x14ac:dyDescent="0.2">
      <c r="A3477" t="s">
        <v>64</v>
      </c>
      <c r="B3477" t="s">
        <v>64</v>
      </c>
      <c r="C3477" s="3" t="s">
        <v>64</v>
      </c>
      <c r="D3477" s="16" t="s">
        <v>64</v>
      </c>
      <c r="E3477" s="16">
        <v>0</v>
      </c>
      <c r="F3477" s="16" t="s">
        <v>64</v>
      </c>
      <c r="G3477" s="16" t="s">
        <v>64</v>
      </c>
    </row>
    <row r="3478" spans="1:7" x14ac:dyDescent="0.2">
      <c r="A3478" t="s">
        <v>64</v>
      </c>
      <c r="B3478" t="s">
        <v>64</v>
      </c>
      <c r="C3478" s="3" t="s">
        <v>64</v>
      </c>
      <c r="D3478" s="16" t="s">
        <v>64</v>
      </c>
      <c r="E3478" s="16">
        <v>0</v>
      </c>
      <c r="F3478" s="16" t="s">
        <v>64</v>
      </c>
      <c r="G3478" s="16" t="s">
        <v>64</v>
      </c>
    </row>
    <row r="3479" spans="1:7" x14ac:dyDescent="0.2">
      <c r="A3479" t="s">
        <v>64</v>
      </c>
      <c r="B3479" t="s">
        <v>64</v>
      </c>
      <c r="C3479" s="3" t="s">
        <v>64</v>
      </c>
      <c r="D3479" s="16" t="s">
        <v>64</v>
      </c>
      <c r="E3479" s="16">
        <v>0</v>
      </c>
      <c r="F3479" s="16" t="s">
        <v>64</v>
      </c>
      <c r="G3479" s="16" t="s">
        <v>64</v>
      </c>
    </row>
    <row r="3480" spans="1:7" x14ac:dyDescent="0.2">
      <c r="A3480" t="s">
        <v>64</v>
      </c>
      <c r="B3480" t="s">
        <v>64</v>
      </c>
      <c r="C3480" s="3" t="s">
        <v>64</v>
      </c>
      <c r="D3480" s="16" t="s">
        <v>64</v>
      </c>
      <c r="E3480" s="16">
        <v>0</v>
      </c>
      <c r="F3480" s="16" t="s">
        <v>64</v>
      </c>
      <c r="G3480" s="16" t="s">
        <v>64</v>
      </c>
    </row>
    <row r="3481" spans="1:7" x14ac:dyDescent="0.2">
      <c r="A3481" t="s">
        <v>64</v>
      </c>
      <c r="B3481" t="s">
        <v>64</v>
      </c>
      <c r="C3481" s="3" t="s">
        <v>64</v>
      </c>
      <c r="D3481" s="16" t="s">
        <v>64</v>
      </c>
      <c r="E3481" s="16">
        <v>0</v>
      </c>
      <c r="F3481" s="16" t="s">
        <v>64</v>
      </c>
      <c r="G3481" s="16" t="s">
        <v>64</v>
      </c>
    </row>
    <row r="3482" spans="1:7" x14ac:dyDescent="0.2">
      <c r="A3482" t="s">
        <v>64</v>
      </c>
      <c r="B3482" t="s">
        <v>64</v>
      </c>
      <c r="C3482" s="3" t="s">
        <v>64</v>
      </c>
      <c r="D3482" s="16" t="s">
        <v>64</v>
      </c>
      <c r="E3482" s="16">
        <v>0</v>
      </c>
      <c r="F3482" s="16" t="s">
        <v>64</v>
      </c>
      <c r="G3482" s="16" t="s">
        <v>64</v>
      </c>
    </row>
    <row r="3483" spans="1:7" x14ac:dyDescent="0.2">
      <c r="A3483" t="s">
        <v>64</v>
      </c>
      <c r="B3483" t="s">
        <v>64</v>
      </c>
      <c r="C3483" s="3" t="s">
        <v>64</v>
      </c>
      <c r="D3483" s="16" t="s">
        <v>64</v>
      </c>
      <c r="E3483" s="16">
        <v>0</v>
      </c>
      <c r="F3483" s="16" t="s">
        <v>64</v>
      </c>
      <c r="G3483" s="16" t="s">
        <v>64</v>
      </c>
    </row>
    <row r="3484" spans="1:7" x14ac:dyDescent="0.2">
      <c r="A3484" t="s">
        <v>64</v>
      </c>
      <c r="B3484" t="s">
        <v>64</v>
      </c>
      <c r="C3484" s="3" t="s">
        <v>64</v>
      </c>
      <c r="D3484" s="16" t="s">
        <v>64</v>
      </c>
      <c r="E3484" s="16">
        <v>0</v>
      </c>
      <c r="F3484" s="16" t="s">
        <v>64</v>
      </c>
      <c r="G3484" s="16" t="s">
        <v>64</v>
      </c>
    </row>
    <row r="3485" spans="1:7" x14ac:dyDescent="0.2">
      <c r="A3485" t="s">
        <v>64</v>
      </c>
      <c r="B3485" t="s">
        <v>64</v>
      </c>
      <c r="C3485" s="3" t="s">
        <v>64</v>
      </c>
      <c r="D3485" s="16" t="s">
        <v>64</v>
      </c>
      <c r="E3485" s="16">
        <v>0</v>
      </c>
      <c r="F3485" s="16" t="s">
        <v>64</v>
      </c>
      <c r="G3485" s="16" t="s">
        <v>64</v>
      </c>
    </row>
    <row r="3486" spans="1:7" x14ac:dyDescent="0.2">
      <c r="A3486" t="s">
        <v>64</v>
      </c>
      <c r="B3486" t="s">
        <v>64</v>
      </c>
      <c r="C3486" s="3" t="s">
        <v>64</v>
      </c>
      <c r="D3486" s="16" t="s">
        <v>64</v>
      </c>
      <c r="E3486" s="16">
        <v>0</v>
      </c>
      <c r="F3486" s="16" t="s">
        <v>64</v>
      </c>
      <c r="G3486" s="16" t="s">
        <v>64</v>
      </c>
    </row>
    <row r="3487" spans="1:7" x14ac:dyDescent="0.2">
      <c r="A3487" t="s">
        <v>64</v>
      </c>
      <c r="B3487" t="s">
        <v>64</v>
      </c>
      <c r="C3487" s="3" t="s">
        <v>64</v>
      </c>
      <c r="D3487" s="16" t="s">
        <v>64</v>
      </c>
      <c r="E3487" s="16">
        <v>0</v>
      </c>
      <c r="F3487" s="16" t="s">
        <v>64</v>
      </c>
      <c r="G3487" s="16" t="s">
        <v>64</v>
      </c>
    </row>
    <row r="3488" spans="1:7" x14ac:dyDescent="0.2">
      <c r="A3488" t="s">
        <v>64</v>
      </c>
      <c r="B3488" t="s">
        <v>64</v>
      </c>
      <c r="C3488" s="3" t="s">
        <v>64</v>
      </c>
      <c r="D3488" s="16" t="s">
        <v>64</v>
      </c>
      <c r="E3488" s="16">
        <v>0</v>
      </c>
      <c r="F3488" s="16" t="s">
        <v>64</v>
      </c>
      <c r="G3488" s="16" t="s">
        <v>64</v>
      </c>
    </row>
    <row r="3489" spans="1:7" x14ac:dyDescent="0.2">
      <c r="A3489" t="s">
        <v>64</v>
      </c>
      <c r="B3489" t="s">
        <v>64</v>
      </c>
      <c r="C3489" s="3" t="s">
        <v>64</v>
      </c>
      <c r="D3489" s="16" t="s">
        <v>64</v>
      </c>
      <c r="E3489" s="16">
        <v>0</v>
      </c>
      <c r="F3489" s="16" t="s">
        <v>64</v>
      </c>
      <c r="G3489" s="16" t="s">
        <v>64</v>
      </c>
    </row>
    <row r="3490" spans="1:7" x14ac:dyDescent="0.2">
      <c r="A3490" t="s">
        <v>64</v>
      </c>
      <c r="B3490" t="s">
        <v>64</v>
      </c>
      <c r="C3490" s="3" t="s">
        <v>64</v>
      </c>
      <c r="D3490" s="16" t="s">
        <v>64</v>
      </c>
      <c r="E3490" s="16">
        <v>0</v>
      </c>
      <c r="F3490" s="16" t="s">
        <v>64</v>
      </c>
      <c r="G3490" s="16" t="s">
        <v>64</v>
      </c>
    </row>
    <row r="3491" spans="1:7" x14ac:dyDescent="0.2">
      <c r="A3491" t="s">
        <v>64</v>
      </c>
      <c r="B3491" t="s">
        <v>64</v>
      </c>
      <c r="C3491" s="3" t="s">
        <v>64</v>
      </c>
      <c r="D3491" s="16" t="s">
        <v>64</v>
      </c>
      <c r="E3491" s="16">
        <v>0</v>
      </c>
      <c r="F3491" s="16" t="s">
        <v>64</v>
      </c>
      <c r="G3491" s="16" t="s">
        <v>64</v>
      </c>
    </row>
    <row r="3492" spans="1:7" x14ac:dyDescent="0.2">
      <c r="A3492" t="s">
        <v>64</v>
      </c>
      <c r="B3492" t="s">
        <v>64</v>
      </c>
      <c r="C3492" s="3" t="s">
        <v>64</v>
      </c>
      <c r="D3492" s="16" t="s">
        <v>64</v>
      </c>
      <c r="E3492" s="16">
        <v>0</v>
      </c>
      <c r="F3492" s="16" t="s">
        <v>64</v>
      </c>
      <c r="G3492" s="16" t="s">
        <v>64</v>
      </c>
    </row>
    <row r="3493" spans="1:7" x14ac:dyDescent="0.2">
      <c r="A3493" t="s">
        <v>64</v>
      </c>
      <c r="B3493" t="s">
        <v>64</v>
      </c>
      <c r="C3493" s="3" t="s">
        <v>64</v>
      </c>
      <c r="D3493" s="16" t="s">
        <v>64</v>
      </c>
      <c r="E3493" s="16">
        <v>0</v>
      </c>
      <c r="F3493" s="16" t="s">
        <v>64</v>
      </c>
      <c r="G3493" s="16" t="s">
        <v>64</v>
      </c>
    </row>
    <row r="3494" spans="1:7" x14ac:dyDescent="0.2">
      <c r="A3494" t="s">
        <v>64</v>
      </c>
      <c r="B3494" t="s">
        <v>64</v>
      </c>
      <c r="C3494" s="3" t="s">
        <v>64</v>
      </c>
      <c r="D3494" s="16" t="s">
        <v>64</v>
      </c>
      <c r="E3494" s="16">
        <v>0</v>
      </c>
      <c r="F3494" s="16" t="s">
        <v>64</v>
      </c>
      <c r="G3494" s="16" t="s">
        <v>64</v>
      </c>
    </row>
    <row r="3495" spans="1:7" x14ac:dyDescent="0.2">
      <c r="A3495" t="s">
        <v>64</v>
      </c>
      <c r="B3495" t="s">
        <v>64</v>
      </c>
      <c r="C3495" s="3" t="s">
        <v>64</v>
      </c>
      <c r="D3495" s="16" t="s">
        <v>64</v>
      </c>
      <c r="E3495" s="16">
        <v>0</v>
      </c>
      <c r="F3495" s="16" t="s">
        <v>64</v>
      </c>
      <c r="G3495" s="16" t="s">
        <v>64</v>
      </c>
    </row>
    <row r="3496" spans="1:7" x14ac:dyDescent="0.2">
      <c r="A3496" t="s">
        <v>64</v>
      </c>
      <c r="B3496" t="s">
        <v>64</v>
      </c>
      <c r="C3496" s="3" t="s">
        <v>64</v>
      </c>
      <c r="D3496" s="16" t="s">
        <v>64</v>
      </c>
      <c r="E3496" s="16">
        <v>0</v>
      </c>
      <c r="F3496" s="16" t="s">
        <v>64</v>
      </c>
      <c r="G3496" s="16" t="s">
        <v>64</v>
      </c>
    </row>
    <row r="3497" spans="1:7" x14ac:dyDescent="0.2">
      <c r="A3497" t="s">
        <v>64</v>
      </c>
      <c r="B3497" t="s">
        <v>64</v>
      </c>
      <c r="C3497" s="3" t="s">
        <v>64</v>
      </c>
      <c r="D3497" s="16" t="s">
        <v>64</v>
      </c>
      <c r="E3497" s="16">
        <v>0</v>
      </c>
      <c r="F3497" s="16" t="s">
        <v>64</v>
      </c>
      <c r="G3497" s="16" t="s">
        <v>64</v>
      </c>
    </row>
    <row r="3498" spans="1:7" x14ac:dyDescent="0.2">
      <c r="A3498" t="s">
        <v>64</v>
      </c>
      <c r="B3498" t="s">
        <v>64</v>
      </c>
      <c r="C3498" s="3" t="s">
        <v>64</v>
      </c>
      <c r="D3498" s="16" t="s">
        <v>64</v>
      </c>
      <c r="E3498" s="16">
        <v>0</v>
      </c>
      <c r="F3498" s="16" t="s">
        <v>64</v>
      </c>
      <c r="G3498" s="16" t="s">
        <v>64</v>
      </c>
    </row>
    <row r="3499" spans="1:7" x14ac:dyDescent="0.2">
      <c r="A3499" t="s">
        <v>64</v>
      </c>
      <c r="B3499" t="s">
        <v>64</v>
      </c>
      <c r="C3499" s="3" t="s">
        <v>64</v>
      </c>
      <c r="D3499" s="16" t="s">
        <v>64</v>
      </c>
      <c r="E3499" s="16">
        <v>0</v>
      </c>
      <c r="F3499" s="16" t="s">
        <v>64</v>
      </c>
      <c r="G3499" s="16" t="s">
        <v>64</v>
      </c>
    </row>
    <row r="3500" spans="1:7" x14ac:dyDescent="0.2">
      <c r="A3500" t="s">
        <v>64</v>
      </c>
      <c r="B3500" t="s">
        <v>64</v>
      </c>
      <c r="C3500" s="3" t="s">
        <v>64</v>
      </c>
      <c r="D3500" s="16" t="s">
        <v>64</v>
      </c>
      <c r="E3500" s="16">
        <v>0</v>
      </c>
      <c r="F3500" s="16" t="s">
        <v>64</v>
      </c>
      <c r="G3500" s="16" t="s">
        <v>64</v>
      </c>
    </row>
    <row r="3501" spans="1:7" x14ac:dyDescent="0.2">
      <c r="A3501" t="s">
        <v>64</v>
      </c>
      <c r="B3501" t="s">
        <v>64</v>
      </c>
      <c r="C3501" s="3" t="s">
        <v>64</v>
      </c>
      <c r="D3501" s="16" t="s">
        <v>64</v>
      </c>
      <c r="E3501" s="16">
        <v>0</v>
      </c>
      <c r="F3501" s="16" t="s">
        <v>64</v>
      </c>
      <c r="G3501" s="16" t="s">
        <v>64</v>
      </c>
    </row>
    <row r="3502" spans="1:7" x14ac:dyDescent="0.2">
      <c r="A3502" t="s">
        <v>64</v>
      </c>
      <c r="B3502" t="s">
        <v>64</v>
      </c>
      <c r="C3502" s="3" t="s">
        <v>64</v>
      </c>
      <c r="D3502" s="16" t="s">
        <v>64</v>
      </c>
      <c r="E3502" s="16">
        <v>0</v>
      </c>
      <c r="F3502" s="16" t="s">
        <v>64</v>
      </c>
      <c r="G3502" s="16" t="s">
        <v>64</v>
      </c>
    </row>
    <row r="3503" spans="1:7" x14ac:dyDescent="0.2">
      <c r="A3503" t="s">
        <v>64</v>
      </c>
      <c r="B3503" t="s">
        <v>64</v>
      </c>
      <c r="C3503" s="3" t="s">
        <v>64</v>
      </c>
      <c r="D3503" s="16" t="s">
        <v>64</v>
      </c>
      <c r="E3503" s="16">
        <v>0</v>
      </c>
      <c r="F3503" s="16" t="s">
        <v>64</v>
      </c>
      <c r="G3503" s="16" t="s">
        <v>64</v>
      </c>
    </row>
    <row r="3504" spans="1:7" x14ac:dyDescent="0.2">
      <c r="A3504" t="s">
        <v>64</v>
      </c>
      <c r="B3504" t="s">
        <v>64</v>
      </c>
      <c r="C3504" s="3" t="s">
        <v>64</v>
      </c>
      <c r="D3504" s="16" t="s">
        <v>64</v>
      </c>
      <c r="E3504" s="16">
        <v>0</v>
      </c>
      <c r="F3504" s="16" t="s">
        <v>64</v>
      </c>
      <c r="G3504" s="16" t="s">
        <v>64</v>
      </c>
    </row>
    <row r="3505" spans="1:7" x14ac:dyDescent="0.2">
      <c r="A3505" t="s">
        <v>64</v>
      </c>
      <c r="B3505" t="s">
        <v>64</v>
      </c>
      <c r="C3505" s="3" t="s">
        <v>64</v>
      </c>
      <c r="D3505" s="16" t="s">
        <v>64</v>
      </c>
      <c r="E3505" s="16">
        <v>0</v>
      </c>
      <c r="F3505" s="16" t="s">
        <v>64</v>
      </c>
      <c r="G3505" s="16" t="s">
        <v>64</v>
      </c>
    </row>
    <row r="3506" spans="1:7" x14ac:dyDescent="0.2">
      <c r="A3506" t="s">
        <v>64</v>
      </c>
      <c r="B3506" t="s">
        <v>64</v>
      </c>
      <c r="C3506" s="3" t="s">
        <v>64</v>
      </c>
      <c r="D3506" s="16" t="s">
        <v>64</v>
      </c>
      <c r="E3506" s="16">
        <v>0</v>
      </c>
      <c r="F3506" s="16" t="s">
        <v>64</v>
      </c>
      <c r="G3506" s="16" t="s">
        <v>64</v>
      </c>
    </row>
    <row r="3507" spans="1:7" x14ac:dyDescent="0.2">
      <c r="A3507" t="s">
        <v>64</v>
      </c>
      <c r="B3507" t="s">
        <v>64</v>
      </c>
      <c r="C3507" s="3" t="s">
        <v>64</v>
      </c>
      <c r="D3507" s="16" t="s">
        <v>64</v>
      </c>
      <c r="E3507" s="16">
        <v>0</v>
      </c>
      <c r="F3507" s="16" t="s">
        <v>64</v>
      </c>
      <c r="G3507" s="16" t="s">
        <v>64</v>
      </c>
    </row>
    <row r="3508" spans="1:7" x14ac:dyDescent="0.2">
      <c r="A3508" t="s">
        <v>64</v>
      </c>
      <c r="B3508" t="s">
        <v>64</v>
      </c>
      <c r="C3508" s="3" t="s">
        <v>64</v>
      </c>
      <c r="D3508" s="16" t="s">
        <v>64</v>
      </c>
      <c r="E3508" s="16">
        <v>0</v>
      </c>
      <c r="F3508" s="16" t="s">
        <v>64</v>
      </c>
      <c r="G3508" s="16" t="s">
        <v>64</v>
      </c>
    </row>
    <row r="3509" spans="1:7" x14ac:dyDescent="0.2">
      <c r="A3509" t="s">
        <v>64</v>
      </c>
      <c r="B3509" t="s">
        <v>64</v>
      </c>
      <c r="C3509" s="3" t="s">
        <v>64</v>
      </c>
      <c r="D3509" s="16" t="s">
        <v>64</v>
      </c>
      <c r="E3509" s="16">
        <v>0</v>
      </c>
      <c r="F3509" s="16" t="s">
        <v>64</v>
      </c>
      <c r="G3509" s="16" t="s">
        <v>64</v>
      </c>
    </row>
    <row r="3510" spans="1:7" x14ac:dyDescent="0.2">
      <c r="A3510" t="s">
        <v>64</v>
      </c>
      <c r="B3510" t="s">
        <v>64</v>
      </c>
      <c r="C3510" s="3" t="s">
        <v>64</v>
      </c>
      <c r="D3510" s="16" t="s">
        <v>64</v>
      </c>
      <c r="E3510" s="16">
        <v>0</v>
      </c>
      <c r="F3510" s="16" t="s">
        <v>64</v>
      </c>
      <c r="G3510" s="16" t="s">
        <v>64</v>
      </c>
    </row>
    <row r="3511" spans="1:7" x14ac:dyDescent="0.2">
      <c r="A3511" t="s">
        <v>64</v>
      </c>
      <c r="B3511" t="s">
        <v>64</v>
      </c>
      <c r="C3511" s="3" t="s">
        <v>64</v>
      </c>
      <c r="D3511" s="16" t="s">
        <v>64</v>
      </c>
      <c r="E3511" s="16">
        <v>0</v>
      </c>
      <c r="F3511" s="16" t="s">
        <v>64</v>
      </c>
      <c r="G3511" s="16" t="s">
        <v>64</v>
      </c>
    </row>
    <row r="3512" spans="1:7" x14ac:dyDescent="0.2">
      <c r="A3512" t="s">
        <v>64</v>
      </c>
      <c r="B3512" t="s">
        <v>64</v>
      </c>
      <c r="C3512" s="3" t="s">
        <v>64</v>
      </c>
      <c r="D3512" s="16" t="s">
        <v>64</v>
      </c>
      <c r="E3512" s="16">
        <v>0</v>
      </c>
      <c r="F3512" s="16" t="s">
        <v>64</v>
      </c>
      <c r="G3512" s="16" t="s">
        <v>64</v>
      </c>
    </row>
    <row r="3513" spans="1:7" x14ac:dyDescent="0.2">
      <c r="A3513" t="s">
        <v>64</v>
      </c>
      <c r="B3513" t="s">
        <v>64</v>
      </c>
      <c r="C3513" s="3" t="s">
        <v>64</v>
      </c>
      <c r="D3513" s="16" t="s">
        <v>64</v>
      </c>
      <c r="E3513" s="16">
        <v>0</v>
      </c>
      <c r="F3513" s="16" t="s">
        <v>64</v>
      </c>
      <c r="G3513" s="16" t="s">
        <v>64</v>
      </c>
    </row>
    <row r="3514" spans="1:7" x14ac:dyDescent="0.2">
      <c r="A3514" t="s">
        <v>64</v>
      </c>
      <c r="B3514" t="s">
        <v>64</v>
      </c>
      <c r="C3514" s="3" t="s">
        <v>64</v>
      </c>
      <c r="D3514" s="16" t="s">
        <v>64</v>
      </c>
      <c r="E3514" s="16">
        <v>0</v>
      </c>
      <c r="F3514" s="16" t="s">
        <v>64</v>
      </c>
      <c r="G3514" s="16" t="s">
        <v>64</v>
      </c>
    </row>
    <row r="3515" spans="1:7" x14ac:dyDescent="0.2">
      <c r="A3515" t="s">
        <v>64</v>
      </c>
      <c r="B3515" t="s">
        <v>64</v>
      </c>
      <c r="C3515" s="3" t="s">
        <v>64</v>
      </c>
      <c r="D3515" s="16" t="s">
        <v>64</v>
      </c>
      <c r="E3515" s="16">
        <v>0</v>
      </c>
      <c r="F3515" s="16" t="s">
        <v>64</v>
      </c>
      <c r="G3515" s="16" t="s">
        <v>64</v>
      </c>
    </row>
    <row r="3516" spans="1:7" x14ac:dyDescent="0.2">
      <c r="A3516" t="s">
        <v>64</v>
      </c>
      <c r="B3516" t="s">
        <v>64</v>
      </c>
      <c r="C3516" s="3" t="s">
        <v>64</v>
      </c>
      <c r="D3516" s="16" t="s">
        <v>64</v>
      </c>
      <c r="E3516" s="16">
        <v>0</v>
      </c>
      <c r="F3516" s="16" t="s">
        <v>64</v>
      </c>
      <c r="G3516" s="16" t="s">
        <v>64</v>
      </c>
    </row>
    <row r="3517" spans="1:7" x14ac:dyDescent="0.2">
      <c r="A3517" t="s">
        <v>64</v>
      </c>
      <c r="B3517" t="s">
        <v>64</v>
      </c>
      <c r="C3517" s="3" t="s">
        <v>64</v>
      </c>
      <c r="D3517" s="16" t="s">
        <v>64</v>
      </c>
      <c r="E3517" s="16">
        <v>0</v>
      </c>
      <c r="F3517" s="16" t="s">
        <v>64</v>
      </c>
      <c r="G3517" s="16" t="s">
        <v>64</v>
      </c>
    </row>
    <row r="3518" spans="1:7" x14ac:dyDescent="0.2">
      <c r="A3518" t="s">
        <v>64</v>
      </c>
      <c r="B3518" t="s">
        <v>64</v>
      </c>
      <c r="C3518" s="3" t="s">
        <v>64</v>
      </c>
      <c r="D3518" s="16" t="s">
        <v>64</v>
      </c>
      <c r="E3518" s="16">
        <v>0</v>
      </c>
      <c r="F3518" s="16" t="s">
        <v>64</v>
      </c>
      <c r="G3518" s="16" t="s">
        <v>64</v>
      </c>
    </row>
    <row r="3519" spans="1:7" x14ac:dyDescent="0.2">
      <c r="A3519" t="s">
        <v>64</v>
      </c>
      <c r="B3519" t="s">
        <v>64</v>
      </c>
      <c r="C3519" s="3" t="s">
        <v>64</v>
      </c>
      <c r="D3519" s="16" t="s">
        <v>64</v>
      </c>
      <c r="E3519" s="16">
        <v>0</v>
      </c>
      <c r="F3519" s="16" t="s">
        <v>64</v>
      </c>
      <c r="G3519" s="16" t="s">
        <v>64</v>
      </c>
    </row>
    <row r="3520" spans="1:7" x14ac:dyDescent="0.2">
      <c r="A3520" t="s">
        <v>64</v>
      </c>
      <c r="B3520" t="s">
        <v>64</v>
      </c>
      <c r="C3520" s="3" t="s">
        <v>64</v>
      </c>
      <c r="D3520" s="16" t="s">
        <v>64</v>
      </c>
      <c r="E3520" s="16">
        <v>0</v>
      </c>
      <c r="F3520" s="16" t="s">
        <v>64</v>
      </c>
      <c r="G3520" s="16" t="s">
        <v>64</v>
      </c>
    </row>
    <row r="3521" spans="1:7" x14ac:dyDescent="0.2">
      <c r="A3521" t="s">
        <v>64</v>
      </c>
      <c r="B3521" t="s">
        <v>64</v>
      </c>
      <c r="C3521" s="3" t="s">
        <v>64</v>
      </c>
      <c r="D3521" s="16" t="s">
        <v>64</v>
      </c>
      <c r="E3521" s="16">
        <v>0</v>
      </c>
      <c r="F3521" s="16" t="s">
        <v>64</v>
      </c>
      <c r="G3521" s="16" t="s">
        <v>64</v>
      </c>
    </row>
    <row r="3522" spans="1:7" x14ac:dyDescent="0.2">
      <c r="A3522" t="s">
        <v>64</v>
      </c>
      <c r="B3522" t="s">
        <v>64</v>
      </c>
      <c r="C3522" s="3" t="s">
        <v>64</v>
      </c>
      <c r="D3522" s="16" t="s">
        <v>64</v>
      </c>
      <c r="E3522" s="16">
        <v>0</v>
      </c>
      <c r="F3522" s="16" t="s">
        <v>64</v>
      </c>
      <c r="G3522" s="16" t="s">
        <v>64</v>
      </c>
    </row>
    <row r="3523" spans="1:7" x14ac:dyDescent="0.2">
      <c r="A3523" t="s">
        <v>64</v>
      </c>
      <c r="B3523" t="s">
        <v>64</v>
      </c>
      <c r="C3523" s="3" t="s">
        <v>64</v>
      </c>
      <c r="D3523" s="16" t="s">
        <v>64</v>
      </c>
      <c r="E3523" s="16">
        <v>0</v>
      </c>
      <c r="F3523" s="16" t="s">
        <v>64</v>
      </c>
      <c r="G3523" s="16" t="s">
        <v>64</v>
      </c>
    </row>
    <row r="3524" spans="1:7" x14ac:dyDescent="0.2">
      <c r="A3524" t="s">
        <v>64</v>
      </c>
      <c r="B3524" t="s">
        <v>64</v>
      </c>
      <c r="C3524" s="3" t="s">
        <v>64</v>
      </c>
      <c r="D3524" s="16" t="s">
        <v>64</v>
      </c>
      <c r="E3524" s="16">
        <v>0</v>
      </c>
      <c r="F3524" s="16" t="s">
        <v>64</v>
      </c>
      <c r="G3524" s="16" t="s">
        <v>64</v>
      </c>
    </row>
    <row r="3525" spans="1:7" x14ac:dyDescent="0.2">
      <c r="A3525" t="s">
        <v>64</v>
      </c>
      <c r="B3525" t="s">
        <v>64</v>
      </c>
      <c r="C3525" s="3" t="s">
        <v>64</v>
      </c>
      <c r="D3525" s="16" t="s">
        <v>64</v>
      </c>
      <c r="E3525" s="16">
        <v>0</v>
      </c>
      <c r="F3525" s="16" t="s">
        <v>64</v>
      </c>
      <c r="G3525" s="16" t="s">
        <v>64</v>
      </c>
    </row>
    <row r="3526" spans="1:7" x14ac:dyDescent="0.2">
      <c r="A3526" t="s">
        <v>64</v>
      </c>
      <c r="B3526" t="s">
        <v>64</v>
      </c>
      <c r="C3526" s="3" t="s">
        <v>64</v>
      </c>
      <c r="D3526" s="16" t="s">
        <v>64</v>
      </c>
      <c r="E3526" s="16">
        <v>0</v>
      </c>
      <c r="F3526" s="16" t="s">
        <v>64</v>
      </c>
      <c r="G3526" s="16" t="s">
        <v>64</v>
      </c>
    </row>
    <row r="3527" spans="1:7" x14ac:dyDescent="0.2">
      <c r="A3527" t="s">
        <v>64</v>
      </c>
      <c r="B3527" t="s">
        <v>64</v>
      </c>
      <c r="C3527" s="3" t="s">
        <v>64</v>
      </c>
      <c r="D3527" s="16" t="s">
        <v>64</v>
      </c>
      <c r="E3527" s="16">
        <v>0</v>
      </c>
      <c r="F3527" s="16" t="s">
        <v>64</v>
      </c>
      <c r="G3527" s="16" t="s">
        <v>64</v>
      </c>
    </row>
    <row r="3528" spans="1:7" x14ac:dyDescent="0.2">
      <c r="A3528" t="s">
        <v>64</v>
      </c>
      <c r="B3528" t="s">
        <v>64</v>
      </c>
      <c r="C3528" s="3" t="s">
        <v>64</v>
      </c>
      <c r="D3528" s="16" t="s">
        <v>64</v>
      </c>
      <c r="E3528" s="16">
        <v>0</v>
      </c>
      <c r="F3528" s="16" t="s">
        <v>64</v>
      </c>
      <c r="G3528" s="16" t="s">
        <v>64</v>
      </c>
    </row>
    <row r="3529" spans="1:7" x14ac:dyDescent="0.2">
      <c r="A3529" t="s">
        <v>64</v>
      </c>
      <c r="B3529" t="s">
        <v>64</v>
      </c>
      <c r="C3529" s="3" t="s">
        <v>64</v>
      </c>
      <c r="D3529" s="16" t="s">
        <v>64</v>
      </c>
      <c r="E3529" s="16">
        <v>0</v>
      </c>
      <c r="F3529" s="16" t="s">
        <v>64</v>
      </c>
      <c r="G3529" s="16" t="s">
        <v>64</v>
      </c>
    </row>
    <row r="3530" spans="1:7" x14ac:dyDescent="0.2">
      <c r="A3530" t="s">
        <v>64</v>
      </c>
      <c r="B3530" t="s">
        <v>64</v>
      </c>
      <c r="C3530" s="3" t="s">
        <v>64</v>
      </c>
      <c r="D3530" s="16" t="s">
        <v>64</v>
      </c>
      <c r="E3530" s="16">
        <v>0</v>
      </c>
      <c r="F3530" s="16" t="s">
        <v>64</v>
      </c>
      <c r="G3530" s="16" t="s">
        <v>64</v>
      </c>
    </row>
    <row r="3531" spans="1:7" x14ac:dyDescent="0.2">
      <c r="A3531" t="s">
        <v>64</v>
      </c>
      <c r="B3531" t="s">
        <v>64</v>
      </c>
      <c r="C3531" s="3" t="s">
        <v>64</v>
      </c>
      <c r="D3531" s="16" t="s">
        <v>64</v>
      </c>
      <c r="E3531" s="16">
        <v>0</v>
      </c>
      <c r="F3531" s="16" t="s">
        <v>64</v>
      </c>
      <c r="G3531" s="16" t="s">
        <v>64</v>
      </c>
    </row>
    <row r="3532" spans="1:7" x14ac:dyDescent="0.2">
      <c r="A3532" t="s">
        <v>64</v>
      </c>
      <c r="B3532" t="s">
        <v>64</v>
      </c>
      <c r="C3532" s="3" t="s">
        <v>64</v>
      </c>
      <c r="D3532" s="16" t="s">
        <v>64</v>
      </c>
      <c r="E3532" s="16">
        <v>0</v>
      </c>
      <c r="F3532" s="16" t="s">
        <v>64</v>
      </c>
      <c r="G3532" s="16" t="s">
        <v>64</v>
      </c>
    </row>
    <row r="3533" spans="1:7" x14ac:dyDescent="0.2">
      <c r="A3533" t="s">
        <v>64</v>
      </c>
      <c r="B3533" t="s">
        <v>64</v>
      </c>
      <c r="C3533" s="3" t="s">
        <v>64</v>
      </c>
      <c r="D3533" s="16" t="s">
        <v>64</v>
      </c>
      <c r="E3533" s="16">
        <v>0</v>
      </c>
      <c r="F3533" s="16" t="s">
        <v>64</v>
      </c>
      <c r="G3533" s="16" t="s">
        <v>64</v>
      </c>
    </row>
    <row r="3534" spans="1:7" x14ac:dyDescent="0.2">
      <c r="A3534" t="s">
        <v>64</v>
      </c>
      <c r="B3534" t="s">
        <v>64</v>
      </c>
      <c r="C3534" s="3" t="s">
        <v>64</v>
      </c>
      <c r="D3534" s="16" t="s">
        <v>64</v>
      </c>
      <c r="E3534" s="16">
        <v>0</v>
      </c>
      <c r="F3534" s="16" t="s">
        <v>64</v>
      </c>
      <c r="G3534" s="16" t="s">
        <v>64</v>
      </c>
    </row>
    <row r="3535" spans="1:7" x14ac:dyDescent="0.2">
      <c r="A3535" t="s">
        <v>64</v>
      </c>
      <c r="B3535" t="s">
        <v>64</v>
      </c>
      <c r="C3535" s="3" t="s">
        <v>64</v>
      </c>
      <c r="D3535" s="16" t="s">
        <v>64</v>
      </c>
      <c r="E3535" s="16">
        <v>0</v>
      </c>
      <c r="F3535" s="16" t="s">
        <v>64</v>
      </c>
      <c r="G3535" s="16" t="s">
        <v>64</v>
      </c>
    </row>
    <row r="3536" spans="1:7" x14ac:dyDescent="0.2">
      <c r="A3536" t="s">
        <v>64</v>
      </c>
      <c r="B3536" t="s">
        <v>64</v>
      </c>
      <c r="C3536" s="3" t="s">
        <v>64</v>
      </c>
      <c r="D3536" s="16" t="s">
        <v>64</v>
      </c>
      <c r="E3536" s="16">
        <v>0</v>
      </c>
      <c r="F3536" s="16" t="s">
        <v>64</v>
      </c>
      <c r="G3536" s="16" t="s">
        <v>64</v>
      </c>
    </row>
    <row r="3537" spans="1:7" x14ac:dyDescent="0.2">
      <c r="A3537" t="s">
        <v>64</v>
      </c>
      <c r="B3537" t="s">
        <v>64</v>
      </c>
      <c r="C3537" s="3" t="s">
        <v>64</v>
      </c>
      <c r="D3537" s="16" t="s">
        <v>64</v>
      </c>
      <c r="E3537" s="16">
        <v>0</v>
      </c>
      <c r="F3537" s="16" t="s">
        <v>64</v>
      </c>
      <c r="G3537" s="16" t="s">
        <v>64</v>
      </c>
    </row>
    <row r="3538" spans="1:7" x14ac:dyDescent="0.2">
      <c r="A3538" t="s">
        <v>64</v>
      </c>
      <c r="B3538" t="s">
        <v>64</v>
      </c>
      <c r="C3538" s="3" t="s">
        <v>64</v>
      </c>
      <c r="D3538" s="16" t="s">
        <v>64</v>
      </c>
      <c r="E3538" s="16">
        <v>0</v>
      </c>
      <c r="F3538" s="16" t="s">
        <v>64</v>
      </c>
      <c r="G3538" s="16" t="s">
        <v>64</v>
      </c>
    </row>
    <row r="3539" spans="1:7" x14ac:dyDescent="0.2">
      <c r="A3539" t="s">
        <v>64</v>
      </c>
      <c r="B3539" t="s">
        <v>64</v>
      </c>
      <c r="C3539" s="3" t="s">
        <v>64</v>
      </c>
      <c r="D3539" s="16" t="s">
        <v>64</v>
      </c>
      <c r="E3539" s="16">
        <v>0</v>
      </c>
      <c r="F3539" s="16" t="s">
        <v>64</v>
      </c>
      <c r="G3539" s="16" t="s">
        <v>64</v>
      </c>
    </row>
    <row r="3540" spans="1:7" x14ac:dyDescent="0.2">
      <c r="A3540" t="s">
        <v>64</v>
      </c>
      <c r="B3540" t="s">
        <v>64</v>
      </c>
      <c r="C3540" s="3" t="s">
        <v>64</v>
      </c>
      <c r="D3540" s="16" t="s">
        <v>64</v>
      </c>
      <c r="E3540" s="16">
        <v>0</v>
      </c>
      <c r="F3540" s="16" t="s">
        <v>64</v>
      </c>
      <c r="G3540" s="16" t="s">
        <v>64</v>
      </c>
    </row>
    <row r="3541" spans="1:7" x14ac:dyDescent="0.2">
      <c r="A3541" t="s">
        <v>64</v>
      </c>
      <c r="B3541" t="s">
        <v>64</v>
      </c>
      <c r="C3541" s="3" t="s">
        <v>64</v>
      </c>
      <c r="D3541" s="16" t="s">
        <v>64</v>
      </c>
      <c r="E3541" s="16">
        <v>0</v>
      </c>
      <c r="F3541" s="16" t="s">
        <v>64</v>
      </c>
      <c r="G3541" s="16" t="s">
        <v>64</v>
      </c>
    </row>
    <row r="3542" spans="1:7" x14ac:dyDescent="0.2">
      <c r="A3542" t="s">
        <v>64</v>
      </c>
      <c r="B3542" t="s">
        <v>64</v>
      </c>
      <c r="C3542" s="3" t="s">
        <v>64</v>
      </c>
      <c r="D3542" s="16" t="s">
        <v>64</v>
      </c>
      <c r="E3542" s="16">
        <v>0</v>
      </c>
      <c r="F3542" s="16" t="s">
        <v>64</v>
      </c>
      <c r="G3542" s="16" t="s">
        <v>64</v>
      </c>
    </row>
    <row r="3543" spans="1:7" x14ac:dyDescent="0.2">
      <c r="A3543" t="s">
        <v>64</v>
      </c>
      <c r="B3543" t="s">
        <v>64</v>
      </c>
      <c r="C3543" s="3" t="s">
        <v>64</v>
      </c>
      <c r="D3543" s="16" t="s">
        <v>64</v>
      </c>
      <c r="E3543" s="16">
        <v>0</v>
      </c>
      <c r="F3543" s="16" t="s">
        <v>64</v>
      </c>
      <c r="G3543" s="16" t="s">
        <v>64</v>
      </c>
    </row>
    <row r="3544" spans="1:7" x14ac:dyDescent="0.2">
      <c r="A3544" t="s">
        <v>64</v>
      </c>
      <c r="B3544" t="s">
        <v>64</v>
      </c>
      <c r="C3544" s="3" t="s">
        <v>64</v>
      </c>
      <c r="D3544" s="16" t="s">
        <v>64</v>
      </c>
      <c r="E3544" s="16">
        <v>0</v>
      </c>
      <c r="F3544" s="16" t="s">
        <v>64</v>
      </c>
      <c r="G3544" s="16" t="s">
        <v>64</v>
      </c>
    </row>
    <row r="3545" spans="1:7" x14ac:dyDescent="0.2">
      <c r="A3545" t="s">
        <v>64</v>
      </c>
      <c r="B3545" t="s">
        <v>64</v>
      </c>
      <c r="C3545" s="3" t="s">
        <v>64</v>
      </c>
      <c r="D3545" s="16" t="s">
        <v>64</v>
      </c>
      <c r="E3545" s="16">
        <v>0</v>
      </c>
      <c r="F3545" s="16" t="s">
        <v>64</v>
      </c>
      <c r="G3545" s="16" t="s">
        <v>64</v>
      </c>
    </row>
    <row r="3546" spans="1:7" x14ac:dyDescent="0.2">
      <c r="A3546" t="s">
        <v>64</v>
      </c>
      <c r="B3546" t="s">
        <v>64</v>
      </c>
      <c r="C3546" s="3" t="s">
        <v>64</v>
      </c>
      <c r="D3546" s="16" t="s">
        <v>64</v>
      </c>
      <c r="E3546" s="16">
        <v>0</v>
      </c>
      <c r="F3546" s="16" t="s">
        <v>64</v>
      </c>
      <c r="G3546" s="16" t="s">
        <v>64</v>
      </c>
    </row>
    <row r="3547" spans="1:7" x14ac:dyDescent="0.2">
      <c r="A3547" t="s">
        <v>64</v>
      </c>
      <c r="B3547" t="s">
        <v>64</v>
      </c>
      <c r="C3547" s="3" t="s">
        <v>64</v>
      </c>
      <c r="D3547" s="16" t="s">
        <v>64</v>
      </c>
      <c r="E3547" s="16">
        <v>0</v>
      </c>
      <c r="F3547" s="16" t="s">
        <v>64</v>
      </c>
      <c r="G3547" s="16" t="s">
        <v>64</v>
      </c>
    </row>
    <row r="3548" spans="1:7" x14ac:dyDescent="0.2">
      <c r="A3548" t="s">
        <v>64</v>
      </c>
      <c r="B3548" t="s">
        <v>64</v>
      </c>
      <c r="C3548" s="3" t="s">
        <v>64</v>
      </c>
      <c r="D3548" s="16" t="s">
        <v>64</v>
      </c>
      <c r="E3548" s="16">
        <v>0</v>
      </c>
      <c r="F3548" s="16" t="s">
        <v>64</v>
      </c>
      <c r="G3548" s="16" t="s">
        <v>64</v>
      </c>
    </row>
    <row r="3549" spans="1:7" x14ac:dyDescent="0.2">
      <c r="A3549" t="s">
        <v>64</v>
      </c>
      <c r="B3549" t="s">
        <v>64</v>
      </c>
      <c r="C3549" s="3" t="s">
        <v>64</v>
      </c>
      <c r="D3549" s="16" t="s">
        <v>64</v>
      </c>
      <c r="E3549" s="16">
        <v>0</v>
      </c>
      <c r="F3549" s="16" t="s">
        <v>64</v>
      </c>
      <c r="G3549" s="16" t="s">
        <v>64</v>
      </c>
    </row>
    <row r="3550" spans="1:7" x14ac:dyDescent="0.2">
      <c r="A3550" t="s">
        <v>64</v>
      </c>
      <c r="B3550" t="s">
        <v>64</v>
      </c>
      <c r="C3550" s="3" t="s">
        <v>64</v>
      </c>
      <c r="D3550" s="16" t="s">
        <v>64</v>
      </c>
      <c r="E3550" s="16">
        <v>0</v>
      </c>
      <c r="F3550" s="16" t="s">
        <v>64</v>
      </c>
      <c r="G3550" s="16" t="s">
        <v>64</v>
      </c>
    </row>
    <row r="3551" spans="1:7" x14ac:dyDescent="0.2">
      <c r="A3551" t="s">
        <v>64</v>
      </c>
      <c r="B3551" t="s">
        <v>64</v>
      </c>
      <c r="C3551" s="3" t="s">
        <v>64</v>
      </c>
      <c r="D3551" s="16" t="s">
        <v>64</v>
      </c>
      <c r="E3551" s="16">
        <v>0</v>
      </c>
      <c r="F3551" s="16" t="s">
        <v>64</v>
      </c>
      <c r="G3551" s="16" t="s">
        <v>64</v>
      </c>
    </row>
    <row r="3552" spans="1:7" x14ac:dyDescent="0.2">
      <c r="A3552" t="s">
        <v>64</v>
      </c>
      <c r="B3552" t="s">
        <v>64</v>
      </c>
      <c r="C3552" s="3" t="s">
        <v>64</v>
      </c>
      <c r="D3552" s="16" t="s">
        <v>64</v>
      </c>
      <c r="E3552" s="16">
        <v>0</v>
      </c>
      <c r="F3552" s="16" t="s">
        <v>64</v>
      </c>
      <c r="G3552" s="16" t="s">
        <v>64</v>
      </c>
    </row>
    <row r="3553" spans="1:7" x14ac:dyDescent="0.2">
      <c r="A3553" t="s">
        <v>64</v>
      </c>
      <c r="B3553" t="s">
        <v>64</v>
      </c>
      <c r="C3553" s="3" t="s">
        <v>64</v>
      </c>
      <c r="D3553" s="16" t="s">
        <v>64</v>
      </c>
      <c r="E3553" s="16">
        <v>0</v>
      </c>
      <c r="F3553" s="16" t="s">
        <v>64</v>
      </c>
      <c r="G3553" s="16" t="s">
        <v>64</v>
      </c>
    </row>
    <row r="3554" spans="1:7" x14ac:dyDescent="0.2">
      <c r="A3554" t="s">
        <v>64</v>
      </c>
      <c r="B3554" t="s">
        <v>64</v>
      </c>
      <c r="C3554" s="3" t="s">
        <v>64</v>
      </c>
      <c r="D3554" s="16" t="s">
        <v>64</v>
      </c>
      <c r="E3554" s="16">
        <v>0</v>
      </c>
      <c r="F3554" s="16" t="s">
        <v>64</v>
      </c>
      <c r="G3554" s="16" t="s">
        <v>64</v>
      </c>
    </row>
    <row r="3555" spans="1:7" x14ac:dyDescent="0.2">
      <c r="A3555" t="s">
        <v>64</v>
      </c>
      <c r="B3555" t="s">
        <v>64</v>
      </c>
      <c r="C3555" s="3" t="s">
        <v>64</v>
      </c>
      <c r="D3555" s="16" t="s">
        <v>64</v>
      </c>
      <c r="E3555" s="16">
        <v>0</v>
      </c>
      <c r="F3555" s="16" t="s">
        <v>64</v>
      </c>
      <c r="G3555" s="16" t="s">
        <v>64</v>
      </c>
    </row>
    <row r="3556" spans="1:7" x14ac:dyDescent="0.2">
      <c r="A3556" t="s">
        <v>64</v>
      </c>
      <c r="B3556" t="s">
        <v>64</v>
      </c>
      <c r="C3556" s="3" t="s">
        <v>64</v>
      </c>
      <c r="D3556" s="16" t="s">
        <v>64</v>
      </c>
      <c r="E3556" s="16">
        <v>0</v>
      </c>
      <c r="F3556" s="16" t="s">
        <v>64</v>
      </c>
      <c r="G3556" s="16" t="s">
        <v>64</v>
      </c>
    </row>
    <row r="3557" spans="1:7" x14ac:dyDescent="0.2">
      <c r="A3557" t="s">
        <v>64</v>
      </c>
      <c r="B3557" t="s">
        <v>64</v>
      </c>
      <c r="C3557" s="3" t="s">
        <v>64</v>
      </c>
      <c r="D3557" s="16" t="s">
        <v>64</v>
      </c>
      <c r="E3557" s="16">
        <v>0</v>
      </c>
      <c r="F3557" s="16" t="s">
        <v>64</v>
      </c>
      <c r="G3557" s="16" t="s">
        <v>64</v>
      </c>
    </row>
    <row r="3558" spans="1:7" x14ac:dyDescent="0.2">
      <c r="A3558" t="s">
        <v>64</v>
      </c>
      <c r="B3558" t="s">
        <v>64</v>
      </c>
      <c r="C3558" s="3" t="s">
        <v>64</v>
      </c>
      <c r="D3558" s="16" t="s">
        <v>64</v>
      </c>
      <c r="E3558" s="16">
        <v>0</v>
      </c>
      <c r="F3558" s="16" t="s">
        <v>64</v>
      </c>
      <c r="G3558" s="16" t="s">
        <v>64</v>
      </c>
    </row>
    <row r="3559" spans="1:7" x14ac:dyDescent="0.2">
      <c r="A3559" t="s">
        <v>64</v>
      </c>
      <c r="B3559" t="s">
        <v>64</v>
      </c>
      <c r="C3559" s="3" t="s">
        <v>64</v>
      </c>
      <c r="D3559" s="16" t="s">
        <v>64</v>
      </c>
      <c r="E3559" s="16">
        <v>0</v>
      </c>
      <c r="F3559" s="16" t="s">
        <v>64</v>
      </c>
      <c r="G3559" s="16" t="s">
        <v>64</v>
      </c>
    </row>
    <row r="3560" spans="1:7" x14ac:dyDescent="0.2">
      <c r="A3560" t="s">
        <v>64</v>
      </c>
      <c r="B3560" t="s">
        <v>64</v>
      </c>
      <c r="C3560" s="3" t="s">
        <v>64</v>
      </c>
      <c r="D3560" s="16" t="s">
        <v>64</v>
      </c>
      <c r="E3560" s="16">
        <v>0</v>
      </c>
      <c r="F3560" s="16" t="s">
        <v>64</v>
      </c>
      <c r="G3560" s="16" t="s">
        <v>64</v>
      </c>
    </row>
    <row r="3561" spans="1:7" x14ac:dyDescent="0.2">
      <c r="A3561" t="s">
        <v>64</v>
      </c>
      <c r="B3561" t="s">
        <v>64</v>
      </c>
      <c r="C3561" s="3" t="s">
        <v>64</v>
      </c>
      <c r="D3561" s="16" t="s">
        <v>64</v>
      </c>
      <c r="E3561" s="16">
        <v>0</v>
      </c>
      <c r="F3561" s="16" t="s">
        <v>64</v>
      </c>
      <c r="G3561" s="16" t="s">
        <v>64</v>
      </c>
    </row>
    <row r="3562" spans="1:7" x14ac:dyDescent="0.2">
      <c r="A3562" t="s">
        <v>64</v>
      </c>
      <c r="B3562" t="s">
        <v>64</v>
      </c>
      <c r="C3562" s="3" t="s">
        <v>64</v>
      </c>
      <c r="D3562" s="16" t="s">
        <v>64</v>
      </c>
      <c r="E3562" s="16">
        <v>0</v>
      </c>
      <c r="F3562" s="16" t="s">
        <v>64</v>
      </c>
      <c r="G3562" s="16" t="s">
        <v>64</v>
      </c>
    </row>
    <row r="3563" spans="1:7" x14ac:dyDescent="0.2">
      <c r="A3563" t="s">
        <v>64</v>
      </c>
      <c r="B3563" t="s">
        <v>64</v>
      </c>
      <c r="C3563" s="3" t="s">
        <v>64</v>
      </c>
      <c r="D3563" s="16" t="s">
        <v>64</v>
      </c>
      <c r="E3563" s="16">
        <v>0</v>
      </c>
      <c r="F3563" s="16" t="s">
        <v>64</v>
      </c>
      <c r="G3563" s="16" t="s">
        <v>64</v>
      </c>
    </row>
    <row r="3564" spans="1:7" x14ac:dyDescent="0.2">
      <c r="A3564" t="s">
        <v>64</v>
      </c>
      <c r="B3564" t="s">
        <v>64</v>
      </c>
      <c r="C3564" s="3" t="s">
        <v>64</v>
      </c>
      <c r="D3564" s="16" t="s">
        <v>64</v>
      </c>
      <c r="E3564" s="16">
        <v>0</v>
      </c>
      <c r="F3564" s="16" t="s">
        <v>64</v>
      </c>
      <c r="G3564" s="16" t="s">
        <v>64</v>
      </c>
    </row>
    <row r="3565" spans="1:7" x14ac:dyDescent="0.2">
      <c r="A3565" t="s">
        <v>64</v>
      </c>
      <c r="B3565" t="s">
        <v>64</v>
      </c>
      <c r="C3565" s="3" t="s">
        <v>64</v>
      </c>
      <c r="D3565" s="16" t="s">
        <v>64</v>
      </c>
      <c r="E3565" s="16">
        <v>0</v>
      </c>
      <c r="F3565" s="16" t="s">
        <v>64</v>
      </c>
      <c r="G3565" s="16" t="s">
        <v>64</v>
      </c>
    </row>
    <row r="3566" spans="1:7" x14ac:dyDescent="0.2">
      <c r="A3566" t="s">
        <v>64</v>
      </c>
      <c r="B3566" t="s">
        <v>64</v>
      </c>
      <c r="C3566" s="3" t="s">
        <v>64</v>
      </c>
      <c r="D3566" s="16" t="s">
        <v>64</v>
      </c>
      <c r="E3566" s="16">
        <v>0</v>
      </c>
      <c r="F3566" s="16" t="s">
        <v>64</v>
      </c>
      <c r="G3566" s="16" t="s">
        <v>64</v>
      </c>
    </row>
    <row r="3567" spans="1:7" x14ac:dyDescent="0.2">
      <c r="A3567" t="s">
        <v>64</v>
      </c>
      <c r="B3567" t="s">
        <v>64</v>
      </c>
      <c r="C3567" s="3" t="s">
        <v>64</v>
      </c>
      <c r="D3567" s="16" t="s">
        <v>64</v>
      </c>
      <c r="E3567" s="16">
        <v>0</v>
      </c>
      <c r="F3567" s="16" t="s">
        <v>64</v>
      </c>
      <c r="G3567" s="16" t="s">
        <v>64</v>
      </c>
    </row>
    <row r="3568" spans="1:7" x14ac:dyDescent="0.2">
      <c r="A3568" t="s">
        <v>64</v>
      </c>
      <c r="B3568" t="s">
        <v>64</v>
      </c>
      <c r="C3568" s="3" t="s">
        <v>64</v>
      </c>
      <c r="D3568" s="16" t="s">
        <v>64</v>
      </c>
      <c r="E3568" s="16">
        <v>0</v>
      </c>
      <c r="F3568" s="16" t="s">
        <v>64</v>
      </c>
      <c r="G3568" s="16" t="s">
        <v>64</v>
      </c>
    </row>
    <row r="3569" spans="1:7" x14ac:dyDescent="0.2">
      <c r="A3569" t="s">
        <v>64</v>
      </c>
      <c r="B3569" t="s">
        <v>64</v>
      </c>
      <c r="C3569" s="3" t="s">
        <v>64</v>
      </c>
      <c r="D3569" s="16" t="s">
        <v>64</v>
      </c>
      <c r="E3569" s="16">
        <v>0</v>
      </c>
      <c r="F3569" s="16" t="s">
        <v>64</v>
      </c>
      <c r="G3569" s="16" t="s">
        <v>64</v>
      </c>
    </row>
    <row r="3570" spans="1:7" x14ac:dyDescent="0.2">
      <c r="A3570" t="s">
        <v>64</v>
      </c>
      <c r="B3570" t="s">
        <v>64</v>
      </c>
      <c r="C3570" s="3" t="s">
        <v>64</v>
      </c>
      <c r="D3570" s="16" t="s">
        <v>64</v>
      </c>
      <c r="E3570" s="16">
        <v>0</v>
      </c>
      <c r="F3570" s="16" t="s">
        <v>64</v>
      </c>
      <c r="G3570" s="16" t="s">
        <v>64</v>
      </c>
    </row>
    <row r="3571" spans="1:7" x14ac:dyDescent="0.2">
      <c r="A3571" t="s">
        <v>64</v>
      </c>
      <c r="B3571" t="s">
        <v>64</v>
      </c>
      <c r="C3571" s="3" t="s">
        <v>64</v>
      </c>
      <c r="D3571" s="16" t="s">
        <v>64</v>
      </c>
      <c r="E3571" s="16">
        <v>0</v>
      </c>
      <c r="F3571" s="16" t="s">
        <v>64</v>
      </c>
      <c r="G3571" s="16" t="s">
        <v>64</v>
      </c>
    </row>
    <row r="3572" spans="1:7" x14ac:dyDescent="0.2">
      <c r="A3572" t="s">
        <v>64</v>
      </c>
      <c r="B3572" t="s">
        <v>64</v>
      </c>
      <c r="C3572" s="3" t="s">
        <v>64</v>
      </c>
      <c r="D3572" s="16" t="s">
        <v>64</v>
      </c>
      <c r="E3572" s="16">
        <v>0</v>
      </c>
      <c r="F3572" s="16" t="s">
        <v>64</v>
      </c>
      <c r="G3572" s="16" t="s">
        <v>64</v>
      </c>
    </row>
    <row r="3573" spans="1:7" x14ac:dyDescent="0.2">
      <c r="A3573" t="s">
        <v>64</v>
      </c>
      <c r="B3573" t="s">
        <v>64</v>
      </c>
      <c r="C3573" s="3" t="s">
        <v>64</v>
      </c>
      <c r="D3573" s="16" t="s">
        <v>64</v>
      </c>
      <c r="E3573" s="16">
        <v>0</v>
      </c>
      <c r="F3573" s="16" t="s">
        <v>64</v>
      </c>
      <c r="G3573" s="16" t="s">
        <v>64</v>
      </c>
    </row>
    <row r="3574" spans="1:7" x14ac:dyDescent="0.2">
      <c r="A3574" t="s">
        <v>64</v>
      </c>
      <c r="B3574" t="s">
        <v>64</v>
      </c>
      <c r="C3574" s="3" t="s">
        <v>64</v>
      </c>
      <c r="D3574" s="16" t="s">
        <v>64</v>
      </c>
      <c r="E3574" s="16">
        <v>0</v>
      </c>
      <c r="F3574" s="16" t="s">
        <v>64</v>
      </c>
      <c r="G3574" s="16" t="s">
        <v>64</v>
      </c>
    </row>
    <row r="3575" spans="1:7" x14ac:dyDescent="0.2">
      <c r="A3575" t="s">
        <v>64</v>
      </c>
      <c r="B3575" t="s">
        <v>64</v>
      </c>
      <c r="C3575" s="3" t="s">
        <v>64</v>
      </c>
      <c r="D3575" s="16" t="s">
        <v>64</v>
      </c>
      <c r="E3575" s="16">
        <v>0</v>
      </c>
      <c r="F3575" s="16" t="s">
        <v>64</v>
      </c>
      <c r="G3575" s="16" t="s">
        <v>64</v>
      </c>
    </row>
    <row r="3576" spans="1:7" x14ac:dyDescent="0.2">
      <c r="A3576" t="s">
        <v>64</v>
      </c>
      <c r="B3576" t="s">
        <v>64</v>
      </c>
      <c r="C3576" s="3" t="s">
        <v>64</v>
      </c>
      <c r="D3576" s="16" t="s">
        <v>64</v>
      </c>
      <c r="E3576" s="16">
        <v>0</v>
      </c>
      <c r="F3576" s="16" t="s">
        <v>64</v>
      </c>
      <c r="G3576" s="16" t="s">
        <v>64</v>
      </c>
    </row>
    <row r="3577" spans="1:7" x14ac:dyDescent="0.2">
      <c r="A3577" t="s">
        <v>64</v>
      </c>
      <c r="B3577" t="s">
        <v>64</v>
      </c>
      <c r="C3577" s="3" t="s">
        <v>64</v>
      </c>
      <c r="D3577" s="16" t="s">
        <v>64</v>
      </c>
      <c r="E3577" s="16">
        <v>0</v>
      </c>
      <c r="F3577" s="16" t="s">
        <v>64</v>
      </c>
      <c r="G3577" s="16" t="s">
        <v>64</v>
      </c>
    </row>
    <row r="3578" spans="1:7" x14ac:dyDescent="0.2">
      <c r="A3578" t="s">
        <v>64</v>
      </c>
      <c r="B3578" t="s">
        <v>64</v>
      </c>
      <c r="C3578" s="3" t="s">
        <v>64</v>
      </c>
      <c r="D3578" s="16" t="s">
        <v>64</v>
      </c>
      <c r="E3578" s="16">
        <v>0</v>
      </c>
      <c r="F3578" s="16" t="s">
        <v>64</v>
      </c>
      <c r="G3578" s="16" t="s">
        <v>64</v>
      </c>
    </row>
    <row r="3579" spans="1:7" x14ac:dyDescent="0.2">
      <c r="A3579" t="s">
        <v>64</v>
      </c>
      <c r="B3579" t="s">
        <v>64</v>
      </c>
      <c r="C3579" s="3" t="s">
        <v>64</v>
      </c>
      <c r="D3579" s="16" t="s">
        <v>64</v>
      </c>
      <c r="E3579" s="16">
        <v>0</v>
      </c>
      <c r="F3579" s="16" t="s">
        <v>64</v>
      </c>
      <c r="G3579" s="16" t="s">
        <v>64</v>
      </c>
    </row>
    <row r="3580" spans="1:7" x14ac:dyDescent="0.2">
      <c r="A3580" t="s">
        <v>64</v>
      </c>
      <c r="B3580" t="s">
        <v>64</v>
      </c>
      <c r="C3580" s="3" t="s">
        <v>64</v>
      </c>
      <c r="D3580" s="16" t="s">
        <v>64</v>
      </c>
      <c r="E3580" s="16">
        <v>0</v>
      </c>
      <c r="F3580" s="16" t="s">
        <v>64</v>
      </c>
      <c r="G3580" s="16" t="s">
        <v>64</v>
      </c>
    </row>
    <row r="3581" spans="1:7" x14ac:dyDescent="0.2">
      <c r="A3581" t="s">
        <v>64</v>
      </c>
      <c r="B3581" t="s">
        <v>64</v>
      </c>
      <c r="C3581" s="3" t="s">
        <v>64</v>
      </c>
      <c r="D3581" s="16" t="s">
        <v>64</v>
      </c>
      <c r="E3581" s="16">
        <v>0</v>
      </c>
      <c r="F3581" s="16" t="s">
        <v>64</v>
      </c>
      <c r="G3581" s="16" t="s">
        <v>64</v>
      </c>
    </row>
    <row r="3582" spans="1:7" x14ac:dyDescent="0.2">
      <c r="A3582" t="s">
        <v>64</v>
      </c>
      <c r="B3582" t="s">
        <v>64</v>
      </c>
      <c r="C3582" s="3" t="s">
        <v>64</v>
      </c>
      <c r="D3582" s="16" t="s">
        <v>64</v>
      </c>
      <c r="E3582" s="16">
        <v>0</v>
      </c>
      <c r="F3582" s="16" t="s">
        <v>64</v>
      </c>
      <c r="G3582" s="16" t="s">
        <v>64</v>
      </c>
    </row>
    <row r="3583" spans="1:7" x14ac:dyDescent="0.2">
      <c r="A3583" t="s">
        <v>64</v>
      </c>
      <c r="B3583" t="s">
        <v>64</v>
      </c>
      <c r="C3583" s="3" t="s">
        <v>64</v>
      </c>
      <c r="D3583" s="16" t="s">
        <v>64</v>
      </c>
      <c r="E3583" s="16">
        <v>0</v>
      </c>
      <c r="F3583" s="16" t="s">
        <v>64</v>
      </c>
      <c r="G3583" s="16" t="s">
        <v>64</v>
      </c>
    </row>
    <row r="3584" spans="1:7" x14ac:dyDescent="0.2">
      <c r="A3584" t="s">
        <v>64</v>
      </c>
      <c r="B3584" t="s">
        <v>64</v>
      </c>
      <c r="C3584" s="3" t="s">
        <v>64</v>
      </c>
      <c r="D3584" s="16" t="s">
        <v>64</v>
      </c>
      <c r="E3584" s="16">
        <v>0</v>
      </c>
      <c r="F3584" s="16" t="s">
        <v>64</v>
      </c>
      <c r="G3584" s="16" t="s">
        <v>64</v>
      </c>
    </row>
    <row r="3585" spans="1:7" x14ac:dyDescent="0.2">
      <c r="A3585" t="s">
        <v>64</v>
      </c>
      <c r="B3585" t="s">
        <v>64</v>
      </c>
      <c r="C3585" s="3" t="s">
        <v>64</v>
      </c>
      <c r="D3585" s="16" t="s">
        <v>64</v>
      </c>
      <c r="E3585" s="16">
        <v>0</v>
      </c>
      <c r="F3585" s="16" t="s">
        <v>64</v>
      </c>
      <c r="G3585" s="16" t="s">
        <v>64</v>
      </c>
    </row>
    <row r="3586" spans="1:7" x14ac:dyDescent="0.2">
      <c r="A3586" t="s">
        <v>64</v>
      </c>
      <c r="B3586" t="s">
        <v>64</v>
      </c>
      <c r="C3586" s="3" t="s">
        <v>64</v>
      </c>
      <c r="D3586" s="16" t="s">
        <v>64</v>
      </c>
      <c r="E3586" s="16">
        <v>0</v>
      </c>
      <c r="F3586" s="16" t="s">
        <v>64</v>
      </c>
      <c r="G3586" s="16" t="s">
        <v>64</v>
      </c>
    </row>
    <row r="3587" spans="1:7" x14ac:dyDescent="0.2">
      <c r="A3587" t="s">
        <v>64</v>
      </c>
      <c r="B3587" t="s">
        <v>64</v>
      </c>
      <c r="C3587" s="3" t="s">
        <v>64</v>
      </c>
      <c r="D3587" s="16" t="s">
        <v>64</v>
      </c>
      <c r="E3587" s="16">
        <v>0</v>
      </c>
      <c r="F3587" s="16" t="s">
        <v>64</v>
      </c>
      <c r="G3587" s="16" t="s">
        <v>64</v>
      </c>
    </row>
    <row r="3588" spans="1:7" x14ac:dyDescent="0.2">
      <c r="A3588" t="s">
        <v>64</v>
      </c>
      <c r="B3588" t="s">
        <v>64</v>
      </c>
      <c r="C3588" s="3" t="s">
        <v>64</v>
      </c>
      <c r="D3588" s="16" t="s">
        <v>64</v>
      </c>
      <c r="E3588" s="16">
        <v>0</v>
      </c>
      <c r="F3588" s="16" t="s">
        <v>64</v>
      </c>
      <c r="G3588" s="16" t="s">
        <v>64</v>
      </c>
    </row>
    <row r="3589" spans="1:7" x14ac:dyDescent="0.2">
      <c r="A3589" t="s">
        <v>64</v>
      </c>
      <c r="B3589" t="s">
        <v>64</v>
      </c>
      <c r="C3589" s="3" t="s">
        <v>64</v>
      </c>
      <c r="D3589" s="16" t="s">
        <v>64</v>
      </c>
      <c r="E3589" s="16">
        <v>0</v>
      </c>
      <c r="F3589" s="16" t="s">
        <v>64</v>
      </c>
      <c r="G3589" s="16" t="s">
        <v>64</v>
      </c>
    </row>
    <row r="3590" spans="1:7" x14ac:dyDescent="0.2">
      <c r="A3590" t="s">
        <v>64</v>
      </c>
      <c r="B3590" t="s">
        <v>64</v>
      </c>
      <c r="C3590" s="3" t="s">
        <v>64</v>
      </c>
      <c r="D3590" s="16" t="s">
        <v>64</v>
      </c>
      <c r="E3590" s="16">
        <v>0</v>
      </c>
      <c r="F3590" s="16" t="s">
        <v>64</v>
      </c>
      <c r="G3590" s="16" t="s">
        <v>64</v>
      </c>
    </row>
    <row r="3591" spans="1:7" x14ac:dyDescent="0.2">
      <c r="A3591" t="s">
        <v>64</v>
      </c>
      <c r="B3591" t="s">
        <v>64</v>
      </c>
      <c r="C3591" s="3" t="s">
        <v>64</v>
      </c>
      <c r="D3591" s="16" t="s">
        <v>64</v>
      </c>
      <c r="E3591" s="16">
        <v>0</v>
      </c>
      <c r="F3591" s="16" t="s">
        <v>64</v>
      </c>
      <c r="G3591" s="16" t="s">
        <v>64</v>
      </c>
    </row>
    <row r="3592" spans="1:7" x14ac:dyDescent="0.2">
      <c r="A3592" t="s">
        <v>64</v>
      </c>
      <c r="B3592" t="s">
        <v>64</v>
      </c>
      <c r="C3592" s="3" t="s">
        <v>64</v>
      </c>
      <c r="D3592" s="16" t="s">
        <v>64</v>
      </c>
      <c r="E3592" s="16">
        <v>0</v>
      </c>
      <c r="F3592" s="16" t="s">
        <v>64</v>
      </c>
      <c r="G3592" s="16" t="s">
        <v>64</v>
      </c>
    </row>
    <row r="3593" spans="1:7" x14ac:dyDescent="0.2">
      <c r="A3593" t="s">
        <v>64</v>
      </c>
      <c r="B3593" t="s">
        <v>64</v>
      </c>
      <c r="C3593" s="3" t="s">
        <v>64</v>
      </c>
      <c r="D3593" s="16" t="s">
        <v>64</v>
      </c>
      <c r="E3593" s="16">
        <v>0</v>
      </c>
      <c r="F3593" s="16" t="s">
        <v>64</v>
      </c>
      <c r="G3593" s="16" t="s">
        <v>64</v>
      </c>
    </row>
    <row r="3594" spans="1:7" x14ac:dyDescent="0.2">
      <c r="A3594" t="s">
        <v>64</v>
      </c>
      <c r="B3594" t="s">
        <v>64</v>
      </c>
      <c r="C3594" s="3" t="s">
        <v>64</v>
      </c>
      <c r="D3594" s="16" t="s">
        <v>64</v>
      </c>
      <c r="E3594" s="16">
        <v>0</v>
      </c>
      <c r="F3594" s="16" t="s">
        <v>64</v>
      </c>
      <c r="G3594" s="16" t="s">
        <v>64</v>
      </c>
    </row>
    <row r="3595" spans="1:7" x14ac:dyDescent="0.2">
      <c r="A3595" t="s">
        <v>64</v>
      </c>
      <c r="B3595" t="s">
        <v>64</v>
      </c>
      <c r="C3595" s="3" t="s">
        <v>64</v>
      </c>
      <c r="D3595" s="16" t="s">
        <v>64</v>
      </c>
      <c r="E3595" s="16">
        <v>0</v>
      </c>
      <c r="F3595" s="16" t="s">
        <v>64</v>
      </c>
      <c r="G3595" s="16" t="s">
        <v>64</v>
      </c>
    </row>
    <row r="3596" spans="1:7" x14ac:dyDescent="0.2">
      <c r="A3596" t="s">
        <v>64</v>
      </c>
      <c r="B3596" t="s">
        <v>64</v>
      </c>
      <c r="C3596" s="3" t="s">
        <v>64</v>
      </c>
      <c r="D3596" s="16" t="s">
        <v>64</v>
      </c>
      <c r="E3596" s="16">
        <v>0</v>
      </c>
      <c r="F3596" s="16" t="s">
        <v>64</v>
      </c>
      <c r="G3596" s="16" t="s">
        <v>64</v>
      </c>
    </row>
    <row r="3597" spans="1:7" x14ac:dyDescent="0.2">
      <c r="A3597" t="s">
        <v>64</v>
      </c>
      <c r="B3597" t="s">
        <v>64</v>
      </c>
      <c r="C3597" s="3" t="s">
        <v>64</v>
      </c>
      <c r="D3597" s="16" t="s">
        <v>64</v>
      </c>
      <c r="E3597" s="16">
        <v>0</v>
      </c>
      <c r="F3597" s="16" t="s">
        <v>64</v>
      </c>
      <c r="G3597" s="16" t="s">
        <v>64</v>
      </c>
    </row>
    <row r="3598" spans="1:7" x14ac:dyDescent="0.2">
      <c r="A3598" t="s">
        <v>64</v>
      </c>
      <c r="B3598" t="s">
        <v>64</v>
      </c>
      <c r="C3598" s="3" t="s">
        <v>64</v>
      </c>
      <c r="D3598" s="16" t="s">
        <v>64</v>
      </c>
      <c r="E3598" s="16">
        <v>0</v>
      </c>
      <c r="F3598" s="16" t="s">
        <v>64</v>
      </c>
      <c r="G3598" s="16" t="s">
        <v>64</v>
      </c>
    </row>
    <row r="3599" spans="1:7" x14ac:dyDescent="0.2">
      <c r="A3599" t="s">
        <v>64</v>
      </c>
      <c r="B3599" t="s">
        <v>64</v>
      </c>
      <c r="C3599" s="3" t="s">
        <v>64</v>
      </c>
      <c r="D3599" s="16" t="s">
        <v>64</v>
      </c>
      <c r="E3599" s="16">
        <v>0</v>
      </c>
      <c r="F3599" s="16" t="s">
        <v>64</v>
      </c>
      <c r="G3599" s="16" t="s">
        <v>64</v>
      </c>
    </row>
    <row r="3600" spans="1:7" x14ac:dyDescent="0.2">
      <c r="A3600" t="s">
        <v>64</v>
      </c>
      <c r="B3600" t="s">
        <v>64</v>
      </c>
      <c r="C3600" s="3" t="s">
        <v>64</v>
      </c>
      <c r="D3600" s="16" t="s">
        <v>64</v>
      </c>
      <c r="E3600" s="16">
        <v>0</v>
      </c>
      <c r="F3600" s="16" t="s">
        <v>64</v>
      </c>
      <c r="G3600" s="16" t="s">
        <v>64</v>
      </c>
    </row>
    <row r="3601" spans="1:7" x14ac:dyDescent="0.2">
      <c r="A3601" t="s">
        <v>64</v>
      </c>
      <c r="B3601" t="s">
        <v>64</v>
      </c>
      <c r="C3601" s="3" t="s">
        <v>64</v>
      </c>
      <c r="D3601" s="16" t="s">
        <v>64</v>
      </c>
      <c r="E3601" s="16">
        <v>0</v>
      </c>
      <c r="F3601" s="16" t="s">
        <v>64</v>
      </c>
      <c r="G3601" s="16" t="s">
        <v>64</v>
      </c>
    </row>
    <row r="3602" spans="1:7" x14ac:dyDescent="0.2">
      <c r="A3602" t="s">
        <v>64</v>
      </c>
      <c r="B3602" t="s">
        <v>64</v>
      </c>
      <c r="C3602" s="3" t="s">
        <v>64</v>
      </c>
      <c r="D3602" s="16" t="s">
        <v>64</v>
      </c>
      <c r="E3602" s="16">
        <v>0</v>
      </c>
      <c r="F3602" s="16" t="s">
        <v>64</v>
      </c>
      <c r="G3602" s="16" t="s">
        <v>64</v>
      </c>
    </row>
    <row r="3603" spans="1:7" x14ac:dyDescent="0.2">
      <c r="A3603" t="s">
        <v>64</v>
      </c>
      <c r="B3603" t="s">
        <v>64</v>
      </c>
      <c r="C3603" s="3" t="s">
        <v>64</v>
      </c>
      <c r="D3603" s="16" t="s">
        <v>64</v>
      </c>
      <c r="E3603" s="16">
        <v>0</v>
      </c>
      <c r="F3603" s="16" t="s">
        <v>64</v>
      </c>
      <c r="G3603" s="16" t="s">
        <v>64</v>
      </c>
    </row>
    <row r="3604" spans="1:7" x14ac:dyDescent="0.2">
      <c r="A3604" t="s">
        <v>64</v>
      </c>
      <c r="B3604" t="s">
        <v>64</v>
      </c>
      <c r="C3604" s="3" t="s">
        <v>64</v>
      </c>
      <c r="D3604" s="16" t="s">
        <v>64</v>
      </c>
      <c r="E3604" s="16">
        <v>0</v>
      </c>
      <c r="F3604" s="16" t="s">
        <v>64</v>
      </c>
      <c r="G3604" s="16" t="s">
        <v>64</v>
      </c>
    </row>
    <row r="3605" spans="1:7" x14ac:dyDescent="0.2">
      <c r="A3605" t="s">
        <v>64</v>
      </c>
      <c r="B3605" t="s">
        <v>64</v>
      </c>
      <c r="C3605" s="3" t="s">
        <v>64</v>
      </c>
      <c r="D3605" s="16" t="s">
        <v>64</v>
      </c>
      <c r="E3605" s="16">
        <v>0</v>
      </c>
      <c r="F3605" s="16" t="s">
        <v>64</v>
      </c>
      <c r="G3605" s="16" t="s">
        <v>64</v>
      </c>
    </row>
    <row r="3606" spans="1:7" x14ac:dyDescent="0.2">
      <c r="A3606" t="s">
        <v>64</v>
      </c>
      <c r="B3606" t="s">
        <v>64</v>
      </c>
      <c r="C3606" s="3" t="s">
        <v>64</v>
      </c>
      <c r="D3606" s="16" t="s">
        <v>64</v>
      </c>
      <c r="E3606" s="16">
        <v>0</v>
      </c>
      <c r="F3606" s="16" t="s">
        <v>64</v>
      </c>
      <c r="G3606" s="16" t="s">
        <v>64</v>
      </c>
    </row>
    <row r="3607" spans="1:7" x14ac:dyDescent="0.2">
      <c r="A3607" t="s">
        <v>64</v>
      </c>
      <c r="B3607" t="s">
        <v>64</v>
      </c>
      <c r="C3607" s="3" t="s">
        <v>64</v>
      </c>
      <c r="D3607" s="16" t="s">
        <v>64</v>
      </c>
      <c r="E3607" s="16">
        <v>0</v>
      </c>
      <c r="F3607" s="16" t="s">
        <v>64</v>
      </c>
      <c r="G3607" s="16" t="s">
        <v>64</v>
      </c>
    </row>
    <row r="3608" spans="1:7" x14ac:dyDescent="0.2">
      <c r="A3608" t="s">
        <v>64</v>
      </c>
      <c r="B3608" t="s">
        <v>64</v>
      </c>
      <c r="C3608" s="3" t="s">
        <v>64</v>
      </c>
      <c r="D3608" s="16" t="s">
        <v>64</v>
      </c>
      <c r="E3608" s="16">
        <v>0</v>
      </c>
      <c r="F3608" s="16" t="s">
        <v>64</v>
      </c>
      <c r="G3608" s="16" t="s">
        <v>64</v>
      </c>
    </row>
    <row r="3609" spans="1:7" x14ac:dyDescent="0.2">
      <c r="A3609" t="s">
        <v>64</v>
      </c>
      <c r="B3609" t="s">
        <v>64</v>
      </c>
      <c r="C3609" s="3" t="s">
        <v>64</v>
      </c>
      <c r="D3609" s="16" t="s">
        <v>64</v>
      </c>
      <c r="E3609" s="16">
        <v>0</v>
      </c>
      <c r="F3609" s="16" t="s">
        <v>64</v>
      </c>
      <c r="G3609" s="16" t="s">
        <v>64</v>
      </c>
    </row>
    <row r="3610" spans="1:7" x14ac:dyDescent="0.2">
      <c r="A3610" t="s">
        <v>64</v>
      </c>
      <c r="B3610" t="s">
        <v>64</v>
      </c>
      <c r="C3610" s="3" t="s">
        <v>64</v>
      </c>
      <c r="D3610" s="16" t="s">
        <v>64</v>
      </c>
      <c r="E3610" s="16">
        <v>0</v>
      </c>
      <c r="F3610" s="16" t="s">
        <v>64</v>
      </c>
      <c r="G3610" s="16" t="s">
        <v>64</v>
      </c>
    </row>
    <row r="3611" spans="1:7" x14ac:dyDescent="0.2">
      <c r="A3611" t="s">
        <v>64</v>
      </c>
      <c r="B3611" t="s">
        <v>64</v>
      </c>
      <c r="C3611" s="3" t="s">
        <v>64</v>
      </c>
      <c r="D3611" s="16" t="s">
        <v>64</v>
      </c>
      <c r="E3611" s="16">
        <v>0</v>
      </c>
      <c r="F3611" s="16" t="s">
        <v>64</v>
      </c>
      <c r="G3611" s="16" t="s">
        <v>64</v>
      </c>
    </row>
    <row r="3612" spans="1:7" x14ac:dyDescent="0.2">
      <c r="A3612" t="s">
        <v>64</v>
      </c>
      <c r="B3612" t="s">
        <v>64</v>
      </c>
      <c r="C3612" s="3" t="s">
        <v>64</v>
      </c>
      <c r="D3612" s="16" t="s">
        <v>64</v>
      </c>
      <c r="E3612" s="16">
        <v>0</v>
      </c>
      <c r="F3612" s="16" t="s">
        <v>64</v>
      </c>
      <c r="G3612" s="16" t="s">
        <v>64</v>
      </c>
    </row>
    <row r="3613" spans="1:7" x14ac:dyDescent="0.2">
      <c r="A3613" t="s">
        <v>64</v>
      </c>
      <c r="B3613" t="s">
        <v>64</v>
      </c>
      <c r="C3613" s="3" t="s">
        <v>64</v>
      </c>
      <c r="D3613" s="16" t="s">
        <v>64</v>
      </c>
      <c r="E3613" s="16">
        <v>0</v>
      </c>
      <c r="F3613" s="16" t="s">
        <v>64</v>
      </c>
      <c r="G3613" s="16" t="s">
        <v>64</v>
      </c>
    </row>
    <row r="3614" spans="1:7" x14ac:dyDescent="0.2">
      <c r="A3614" t="s">
        <v>64</v>
      </c>
      <c r="B3614" t="s">
        <v>64</v>
      </c>
      <c r="C3614" s="3" t="s">
        <v>64</v>
      </c>
      <c r="D3614" s="16" t="s">
        <v>64</v>
      </c>
      <c r="E3614" s="16">
        <v>0</v>
      </c>
      <c r="F3614" s="16" t="s">
        <v>64</v>
      </c>
      <c r="G3614" s="16" t="s">
        <v>64</v>
      </c>
    </row>
    <row r="3615" spans="1:7" x14ac:dyDescent="0.2">
      <c r="A3615" t="s">
        <v>64</v>
      </c>
      <c r="B3615" t="s">
        <v>64</v>
      </c>
      <c r="C3615" s="3" t="s">
        <v>64</v>
      </c>
      <c r="D3615" s="16" t="s">
        <v>64</v>
      </c>
      <c r="E3615" s="16">
        <v>0</v>
      </c>
      <c r="F3615" s="16" t="s">
        <v>64</v>
      </c>
      <c r="G3615" s="16" t="s">
        <v>64</v>
      </c>
    </row>
    <row r="3616" spans="1:7" x14ac:dyDescent="0.2">
      <c r="A3616" t="s">
        <v>64</v>
      </c>
      <c r="B3616" t="s">
        <v>64</v>
      </c>
      <c r="C3616" s="3" t="s">
        <v>64</v>
      </c>
      <c r="D3616" s="16" t="s">
        <v>64</v>
      </c>
      <c r="E3616" s="16">
        <v>0</v>
      </c>
      <c r="F3616" s="16" t="s">
        <v>64</v>
      </c>
      <c r="G3616" s="16" t="s">
        <v>64</v>
      </c>
    </row>
    <row r="3617" spans="1:7" x14ac:dyDescent="0.2">
      <c r="A3617" t="s">
        <v>64</v>
      </c>
      <c r="B3617" t="s">
        <v>64</v>
      </c>
      <c r="C3617" s="3" t="s">
        <v>64</v>
      </c>
      <c r="D3617" s="16" t="s">
        <v>64</v>
      </c>
      <c r="E3617" s="16">
        <v>0</v>
      </c>
      <c r="F3617" s="16" t="s">
        <v>64</v>
      </c>
      <c r="G3617" s="16" t="s">
        <v>64</v>
      </c>
    </row>
    <row r="3618" spans="1:7" x14ac:dyDescent="0.2">
      <c r="A3618" t="s">
        <v>64</v>
      </c>
      <c r="B3618" t="s">
        <v>64</v>
      </c>
      <c r="C3618" s="3" t="s">
        <v>64</v>
      </c>
      <c r="D3618" s="16" t="s">
        <v>64</v>
      </c>
      <c r="E3618" s="16">
        <v>0</v>
      </c>
      <c r="F3618" s="16" t="s">
        <v>64</v>
      </c>
      <c r="G3618" s="16" t="s">
        <v>64</v>
      </c>
    </row>
    <row r="3619" spans="1:7" x14ac:dyDescent="0.2">
      <c r="A3619" t="s">
        <v>64</v>
      </c>
      <c r="B3619" t="s">
        <v>64</v>
      </c>
      <c r="C3619" s="3" t="s">
        <v>64</v>
      </c>
      <c r="D3619" s="16" t="s">
        <v>64</v>
      </c>
      <c r="E3619" s="16">
        <v>0</v>
      </c>
      <c r="F3619" s="16" t="s">
        <v>64</v>
      </c>
      <c r="G3619" s="16" t="s">
        <v>64</v>
      </c>
    </row>
    <row r="3620" spans="1:7" x14ac:dyDescent="0.2">
      <c r="A3620" t="s">
        <v>64</v>
      </c>
      <c r="B3620" t="s">
        <v>64</v>
      </c>
      <c r="C3620" s="3" t="s">
        <v>64</v>
      </c>
      <c r="D3620" s="16" t="s">
        <v>64</v>
      </c>
      <c r="E3620" s="16">
        <v>0</v>
      </c>
      <c r="F3620" s="16" t="s">
        <v>64</v>
      </c>
      <c r="G3620" s="16" t="s">
        <v>64</v>
      </c>
    </row>
    <row r="3621" spans="1:7" x14ac:dyDescent="0.2">
      <c r="A3621" t="s">
        <v>64</v>
      </c>
      <c r="B3621" t="s">
        <v>64</v>
      </c>
      <c r="C3621" s="3" t="s">
        <v>64</v>
      </c>
      <c r="D3621" s="16" t="s">
        <v>64</v>
      </c>
      <c r="E3621" s="16">
        <v>0</v>
      </c>
      <c r="F3621" s="16" t="s">
        <v>64</v>
      </c>
      <c r="G3621" s="16" t="s">
        <v>64</v>
      </c>
    </row>
    <row r="3622" spans="1:7" x14ac:dyDescent="0.2">
      <c r="A3622" t="s">
        <v>64</v>
      </c>
      <c r="B3622" t="s">
        <v>64</v>
      </c>
      <c r="C3622" s="3" t="s">
        <v>64</v>
      </c>
      <c r="D3622" s="16" t="s">
        <v>64</v>
      </c>
      <c r="E3622" s="16">
        <v>0</v>
      </c>
      <c r="F3622" s="16" t="s">
        <v>64</v>
      </c>
      <c r="G3622" s="16" t="s">
        <v>64</v>
      </c>
    </row>
    <row r="3623" spans="1:7" x14ac:dyDescent="0.2">
      <c r="A3623" t="s">
        <v>64</v>
      </c>
      <c r="B3623" t="s">
        <v>64</v>
      </c>
      <c r="C3623" s="3" t="s">
        <v>64</v>
      </c>
      <c r="D3623" s="16" t="s">
        <v>64</v>
      </c>
      <c r="E3623" s="16">
        <v>0</v>
      </c>
      <c r="F3623" s="16" t="s">
        <v>64</v>
      </c>
      <c r="G3623" s="16" t="s">
        <v>64</v>
      </c>
    </row>
    <row r="3624" spans="1:7" x14ac:dyDescent="0.2">
      <c r="A3624" t="s">
        <v>64</v>
      </c>
      <c r="B3624" t="s">
        <v>64</v>
      </c>
      <c r="C3624" s="3" t="s">
        <v>64</v>
      </c>
      <c r="D3624" s="16" t="s">
        <v>64</v>
      </c>
      <c r="E3624" s="16">
        <v>0</v>
      </c>
      <c r="F3624" s="16" t="s">
        <v>64</v>
      </c>
      <c r="G3624" s="16" t="s">
        <v>64</v>
      </c>
    </row>
    <row r="3625" spans="1:7" x14ac:dyDescent="0.2">
      <c r="A3625" t="s">
        <v>64</v>
      </c>
      <c r="B3625" t="s">
        <v>64</v>
      </c>
      <c r="C3625" s="3" t="s">
        <v>64</v>
      </c>
      <c r="D3625" s="16" t="s">
        <v>64</v>
      </c>
      <c r="E3625" s="16">
        <v>0</v>
      </c>
      <c r="F3625" s="16" t="s">
        <v>64</v>
      </c>
      <c r="G3625" s="16" t="s">
        <v>64</v>
      </c>
    </row>
    <row r="3626" spans="1:7" x14ac:dyDescent="0.2">
      <c r="A3626" t="s">
        <v>64</v>
      </c>
      <c r="B3626" t="s">
        <v>64</v>
      </c>
      <c r="C3626" s="3" t="s">
        <v>64</v>
      </c>
      <c r="D3626" s="16" t="s">
        <v>64</v>
      </c>
      <c r="E3626" s="16">
        <v>0</v>
      </c>
      <c r="F3626" s="16" t="s">
        <v>64</v>
      </c>
      <c r="G3626" s="16" t="s">
        <v>64</v>
      </c>
    </row>
    <row r="3627" spans="1:7" x14ac:dyDescent="0.2">
      <c r="A3627" t="s">
        <v>64</v>
      </c>
      <c r="B3627" t="s">
        <v>64</v>
      </c>
      <c r="C3627" s="3" t="s">
        <v>64</v>
      </c>
      <c r="D3627" s="16" t="s">
        <v>64</v>
      </c>
      <c r="E3627" s="16">
        <v>0</v>
      </c>
      <c r="F3627" s="16" t="s">
        <v>64</v>
      </c>
      <c r="G3627" s="16" t="s">
        <v>64</v>
      </c>
    </row>
    <row r="3628" spans="1:7" x14ac:dyDescent="0.2">
      <c r="A3628" t="s">
        <v>64</v>
      </c>
      <c r="B3628" t="s">
        <v>64</v>
      </c>
      <c r="C3628" s="3" t="s">
        <v>64</v>
      </c>
      <c r="D3628" s="16" t="s">
        <v>64</v>
      </c>
      <c r="E3628" s="16">
        <v>0</v>
      </c>
      <c r="F3628" s="16" t="s">
        <v>64</v>
      </c>
      <c r="G3628" s="16" t="s">
        <v>64</v>
      </c>
    </row>
    <row r="3629" spans="1:7" x14ac:dyDescent="0.2">
      <c r="A3629" t="s">
        <v>64</v>
      </c>
      <c r="B3629" t="s">
        <v>64</v>
      </c>
      <c r="C3629" s="3" t="s">
        <v>64</v>
      </c>
      <c r="D3629" s="16" t="s">
        <v>64</v>
      </c>
      <c r="E3629" s="16">
        <v>0</v>
      </c>
      <c r="F3629" s="16" t="s">
        <v>64</v>
      </c>
      <c r="G3629" s="16" t="s">
        <v>64</v>
      </c>
    </row>
    <row r="3630" spans="1:7" x14ac:dyDescent="0.2">
      <c r="A3630" t="s">
        <v>64</v>
      </c>
      <c r="B3630" t="s">
        <v>64</v>
      </c>
      <c r="C3630" s="3" t="s">
        <v>64</v>
      </c>
      <c r="D3630" s="16" t="s">
        <v>64</v>
      </c>
      <c r="E3630" s="16">
        <v>0</v>
      </c>
      <c r="F3630" s="16" t="s">
        <v>64</v>
      </c>
      <c r="G3630" s="16" t="s">
        <v>64</v>
      </c>
    </row>
    <row r="3631" spans="1:7" x14ac:dyDescent="0.2">
      <c r="A3631" t="s">
        <v>64</v>
      </c>
      <c r="B3631" t="s">
        <v>64</v>
      </c>
      <c r="C3631" s="3" t="s">
        <v>64</v>
      </c>
      <c r="D3631" s="16" t="s">
        <v>64</v>
      </c>
      <c r="E3631" s="16">
        <v>0</v>
      </c>
      <c r="F3631" s="16" t="s">
        <v>64</v>
      </c>
      <c r="G3631" s="16" t="s">
        <v>64</v>
      </c>
    </row>
    <row r="3632" spans="1:7" x14ac:dyDescent="0.2">
      <c r="A3632" t="s">
        <v>64</v>
      </c>
      <c r="B3632" t="s">
        <v>64</v>
      </c>
      <c r="C3632" s="3" t="s">
        <v>64</v>
      </c>
      <c r="D3632" s="16" t="s">
        <v>64</v>
      </c>
      <c r="E3632" s="16">
        <v>0</v>
      </c>
      <c r="F3632" s="16" t="s">
        <v>64</v>
      </c>
      <c r="G3632" s="16" t="s">
        <v>64</v>
      </c>
    </row>
    <row r="3633" spans="1:7" x14ac:dyDescent="0.2">
      <c r="A3633" t="s">
        <v>64</v>
      </c>
      <c r="B3633" t="s">
        <v>64</v>
      </c>
      <c r="C3633" s="3" t="s">
        <v>64</v>
      </c>
      <c r="D3633" s="16" t="s">
        <v>64</v>
      </c>
      <c r="E3633" s="16">
        <v>0</v>
      </c>
      <c r="F3633" s="16" t="s">
        <v>64</v>
      </c>
      <c r="G3633" s="16" t="s">
        <v>64</v>
      </c>
    </row>
    <row r="3634" spans="1:7" x14ac:dyDescent="0.2">
      <c r="A3634" t="s">
        <v>64</v>
      </c>
      <c r="B3634" t="s">
        <v>64</v>
      </c>
      <c r="C3634" s="3" t="s">
        <v>64</v>
      </c>
      <c r="D3634" s="16" t="s">
        <v>64</v>
      </c>
      <c r="E3634" s="16">
        <v>0</v>
      </c>
      <c r="F3634" s="16" t="s">
        <v>64</v>
      </c>
      <c r="G3634" s="16" t="s">
        <v>64</v>
      </c>
    </row>
    <row r="3635" spans="1:7" x14ac:dyDescent="0.2">
      <c r="A3635" t="s">
        <v>64</v>
      </c>
      <c r="B3635" t="s">
        <v>64</v>
      </c>
      <c r="C3635" s="3" t="s">
        <v>64</v>
      </c>
      <c r="D3635" s="16" t="s">
        <v>64</v>
      </c>
      <c r="E3635" s="16">
        <v>0</v>
      </c>
      <c r="F3635" s="16" t="s">
        <v>64</v>
      </c>
      <c r="G3635" s="16" t="s">
        <v>64</v>
      </c>
    </row>
    <row r="3636" spans="1:7" x14ac:dyDescent="0.2">
      <c r="A3636" t="s">
        <v>64</v>
      </c>
      <c r="B3636" t="s">
        <v>64</v>
      </c>
      <c r="C3636" s="3" t="s">
        <v>64</v>
      </c>
      <c r="D3636" s="16" t="s">
        <v>64</v>
      </c>
      <c r="E3636" s="16">
        <v>0</v>
      </c>
      <c r="F3636" s="16" t="s">
        <v>64</v>
      </c>
      <c r="G3636" s="16" t="s">
        <v>64</v>
      </c>
    </row>
    <row r="3637" spans="1:7" x14ac:dyDescent="0.2">
      <c r="A3637" t="s">
        <v>64</v>
      </c>
      <c r="B3637" t="s">
        <v>64</v>
      </c>
      <c r="C3637" s="3" t="s">
        <v>64</v>
      </c>
      <c r="D3637" s="16" t="s">
        <v>64</v>
      </c>
      <c r="E3637" s="16">
        <v>0</v>
      </c>
      <c r="F3637" s="16" t="s">
        <v>64</v>
      </c>
      <c r="G3637" s="16" t="s">
        <v>64</v>
      </c>
    </row>
    <row r="3638" spans="1:7" x14ac:dyDescent="0.2">
      <c r="A3638" t="s">
        <v>64</v>
      </c>
      <c r="B3638" t="s">
        <v>64</v>
      </c>
      <c r="C3638" s="3" t="s">
        <v>64</v>
      </c>
      <c r="D3638" s="16" t="s">
        <v>64</v>
      </c>
      <c r="E3638" s="16">
        <v>0</v>
      </c>
      <c r="F3638" s="16" t="s">
        <v>64</v>
      </c>
      <c r="G3638" s="16" t="s">
        <v>64</v>
      </c>
    </row>
    <row r="3639" spans="1:7" x14ac:dyDescent="0.2">
      <c r="A3639" t="s">
        <v>64</v>
      </c>
      <c r="B3639" t="s">
        <v>64</v>
      </c>
      <c r="C3639" s="3" t="s">
        <v>64</v>
      </c>
      <c r="D3639" s="16" t="s">
        <v>64</v>
      </c>
      <c r="E3639" s="16">
        <v>0</v>
      </c>
      <c r="F3639" s="16" t="s">
        <v>64</v>
      </c>
      <c r="G3639" s="16" t="s">
        <v>64</v>
      </c>
    </row>
    <row r="3640" spans="1:7" x14ac:dyDescent="0.2">
      <c r="A3640" t="s">
        <v>64</v>
      </c>
      <c r="B3640" t="s">
        <v>64</v>
      </c>
      <c r="C3640" s="3" t="s">
        <v>64</v>
      </c>
      <c r="D3640" s="16" t="s">
        <v>64</v>
      </c>
      <c r="E3640" s="16">
        <v>0</v>
      </c>
      <c r="F3640" s="16" t="s">
        <v>64</v>
      </c>
      <c r="G3640" s="16" t="s">
        <v>64</v>
      </c>
    </row>
    <row r="3641" spans="1:7" x14ac:dyDescent="0.2">
      <c r="A3641" t="s">
        <v>64</v>
      </c>
      <c r="B3641" t="s">
        <v>64</v>
      </c>
      <c r="C3641" s="3" t="s">
        <v>64</v>
      </c>
      <c r="D3641" s="16" t="s">
        <v>64</v>
      </c>
      <c r="E3641" s="16">
        <v>0</v>
      </c>
      <c r="F3641" s="16" t="s">
        <v>64</v>
      </c>
      <c r="G3641" s="16" t="s">
        <v>64</v>
      </c>
    </row>
    <row r="3642" spans="1:7" x14ac:dyDescent="0.2">
      <c r="A3642" t="s">
        <v>64</v>
      </c>
      <c r="B3642" t="s">
        <v>64</v>
      </c>
      <c r="C3642" s="3" t="s">
        <v>64</v>
      </c>
      <c r="D3642" s="16" t="s">
        <v>64</v>
      </c>
      <c r="E3642" s="16">
        <v>0</v>
      </c>
      <c r="F3642" s="16" t="s">
        <v>64</v>
      </c>
      <c r="G3642" s="16" t="s">
        <v>64</v>
      </c>
    </row>
    <row r="3643" spans="1:7" x14ac:dyDescent="0.2">
      <c r="A3643" t="s">
        <v>64</v>
      </c>
      <c r="B3643" t="s">
        <v>64</v>
      </c>
      <c r="C3643" s="3" t="s">
        <v>64</v>
      </c>
      <c r="D3643" s="16" t="s">
        <v>64</v>
      </c>
      <c r="E3643" s="16">
        <v>0</v>
      </c>
      <c r="F3643" s="16" t="s">
        <v>64</v>
      </c>
      <c r="G3643" s="16" t="s">
        <v>64</v>
      </c>
    </row>
    <row r="3644" spans="1:7" x14ac:dyDescent="0.2">
      <c r="A3644" t="s">
        <v>64</v>
      </c>
      <c r="B3644" t="s">
        <v>64</v>
      </c>
      <c r="C3644" s="3" t="s">
        <v>64</v>
      </c>
      <c r="D3644" s="16" t="s">
        <v>64</v>
      </c>
      <c r="E3644" s="16">
        <v>0</v>
      </c>
      <c r="F3644" s="16" t="s">
        <v>64</v>
      </c>
      <c r="G3644" s="16" t="s">
        <v>64</v>
      </c>
    </row>
    <row r="3645" spans="1:7" x14ac:dyDescent="0.2">
      <c r="A3645" t="s">
        <v>64</v>
      </c>
      <c r="B3645" t="s">
        <v>64</v>
      </c>
      <c r="C3645" s="3" t="s">
        <v>64</v>
      </c>
      <c r="D3645" s="16" t="s">
        <v>64</v>
      </c>
      <c r="E3645" s="16">
        <v>0</v>
      </c>
      <c r="F3645" s="16" t="s">
        <v>64</v>
      </c>
      <c r="G3645" s="16" t="s">
        <v>64</v>
      </c>
    </row>
    <row r="3646" spans="1:7" x14ac:dyDescent="0.2">
      <c r="A3646" t="s">
        <v>64</v>
      </c>
      <c r="B3646" t="s">
        <v>64</v>
      </c>
      <c r="C3646" s="3" t="s">
        <v>64</v>
      </c>
      <c r="D3646" s="16" t="s">
        <v>64</v>
      </c>
      <c r="E3646" s="16">
        <v>0</v>
      </c>
      <c r="F3646" s="16" t="s">
        <v>64</v>
      </c>
      <c r="G3646" s="16" t="s">
        <v>64</v>
      </c>
    </row>
    <row r="3647" spans="1:7" x14ac:dyDescent="0.2">
      <c r="A3647" t="s">
        <v>64</v>
      </c>
      <c r="B3647" t="s">
        <v>64</v>
      </c>
      <c r="C3647" s="3" t="s">
        <v>64</v>
      </c>
      <c r="D3647" s="16" t="s">
        <v>64</v>
      </c>
      <c r="E3647" s="16">
        <v>0</v>
      </c>
      <c r="F3647" s="16" t="s">
        <v>64</v>
      </c>
      <c r="G3647" s="16" t="s">
        <v>64</v>
      </c>
    </row>
    <row r="3648" spans="1:7" x14ac:dyDescent="0.2">
      <c r="A3648" t="s">
        <v>64</v>
      </c>
      <c r="B3648" t="s">
        <v>64</v>
      </c>
      <c r="C3648" s="3" t="s">
        <v>64</v>
      </c>
      <c r="D3648" s="16" t="s">
        <v>64</v>
      </c>
      <c r="E3648" s="16">
        <v>0</v>
      </c>
      <c r="F3648" s="16" t="s">
        <v>64</v>
      </c>
      <c r="G3648" s="16" t="s">
        <v>64</v>
      </c>
    </row>
    <row r="3649" spans="1:7" x14ac:dyDescent="0.2">
      <c r="A3649" t="s">
        <v>64</v>
      </c>
      <c r="B3649" t="s">
        <v>64</v>
      </c>
      <c r="C3649" s="3" t="s">
        <v>64</v>
      </c>
      <c r="D3649" s="16" t="s">
        <v>64</v>
      </c>
      <c r="E3649" s="16">
        <v>0</v>
      </c>
      <c r="F3649" s="16" t="s">
        <v>64</v>
      </c>
      <c r="G3649" s="16" t="s">
        <v>64</v>
      </c>
    </row>
    <row r="3650" spans="1:7" x14ac:dyDescent="0.2">
      <c r="A3650" t="s">
        <v>64</v>
      </c>
      <c r="B3650" t="s">
        <v>64</v>
      </c>
      <c r="C3650" s="3" t="s">
        <v>64</v>
      </c>
      <c r="D3650" s="16" t="s">
        <v>64</v>
      </c>
      <c r="E3650" s="16">
        <v>0</v>
      </c>
      <c r="F3650" s="16" t="s">
        <v>64</v>
      </c>
      <c r="G3650" s="16" t="s">
        <v>64</v>
      </c>
    </row>
    <row r="3651" spans="1:7" x14ac:dyDescent="0.2">
      <c r="A3651" t="s">
        <v>64</v>
      </c>
      <c r="B3651" t="s">
        <v>64</v>
      </c>
      <c r="C3651" s="3" t="s">
        <v>64</v>
      </c>
      <c r="D3651" s="16" t="s">
        <v>64</v>
      </c>
      <c r="E3651" s="16">
        <v>0</v>
      </c>
      <c r="F3651" s="16" t="s">
        <v>64</v>
      </c>
      <c r="G3651" s="16" t="s">
        <v>64</v>
      </c>
    </row>
    <row r="3652" spans="1:7" x14ac:dyDescent="0.2">
      <c r="A3652" t="s">
        <v>64</v>
      </c>
      <c r="B3652" t="s">
        <v>64</v>
      </c>
      <c r="C3652" s="3" t="s">
        <v>64</v>
      </c>
      <c r="D3652" s="16" t="s">
        <v>64</v>
      </c>
      <c r="E3652" s="16">
        <v>0</v>
      </c>
      <c r="F3652" s="16" t="s">
        <v>64</v>
      </c>
      <c r="G3652" s="16" t="s">
        <v>64</v>
      </c>
    </row>
    <row r="3653" spans="1:7" x14ac:dyDescent="0.2">
      <c r="A3653" t="s">
        <v>64</v>
      </c>
      <c r="B3653" t="s">
        <v>64</v>
      </c>
      <c r="C3653" s="3" t="s">
        <v>64</v>
      </c>
      <c r="D3653" s="16" t="s">
        <v>64</v>
      </c>
      <c r="E3653" s="16">
        <v>0</v>
      </c>
      <c r="F3653" s="16" t="s">
        <v>64</v>
      </c>
      <c r="G3653" s="16" t="s">
        <v>64</v>
      </c>
    </row>
    <row r="3654" spans="1:7" x14ac:dyDescent="0.2">
      <c r="A3654" t="s">
        <v>64</v>
      </c>
      <c r="B3654" t="s">
        <v>64</v>
      </c>
      <c r="C3654" s="3" t="s">
        <v>64</v>
      </c>
      <c r="D3654" s="16" t="s">
        <v>64</v>
      </c>
      <c r="E3654" s="16">
        <v>0</v>
      </c>
      <c r="F3654" s="16" t="s">
        <v>64</v>
      </c>
      <c r="G3654" s="16" t="s">
        <v>64</v>
      </c>
    </row>
    <row r="3655" spans="1:7" x14ac:dyDescent="0.2">
      <c r="A3655" t="s">
        <v>64</v>
      </c>
      <c r="B3655" t="s">
        <v>64</v>
      </c>
      <c r="C3655" s="3" t="s">
        <v>64</v>
      </c>
      <c r="D3655" s="16" t="s">
        <v>64</v>
      </c>
      <c r="E3655" s="16">
        <v>0</v>
      </c>
      <c r="F3655" s="16" t="s">
        <v>64</v>
      </c>
      <c r="G3655" s="16" t="s">
        <v>64</v>
      </c>
    </row>
    <row r="3656" spans="1:7" x14ac:dyDescent="0.2">
      <c r="A3656" t="s">
        <v>64</v>
      </c>
      <c r="B3656" t="s">
        <v>64</v>
      </c>
      <c r="C3656" s="3" t="s">
        <v>64</v>
      </c>
      <c r="D3656" s="16" t="s">
        <v>64</v>
      </c>
      <c r="E3656" s="16">
        <v>0</v>
      </c>
      <c r="F3656" s="16" t="s">
        <v>64</v>
      </c>
      <c r="G3656" s="16" t="s">
        <v>64</v>
      </c>
    </row>
    <row r="3657" spans="1:7" x14ac:dyDescent="0.2">
      <c r="A3657" t="s">
        <v>64</v>
      </c>
      <c r="B3657" t="s">
        <v>64</v>
      </c>
      <c r="C3657" s="3" t="s">
        <v>64</v>
      </c>
      <c r="D3657" s="16" t="s">
        <v>64</v>
      </c>
      <c r="E3657" s="16">
        <v>0</v>
      </c>
      <c r="F3657" s="16" t="s">
        <v>64</v>
      </c>
      <c r="G3657" s="16" t="s">
        <v>64</v>
      </c>
    </row>
    <row r="3658" spans="1:7" x14ac:dyDescent="0.2">
      <c r="A3658" t="s">
        <v>64</v>
      </c>
      <c r="B3658" t="s">
        <v>64</v>
      </c>
      <c r="C3658" s="3" t="s">
        <v>64</v>
      </c>
      <c r="D3658" s="16" t="s">
        <v>64</v>
      </c>
      <c r="E3658" s="16">
        <v>0</v>
      </c>
      <c r="F3658" s="16" t="s">
        <v>64</v>
      </c>
      <c r="G3658" s="16" t="s">
        <v>64</v>
      </c>
    </row>
    <row r="3659" spans="1:7" x14ac:dyDescent="0.2">
      <c r="A3659" t="s">
        <v>64</v>
      </c>
      <c r="B3659" t="s">
        <v>64</v>
      </c>
      <c r="C3659" s="3" t="s">
        <v>64</v>
      </c>
      <c r="D3659" s="16" t="s">
        <v>64</v>
      </c>
      <c r="E3659" s="16">
        <v>0</v>
      </c>
      <c r="F3659" s="16" t="s">
        <v>64</v>
      </c>
      <c r="G3659" s="16" t="s">
        <v>64</v>
      </c>
    </row>
    <row r="3660" spans="1:7" x14ac:dyDescent="0.2">
      <c r="A3660" t="s">
        <v>64</v>
      </c>
      <c r="B3660" t="s">
        <v>64</v>
      </c>
      <c r="C3660" s="3" t="s">
        <v>64</v>
      </c>
      <c r="D3660" s="16" t="s">
        <v>64</v>
      </c>
      <c r="E3660" s="16">
        <v>0</v>
      </c>
      <c r="F3660" s="16" t="s">
        <v>64</v>
      </c>
      <c r="G3660" s="16" t="s">
        <v>64</v>
      </c>
    </row>
    <row r="3661" spans="1:7" x14ac:dyDescent="0.2">
      <c r="A3661" t="s">
        <v>64</v>
      </c>
      <c r="B3661" t="s">
        <v>64</v>
      </c>
      <c r="C3661" s="3" t="s">
        <v>64</v>
      </c>
      <c r="D3661" s="16" t="s">
        <v>64</v>
      </c>
      <c r="E3661" s="16">
        <v>0</v>
      </c>
      <c r="F3661" s="16" t="s">
        <v>64</v>
      </c>
      <c r="G3661" s="16" t="s">
        <v>64</v>
      </c>
    </row>
    <row r="3662" spans="1:7" x14ac:dyDescent="0.2">
      <c r="A3662" t="s">
        <v>64</v>
      </c>
      <c r="B3662" t="s">
        <v>64</v>
      </c>
      <c r="C3662" s="3" t="s">
        <v>64</v>
      </c>
      <c r="D3662" s="16" t="s">
        <v>64</v>
      </c>
      <c r="E3662" s="16">
        <v>0</v>
      </c>
      <c r="F3662" s="16" t="s">
        <v>64</v>
      </c>
      <c r="G3662" s="16" t="s">
        <v>64</v>
      </c>
    </row>
    <row r="3663" spans="1:7" x14ac:dyDescent="0.2">
      <c r="A3663" t="s">
        <v>64</v>
      </c>
      <c r="B3663" t="s">
        <v>64</v>
      </c>
      <c r="C3663" s="3" t="s">
        <v>64</v>
      </c>
      <c r="D3663" s="16" t="s">
        <v>64</v>
      </c>
      <c r="E3663" s="16">
        <v>0</v>
      </c>
      <c r="F3663" s="16" t="s">
        <v>64</v>
      </c>
      <c r="G3663" s="16" t="s">
        <v>64</v>
      </c>
    </row>
    <row r="3664" spans="1:7" x14ac:dyDescent="0.2">
      <c r="A3664" t="s">
        <v>64</v>
      </c>
      <c r="B3664" t="s">
        <v>64</v>
      </c>
      <c r="C3664" s="3" t="s">
        <v>64</v>
      </c>
      <c r="D3664" s="16" t="s">
        <v>64</v>
      </c>
      <c r="E3664" s="16">
        <v>0</v>
      </c>
      <c r="F3664" s="16" t="s">
        <v>64</v>
      </c>
      <c r="G3664" s="16" t="s">
        <v>64</v>
      </c>
    </row>
    <row r="3665" spans="1:7" x14ac:dyDescent="0.2">
      <c r="A3665" t="s">
        <v>64</v>
      </c>
      <c r="B3665" t="s">
        <v>64</v>
      </c>
      <c r="C3665" s="3" t="s">
        <v>64</v>
      </c>
      <c r="D3665" s="16" t="s">
        <v>64</v>
      </c>
      <c r="E3665" s="16">
        <v>0</v>
      </c>
      <c r="F3665" s="16" t="s">
        <v>64</v>
      </c>
      <c r="G3665" s="16" t="s">
        <v>64</v>
      </c>
    </row>
    <row r="3666" spans="1:7" x14ac:dyDescent="0.2">
      <c r="A3666" t="s">
        <v>64</v>
      </c>
      <c r="B3666" t="s">
        <v>64</v>
      </c>
      <c r="C3666" s="3" t="s">
        <v>64</v>
      </c>
      <c r="D3666" s="16" t="s">
        <v>64</v>
      </c>
      <c r="E3666" s="16">
        <v>0</v>
      </c>
      <c r="F3666" s="16" t="s">
        <v>64</v>
      </c>
      <c r="G3666" s="16" t="s">
        <v>64</v>
      </c>
    </row>
    <row r="3667" spans="1:7" x14ac:dyDescent="0.2">
      <c r="A3667" t="s">
        <v>64</v>
      </c>
      <c r="B3667" t="s">
        <v>64</v>
      </c>
      <c r="C3667" s="3" t="s">
        <v>64</v>
      </c>
      <c r="D3667" s="16" t="s">
        <v>64</v>
      </c>
      <c r="E3667" s="16">
        <v>0</v>
      </c>
      <c r="F3667" s="16" t="s">
        <v>64</v>
      </c>
      <c r="G3667" s="16" t="s">
        <v>64</v>
      </c>
    </row>
    <row r="3668" spans="1:7" x14ac:dyDescent="0.2">
      <c r="A3668" t="s">
        <v>64</v>
      </c>
      <c r="B3668" t="s">
        <v>64</v>
      </c>
      <c r="C3668" s="3" t="s">
        <v>64</v>
      </c>
      <c r="D3668" s="16" t="s">
        <v>64</v>
      </c>
      <c r="E3668" s="16">
        <v>0</v>
      </c>
      <c r="F3668" s="16" t="s">
        <v>64</v>
      </c>
      <c r="G3668" s="16" t="s">
        <v>64</v>
      </c>
    </row>
    <row r="3669" spans="1:7" x14ac:dyDescent="0.2">
      <c r="A3669" t="s">
        <v>64</v>
      </c>
      <c r="B3669" t="s">
        <v>64</v>
      </c>
      <c r="C3669" s="3" t="s">
        <v>64</v>
      </c>
      <c r="D3669" s="16" t="s">
        <v>64</v>
      </c>
      <c r="E3669" s="16">
        <v>0</v>
      </c>
      <c r="F3669" s="16" t="s">
        <v>64</v>
      </c>
      <c r="G3669" s="16" t="s">
        <v>64</v>
      </c>
    </row>
    <row r="3670" spans="1:7" x14ac:dyDescent="0.2">
      <c r="A3670" t="s">
        <v>64</v>
      </c>
      <c r="B3670" t="s">
        <v>64</v>
      </c>
      <c r="C3670" s="3" t="s">
        <v>64</v>
      </c>
      <c r="D3670" s="16" t="s">
        <v>64</v>
      </c>
      <c r="E3670" s="16">
        <v>0</v>
      </c>
      <c r="F3670" s="16" t="s">
        <v>64</v>
      </c>
      <c r="G3670" s="16" t="s">
        <v>64</v>
      </c>
    </row>
    <row r="3671" spans="1:7" x14ac:dyDescent="0.2">
      <c r="A3671" t="s">
        <v>64</v>
      </c>
      <c r="B3671" t="s">
        <v>64</v>
      </c>
      <c r="C3671" s="3" t="s">
        <v>64</v>
      </c>
      <c r="D3671" s="16" t="s">
        <v>64</v>
      </c>
      <c r="E3671" s="16">
        <v>0</v>
      </c>
      <c r="F3671" s="16" t="s">
        <v>64</v>
      </c>
      <c r="G3671" s="16" t="s">
        <v>64</v>
      </c>
    </row>
    <row r="3672" spans="1:7" x14ac:dyDescent="0.2">
      <c r="A3672" t="s">
        <v>64</v>
      </c>
      <c r="B3672" t="s">
        <v>64</v>
      </c>
      <c r="C3672" s="3" t="s">
        <v>64</v>
      </c>
      <c r="D3672" s="16" t="s">
        <v>64</v>
      </c>
      <c r="E3672" s="16">
        <v>0</v>
      </c>
      <c r="F3672" s="16" t="s">
        <v>64</v>
      </c>
      <c r="G3672" s="16" t="s">
        <v>64</v>
      </c>
    </row>
    <row r="3673" spans="1:7" x14ac:dyDescent="0.2">
      <c r="A3673" t="s">
        <v>64</v>
      </c>
      <c r="B3673" t="s">
        <v>64</v>
      </c>
      <c r="C3673" s="3" t="s">
        <v>64</v>
      </c>
      <c r="D3673" s="16" t="s">
        <v>64</v>
      </c>
      <c r="E3673" s="16">
        <v>0</v>
      </c>
      <c r="F3673" s="16" t="s">
        <v>64</v>
      </c>
      <c r="G3673" s="16" t="s">
        <v>64</v>
      </c>
    </row>
    <row r="3674" spans="1:7" x14ac:dyDescent="0.2">
      <c r="A3674" t="s">
        <v>64</v>
      </c>
      <c r="B3674" t="s">
        <v>64</v>
      </c>
      <c r="C3674" s="3" t="s">
        <v>64</v>
      </c>
      <c r="D3674" s="16" t="s">
        <v>64</v>
      </c>
      <c r="E3674" s="16">
        <v>0</v>
      </c>
      <c r="F3674" s="16" t="s">
        <v>64</v>
      </c>
      <c r="G3674" s="16" t="s">
        <v>64</v>
      </c>
    </row>
    <row r="3675" spans="1:7" x14ac:dyDescent="0.2">
      <c r="A3675" t="s">
        <v>64</v>
      </c>
      <c r="B3675" t="s">
        <v>64</v>
      </c>
      <c r="C3675" s="3" t="s">
        <v>64</v>
      </c>
      <c r="D3675" s="16" t="s">
        <v>64</v>
      </c>
      <c r="E3675" s="16">
        <v>0</v>
      </c>
      <c r="F3675" s="16" t="s">
        <v>64</v>
      </c>
      <c r="G3675" s="16" t="s">
        <v>64</v>
      </c>
    </row>
    <row r="3676" spans="1:7" x14ac:dyDescent="0.2">
      <c r="A3676" t="s">
        <v>64</v>
      </c>
      <c r="B3676" t="s">
        <v>64</v>
      </c>
      <c r="C3676" s="3" t="s">
        <v>64</v>
      </c>
      <c r="D3676" s="16" t="s">
        <v>64</v>
      </c>
      <c r="E3676" s="16">
        <v>0</v>
      </c>
      <c r="F3676" s="16" t="s">
        <v>64</v>
      </c>
      <c r="G3676" s="16" t="s">
        <v>64</v>
      </c>
    </row>
    <row r="3677" spans="1:7" x14ac:dyDescent="0.2">
      <c r="A3677" t="s">
        <v>64</v>
      </c>
      <c r="B3677" t="s">
        <v>64</v>
      </c>
      <c r="C3677" s="3" t="s">
        <v>64</v>
      </c>
      <c r="D3677" s="16" t="s">
        <v>64</v>
      </c>
      <c r="E3677" s="16">
        <v>0</v>
      </c>
      <c r="F3677" s="16" t="s">
        <v>64</v>
      </c>
      <c r="G3677" s="16" t="s">
        <v>64</v>
      </c>
    </row>
    <row r="3678" spans="1:7" x14ac:dyDescent="0.2">
      <c r="A3678" t="s">
        <v>64</v>
      </c>
      <c r="B3678" t="s">
        <v>64</v>
      </c>
      <c r="C3678" s="3" t="s">
        <v>64</v>
      </c>
      <c r="D3678" s="16" t="s">
        <v>64</v>
      </c>
      <c r="E3678" s="16">
        <v>0</v>
      </c>
      <c r="F3678" s="16" t="s">
        <v>64</v>
      </c>
      <c r="G3678" s="16" t="s">
        <v>64</v>
      </c>
    </row>
    <row r="3679" spans="1:7" x14ac:dyDescent="0.2">
      <c r="A3679" t="s">
        <v>64</v>
      </c>
      <c r="B3679" t="s">
        <v>64</v>
      </c>
      <c r="C3679" s="3" t="s">
        <v>64</v>
      </c>
      <c r="D3679" s="16" t="s">
        <v>64</v>
      </c>
      <c r="E3679" s="16">
        <v>0</v>
      </c>
      <c r="F3679" s="16" t="s">
        <v>64</v>
      </c>
      <c r="G3679" s="16" t="s">
        <v>64</v>
      </c>
    </row>
    <row r="3680" spans="1:7" x14ac:dyDescent="0.2">
      <c r="A3680" t="s">
        <v>64</v>
      </c>
      <c r="B3680" t="s">
        <v>64</v>
      </c>
      <c r="C3680" s="3" t="s">
        <v>64</v>
      </c>
      <c r="D3680" s="16" t="s">
        <v>64</v>
      </c>
      <c r="E3680" s="16">
        <v>0</v>
      </c>
      <c r="F3680" s="16" t="s">
        <v>64</v>
      </c>
      <c r="G3680" s="16" t="s">
        <v>64</v>
      </c>
    </row>
    <row r="3681" spans="1:7" x14ac:dyDescent="0.2">
      <c r="A3681" t="s">
        <v>64</v>
      </c>
      <c r="B3681" t="s">
        <v>64</v>
      </c>
      <c r="C3681" s="3" t="s">
        <v>64</v>
      </c>
      <c r="D3681" s="16" t="s">
        <v>64</v>
      </c>
      <c r="E3681" s="16">
        <v>0</v>
      </c>
      <c r="F3681" s="16" t="s">
        <v>64</v>
      </c>
      <c r="G3681" s="16" t="s">
        <v>64</v>
      </c>
    </row>
    <row r="3682" spans="1:7" x14ac:dyDescent="0.2">
      <c r="A3682" t="s">
        <v>64</v>
      </c>
      <c r="B3682" t="s">
        <v>64</v>
      </c>
      <c r="C3682" s="3" t="s">
        <v>64</v>
      </c>
      <c r="D3682" s="16" t="s">
        <v>64</v>
      </c>
      <c r="E3682" s="16">
        <v>0</v>
      </c>
      <c r="F3682" s="16" t="s">
        <v>64</v>
      </c>
      <c r="G3682" s="16" t="s">
        <v>64</v>
      </c>
    </row>
    <row r="3683" spans="1:7" x14ac:dyDescent="0.2">
      <c r="A3683" t="s">
        <v>64</v>
      </c>
      <c r="B3683" t="s">
        <v>64</v>
      </c>
      <c r="C3683" s="3" t="s">
        <v>64</v>
      </c>
      <c r="D3683" s="16" t="s">
        <v>64</v>
      </c>
      <c r="E3683" s="16">
        <v>0</v>
      </c>
      <c r="F3683" s="16" t="s">
        <v>64</v>
      </c>
      <c r="G3683" s="16" t="s">
        <v>64</v>
      </c>
    </row>
    <row r="3684" spans="1:7" x14ac:dyDescent="0.2">
      <c r="A3684" t="s">
        <v>64</v>
      </c>
      <c r="B3684" t="s">
        <v>64</v>
      </c>
      <c r="C3684" s="3" t="s">
        <v>64</v>
      </c>
      <c r="D3684" s="16" t="s">
        <v>64</v>
      </c>
      <c r="E3684" s="16">
        <v>0</v>
      </c>
      <c r="F3684" s="16" t="s">
        <v>64</v>
      </c>
      <c r="G3684" s="16" t="s">
        <v>64</v>
      </c>
    </row>
    <row r="3685" spans="1:7" x14ac:dyDescent="0.2">
      <c r="A3685" t="s">
        <v>64</v>
      </c>
      <c r="B3685" t="s">
        <v>64</v>
      </c>
      <c r="C3685" s="3" t="s">
        <v>64</v>
      </c>
      <c r="D3685" s="16" t="s">
        <v>64</v>
      </c>
      <c r="E3685" s="16">
        <v>0</v>
      </c>
      <c r="F3685" s="16" t="s">
        <v>64</v>
      </c>
      <c r="G3685" s="16" t="s">
        <v>64</v>
      </c>
    </row>
    <row r="3686" spans="1:7" x14ac:dyDescent="0.2">
      <c r="A3686" t="s">
        <v>64</v>
      </c>
      <c r="B3686" t="s">
        <v>64</v>
      </c>
      <c r="C3686" s="3" t="s">
        <v>64</v>
      </c>
      <c r="D3686" s="16" t="s">
        <v>64</v>
      </c>
      <c r="E3686" s="16">
        <v>0</v>
      </c>
      <c r="F3686" s="16" t="s">
        <v>64</v>
      </c>
      <c r="G3686" s="16" t="s">
        <v>64</v>
      </c>
    </row>
    <row r="3687" spans="1:7" x14ac:dyDescent="0.2">
      <c r="A3687" t="s">
        <v>64</v>
      </c>
      <c r="B3687" t="s">
        <v>64</v>
      </c>
      <c r="C3687" s="3" t="s">
        <v>64</v>
      </c>
      <c r="D3687" s="16" t="s">
        <v>64</v>
      </c>
      <c r="E3687" s="16">
        <v>0</v>
      </c>
      <c r="F3687" s="16" t="s">
        <v>64</v>
      </c>
      <c r="G3687" s="16" t="s">
        <v>64</v>
      </c>
    </row>
    <row r="3688" spans="1:7" x14ac:dyDescent="0.2">
      <c r="A3688" t="s">
        <v>64</v>
      </c>
      <c r="B3688" t="s">
        <v>64</v>
      </c>
      <c r="C3688" s="3" t="s">
        <v>64</v>
      </c>
      <c r="D3688" s="16" t="s">
        <v>64</v>
      </c>
      <c r="E3688" s="16">
        <v>0</v>
      </c>
      <c r="F3688" s="16" t="s">
        <v>64</v>
      </c>
      <c r="G3688" s="16" t="s">
        <v>64</v>
      </c>
    </row>
    <row r="3689" spans="1:7" x14ac:dyDescent="0.2">
      <c r="A3689" t="s">
        <v>64</v>
      </c>
      <c r="B3689" t="s">
        <v>64</v>
      </c>
      <c r="C3689" s="3" t="s">
        <v>64</v>
      </c>
      <c r="D3689" s="16" t="s">
        <v>64</v>
      </c>
      <c r="E3689" s="16">
        <v>0</v>
      </c>
      <c r="F3689" s="16" t="s">
        <v>64</v>
      </c>
      <c r="G3689" s="16" t="s">
        <v>64</v>
      </c>
    </row>
    <row r="3690" spans="1:7" x14ac:dyDescent="0.2">
      <c r="A3690" t="s">
        <v>64</v>
      </c>
      <c r="B3690" t="s">
        <v>64</v>
      </c>
      <c r="C3690" s="3" t="s">
        <v>64</v>
      </c>
      <c r="D3690" s="16" t="s">
        <v>64</v>
      </c>
      <c r="E3690" s="16">
        <v>0</v>
      </c>
      <c r="F3690" s="16" t="s">
        <v>64</v>
      </c>
      <c r="G3690" s="16" t="s">
        <v>64</v>
      </c>
    </row>
    <row r="3691" spans="1:7" x14ac:dyDescent="0.2">
      <c r="A3691" t="s">
        <v>64</v>
      </c>
      <c r="B3691" t="s">
        <v>64</v>
      </c>
      <c r="C3691" s="3" t="s">
        <v>64</v>
      </c>
      <c r="D3691" s="16" t="s">
        <v>64</v>
      </c>
      <c r="E3691" s="16">
        <v>0</v>
      </c>
      <c r="F3691" s="16" t="s">
        <v>64</v>
      </c>
      <c r="G3691" s="16" t="s">
        <v>64</v>
      </c>
    </row>
    <row r="3692" spans="1:7" x14ac:dyDescent="0.2">
      <c r="A3692" t="s">
        <v>64</v>
      </c>
      <c r="B3692" t="s">
        <v>64</v>
      </c>
      <c r="C3692" s="3" t="s">
        <v>64</v>
      </c>
      <c r="D3692" s="16" t="s">
        <v>64</v>
      </c>
      <c r="E3692" s="16">
        <v>0</v>
      </c>
      <c r="F3692" s="16" t="s">
        <v>64</v>
      </c>
      <c r="G3692" s="16" t="s">
        <v>64</v>
      </c>
    </row>
    <row r="3693" spans="1:7" x14ac:dyDescent="0.2">
      <c r="A3693" t="s">
        <v>64</v>
      </c>
      <c r="B3693" t="s">
        <v>64</v>
      </c>
      <c r="C3693" s="3" t="s">
        <v>64</v>
      </c>
      <c r="D3693" s="16" t="s">
        <v>64</v>
      </c>
      <c r="E3693" s="16">
        <v>0</v>
      </c>
      <c r="F3693" s="16" t="s">
        <v>64</v>
      </c>
      <c r="G3693" s="16" t="s">
        <v>64</v>
      </c>
    </row>
    <row r="3694" spans="1:7" x14ac:dyDescent="0.2">
      <c r="A3694" t="s">
        <v>64</v>
      </c>
      <c r="B3694" t="s">
        <v>64</v>
      </c>
      <c r="C3694" s="3" t="s">
        <v>64</v>
      </c>
      <c r="D3694" s="16" t="s">
        <v>64</v>
      </c>
      <c r="E3694" s="16">
        <v>0</v>
      </c>
      <c r="F3694" s="16" t="s">
        <v>64</v>
      </c>
      <c r="G3694" s="16" t="s">
        <v>64</v>
      </c>
    </row>
    <row r="3695" spans="1:7" x14ac:dyDescent="0.2">
      <c r="A3695" t="s">
        <v>64</v>
      </c>
      <c r="B3695" t="s">
        <v>64</v>
      </c>
      <c r="C3695" s="3" t="s">
        <v>64</v>
      </c>
      <c r="D3695" s="16" t="s">
        <v>64</v>
      </c>
      <c r="E3695" s="16">
        <v>0</v>
      </c>
      <c r="F3695" s="16" t="s">
        <v>64</v>
      </c>
      <c r="G3695" s="16" t="s">
        <v>64</v>
      </c>
    </row>
    <row r="3696" spans="1:7" x14ac:dyDescent="0.2">
      <c r="A3696" t="s">
        <v>64</v>
      </c>
      <c r="B3696" t="s">
        <v>64</v>
      </c>
      <c r="C3696" s="3" t="s">
        <v>64</v>
      </c>
      <c r="D3696" s="16" t="s">
        <v>64</v>
      </c>
      <c r="E3696" s="16">
        <v>0</v>
      </c>
      <c r="F3696" s="16" t="s">
        <v>64</v>
      </c>
      <c r="G3696" s="16" t="s">
        <v>64</v>
      </c>
    </row>
    <row r="3697" spans="1:7" x14ac:dyDescent="0.2">
      <c r="A3697" t="s">
        <v>64</v>
      </c>
      <c r="B3697" t="s">
        <v>64</v>
      </c>
      <c r="C3697" s="3" t="s">
        <v>64</v>
      </c>
      <c r="D3697" s="16" t="s">
        <v>64</v>
      </c>
      <c r="E3697" s="16">
        <v>0</v>
      </c>
      <c r="F3697" s="16" t="s">
        <v>64</v>
      </c>
      <c r="G3697" s="16" t="s">
        <v>64</v>
      </c>
    </row>
    <row r="3698" spans="1:7" x14ac:dyDescent="0.2">
      <c r="A3698" t="s">
        <v>64</v>
      </c>
      <c r="B3698" t="s">
        <v>64</v>
      </c>
      <c r="C3698" s="3" t="s">
        <v>64</v>
      </c>
      <c r="D3698" s="16" t="s">
        <v>64</v>
      </c>
      <c r="E3698" s="16">
        <v>0</v>
      </c>
      <c r="F3698" s="16" t="s">
        <v>64</v>
      </c>
      <c r="G3698" s="16" t="s">
        <v>64</v>
      </c>
    </row>
    <row r="3699" spans="1:7" x14ac:dyDescent="0.2">
      <c r="A3699" t="s">
        <v>64</v>
      </c>
      <c r="B3699" t="s">
        <v>64</v>
      </c>
      <c r="C3699" s="3" t="s">
        <v>64</v>
      </c>
      <c r="D3699" s="16" t="s">
        <v>64</v>
      </c>
      <c r="E3699" s="16">
        <v>0</v>
      </c>
      <c r="F3699" s="16" t="s">
        <v>64</v>
      </c>
      <c r="G3699" s="16" t="s">
        <v>64</v>
      </c>
    </row>
    <row r="3700" spans="1:7" x14ac:dyDescent="0.2">
      <c r="A3700" t="s">
        <v>64</v>
      </c>
      <c r="B3700" t="s">
        <v>64</v>
      </c>
      <c r="C3700" s="3" t="s">
        <v>64</v>
      </c>
      <c r="D3700" s="16" t="s">
        <v>64</v>
      </c>
      <c r="E3700" s="16">
        <v>0</v>
      </c>
      <c r="F3700" s="16" t="s">
        <v>64</v>
      </c>
      <c r="G3700" s="16" t="s">
        <v>64</v>
      </c>
    </row>
    <row r="3701" spans="1:7" x14ac:dyDescent="0.2">
      <c r="A3701" t="s">
        <v>64</v>
      </c>
      <c r="B3701" t="s">
        <v>64</v>
      </c>
      <c r="C3701" s="3" t="s">
        <v>64</v>
      </c>
      <c r="D3701" s="16" t="s">
        <v>64</v>
      </c>
      <c r="E3701" s="16">
        <v>0</v>
      </c>
      <c r="F3701" s="16" t="s">
        <v>64</v>
      </c>
      <c r="G3701" s="16" t="s">
        <v>64</v>
      </c>
    </row>
    <row r="3702" spans="1:7" x14ac:dyDescent="0.2">
      <c r="A3702" t="s">
        <v>64</v>
      </c>
      <c r="B3702" t="s">
        <v>64</v>
      </c>
      <c r="C3702" s="3" t="s">
        <v>64</v>
      </c>
      <c r="D3702" s="16" t="s">
        <v>64</v>
      </c>
      <c r="E3702" s="16">
        <v>0</v>
      </c>
      <c r="F3702" s="16" t="s">
        <v>64</v>
      </c>
      <c r="G3702" s="16" t="s">
        <v>64</v>
      </c>
    </row>
    <row r="3703" spans="1:7" x14ac:dyDescent="0.2">
      <c r="A3703" t="s">
        <v>64</v>
      </c>
      <c r="B3703" t="s">
        <v>64</v>
      </c>
      <c r="C3703" s="3" t="s">
        <v>64</v>
      </c>
      <c r="D3703" s="16" t="s">
        <v>64</v>
      </c>
      <c r="E3703" s="16">
        <v>0</v>
      </c>
      <c r="F3703" s="16" t="s">
        <v>64</v>
      </c>
      <c r="G3703" s="16" t="s">
        <v>64</v>
      </c>
    </row>
    <row r="3704" spans="1:7" x14ac:dyDescent="0.2">
      <c r="A3704" t="s">
        <v>64</v>
      </c>
      <c r="B3704" t="s">
        <v>64</v>
      </c>
      <c r="C3704" s="3" t="s">
        <v>64</v>
      </c>
      <c r="D3704" s="16" t="s">
        <v>64</v>
      </c>
      <c r="E3704" s="16">
        <v>0</v>
      </c>
      <c r="F3704" s="16" t="s">
        <v>64</v>
      </c>
      <c r="G3704" s="16" t="s">
        <v>64</v>
      </c>
    </row>
    <row r="3705" spans="1:7" x14ac:dyDescent="0.2">
      <c r="A3705" t="s">
        <v>64</v>
      </c>
      <c r="B3705" t="s">
        <v>64</v>
      </c>
      <c r="C3705" s="3" t="s">
        <v>64</v>
      </c>
      <c r="D3705" s="16" t="s">
        <v>64</v>
      </c>
      <c r="E3705" s="16">
        <v>0</v>
      </c>
      <c r="F3705" s="16" t="s">
        <v>64</v>
      </c>
      <c r="G3705" s="16" t="s">
        <v>64</v>
      </c>
    </row>
    <row r="3706" spans="1:7" x14ac:dyDescent="0.2">
      <c r="A3706" t="s">
        <v>64</v>
      </c>
      <c r="B3706" t="s">
        <v>64</v>
      </c>
      <c r="C3706" s="3" t="s">
        <v>64</v>
      </c>
      <c r="D3706" s="16" t="s">
        <v>64</v>
      </c>
      <c r="E3706" s="16">
        <v>0</v>
      </c>
      <c r="F3706" s="16" t="s">
        <v>64</v>
      </c>
      <c r="G3706" s="16" t="s">
        <v>64</v>
      </c>
    </row>
    <row r="3707" spans="1:7" x14ac:dyDescent="0.2">
      <c r="A3707" t="s">
        <v>64</v>
      </c>
      <c r="B3707" t="s">
        <v>64</v>
      </c>
      <c r="C3707" s="3" t="s">
        <v>64</v>
      </c>
      <c r="D3707" s="16" t="s">
        <v>64</v>
      </c>
      <c r="E3707" s="16">
        <v>0</v>
      </c>
      <c r="F3707" s="16" t="s">
        <v>64</v>
      </c>
      <c r="G3707" s="16" t="s">
        <v>64</v>
      </c>
    </row>
    <row r="3708" spans="1:7" x14ac:dyDescent="0.2">
      <c r="A3708" t="s">
        <v>64</v>
      </c>
      <c r="B3708" t="s">
        <v>64</v>
      </c>
      <c r="C3708" s="3" t="s">
        <v>64</v>
      </c>
      <c r="D3708" s="16" t="s">
        <v>64</v>
      </c>
      <c r="E3708" s="16">
        <v>0</v>
      </c>
      <c r="F3708" s="16" t="s">
        <v>64</v>
      </c>
      <c r="G3708" s="16" t="s">
        <v>64</v>
      </c>
    </row>
    <row r="3709" spans="1:7" x14ac:dyDescent="0.2">
      <c r="A3709" t="s">
        <v>64</v>
      </c>
      <c r="B3709" t="s">
        <v>64</v>
      </c>
      <c r="C3709" s="3" t="s">
        <v>64</v>
      </c>
      <c r="D3709" s="16" t="s">
        <v>64</v>
      </c>
      <c r="E3709" s="16">
        <v>0</v>
      </c>
      <c r="F3709" s="16" t="s">
        <v>64</v>
      </c>
      <c r="G3709" s="16" t="s">
        <v>64</v>
      </c>
    </row>
    <row r="3710" spans="1:7" x14ac:dyDescent="0.2">
      <c r="A3710" t="s">
        <v>64</v>
      </c>
      <c r="B3710" t="s">
        <v>64</v>
      </c>
      <c r="C3710" s="3" t="s">
        <v>64</v>
      </c>
      <c r="D3710" s="16" t="s">
        <v>64</v>
      </c>
      <c r="E3710" s="16">
        <v>0</v>
      </c>
      <c r="F3710" s="16" t="s">
        <v>64</v>
      </c>
      <c r="G3710" s="16" t="s">
        <v>64</v>
      </c>
    </row>
    <row r="3711" spans="1:7" x14ac:dyDescent="0.2">
      <c r="A3711" t="s">
        <v>64</v>
      </c>
      <c r="B3711" t="s">
        <v>64</v>
      </c>
      <c r="C3711" s="3" t="s">
        <v>64</v>
      </c>
      <c r="D3711" s="16" t="s">
        <v>64</v>
      </c>
      <c r="E3711" s="16">
        <v>0</v>
      </c>
      <c r="F3711" s="16" t="s">
        <v>64</v>
      </c>
      <c r="G3711" s="16" t="s">
        <v>64</v>
      </c>
    </row>
    <row r="3712" spans="1:7" x14ac:dyDescent="0.2">
      <c r="A3712" t="s">
        <v>64</v>
      </c>
      <c r="B3712" t="s">
        <v>64</v>
      </c>
      <c r="C3712" s="3" t="s">
        <v>64</v>
      </c>
      <c r="D3712" s="16" t="s">
        <v>64</v>
      </c>
      <c r="E3712" s="16">
        <v>0</v>
      </c>
      <c r="F3712" s="16" t="s">
        <v>64</v>
      </c>
      <c r="G3712" s="16" t="s">
        <v>64</v>
      </c>
    </row>
    <row r="3713" spans="1:7" x14ac:dyDescent="0.2">
      <c r="A3713" t="s">
        <v>64</v>
      </c>
      <c r="B3713" t="s">
        <v>64</v>
      </c>
      <c r="C3713" s="3" t="s">
        <v>64</v>
      </c>
      <c r="D3713" s="16" t="s">
        <v>64</v>
      </c>
      <c r="E3713" s="16">
        <v>0</v>
      </c>
      <c r="F3713" s="16" t="s">
        <v>64</v>
      </c>
      <c r="G3713" s="16" t="s">
        <v>64</v>
      </c>
    </row>
    <row r="3714" spans="1:7" x14ac:dyDescent="0.2">
      <c r="A3714" t="s">
        <v>64</v>
      </c>
      <c r="B3714" t="s">
        <v>64</v>
      </c>
      <c r="C3714" s="3" t="s">
        <v>64</v>
      </c>
      <c r="D3714" s="16" t="s">
        <v>64</v>
      </c>
      <c r="E3714" s="16">
        <v>0</v>
      </c>
      <c r="F3714" s="16" t="s">
        <v>64</v>
      </c>
      <c r="G3714" s="16" t="s">
        <v>64</v>
      </c>
    </row>
    <row r="3715" spans="1:7" x14ac:dyDescent="0.2">
      <c r="A3715" t="s">
        <v>64</v>
      </c>
      <c r="B3715" t="s">
        <v>64</v>
      </c>
      <c r="C3715" s="3" t="s">
        <v>64</v>
      </c>
      <c r="D3715" s="16" t="s">
        <v>64</v>
      </c>
      <c r="E3715" s="16">
        <v>0</v>
      </c>
      <c r="F3715" s="16" t="s">
        <v>64</v>
      </c>
      <c r="G3715" s="16" t="s">
        <v>64</v>
      </c>
    </row>
    <row r="3716" spans="1:7" x14ac:dyDescent="0.2">
      <c r="A3716" t="s">
        <v>64</v>
      </c>
      <c r="B3716" t="s">
        <v>64</v>
      </c>
      <c r="C3716" s="3" t="s">
        <v>64</v>
      </c>
      <c r="D3716" s="16" t="s">
        <v>64</v>
      </c>
      <c r="E3716" s="16">
        <v>0</v>
      </c>
      <c r="F3716" s="16" t="s">
        <v>64</v>
      </c>
      <c r="G3716" s="16" t="s">
        <v>64</v>
      </c>
    </row>
    <row r="3717" spans="1:7" x14ac:dyDescent="0.2">
      <c r="A3717" t="s">
        <v>64</v>
      </c>
      <c r="B3717" t="s">
        <v>64</v>
      </c>
      <c r="C3717" s="3" t="s">
        <v>64</v>
      </c>
      <c r="D3717" s="16" t="s">
        <v>64</v>
      </c>
      <c r="E3717" s="16">
        <v>0</v>
      </c>
      <c r="F3717" s="16" t="s">
        <v>64</v>
      </c>
      <c r="G3717" s="16" t="s">
        <v>64</v>
      </c>
    </row>
    <row r="3718" spans="1:7" x14ac:dyDescent="0.2">
      <c r="A3718" t="s">
        <v>64</v>
      </c>
      <c r="B3718" t="s">
        <v>64</v>
      </c>
      <c r="C3718" s="3" t="s">
        <v>64</v>
      </c>
      <c r="D3718" s="16" t="s">
        <v>64</v>
      </c>
      <c r="E3718" s="16">
        <v>0</v>
      </c>
      <c r="F3718" s="16" t="s">
        <v>64</v>
      </c>
      <c r="G3718" s="16" t="s">
        <v>64</v>
      </c>
    </row>
    <row r="3719" spans="1:7" x14ac:dyDescent="0.2">
      <c r="A3719" t="s">
        <v>64</v>
      </c>
      <c r="B3719" t="s">
        <v>64</v>
      </c>
      <c r="C3719" s="3" t="s">
        <v>64</v>
      </c>
      <c r="D3719" s="16" t="s">
        <v>64</v>
      </c>
      <c r="E3719" s="16">
        <v>0</v>
      </c>
      <c r="F3719" s="16" t="s">
        <v>64</v>
      </c>
      <c r="G3719" s="16" t="s">
        <v>64</v>
      </c>
    </row>
    <row r="3720" spans="1:7" x14ac:dyDescent="0.2">
      <c r="A3720" t="s">
        <v>64</v>
      </c>
      <c r="B3720" t="s">
        <v>64</v>
      </c>
      <c r="C3720" s="3" t="s">
        <v>64</v>
      </c>
      <c r="D3720" s="16" t="s">
        <v>64</v>
      </c>
      <c r="E3720" s="16">
        <v>0</v>
      </c>
      <c r="F3720" s="16" t="s">
        <v>64</v>
      </c>
      <c r="G3720" s="16" t="s">
        <v>64</v>
      </c>
    </row>
    <row r="3721" spans="1:7" x14ac:dyDescent="0.2">
      <c r="A3721" t="s">
        <v>64</v>
      </c>
      <c r="B3721" t="s">
        <v>64</v>
      </c>
      <c r="C3721" s="3" t="s">
        <v>64</v>
      </c>
      <c r="D3721" s="16" t="s">
        <v>64</v>
      </c>
      <c r="E3721" s="16">
        <v>0</v>
      </c>
      <c r="F3721" s="16" t="s">
        <v>64</v>
      </c>
      <c r="G3721" s="16" t="s">
        <v>64</v>
      </c>
    </row>
    <row r="3722" spans="1:7" x14ac:dyDescent="0.2">
      <c r="A3722" t="s">
        <v>64</v>
      </c>
      <c r="B3722" t="s">
        <v>64</v>
      </c>
      <c r="C3722" s="3" t="s">
        <v>64</v>
      </c>
      <c r="D3722" s="16" t="s">
        <v>64</v>
      </c>
      <c r="E3722" s="16">
        <v>0</v>
      </c>
      <c r="F3722" s="16" t="s">
        <v>64</v>
      </c>
      <c r="G3722" s="16" t="s">
        <v>64</v>
      </c>
    </row>
    <row r="3723" spans="1:7" x14ac:dyDescent="0.2">
      <c r="A3723" t="s">
        <v>64</v>
      </c>
      <c r="B3723" t="s">
        <v>64</v>
      </c>
      <c r="C3723" s="3" t="s">
        <v>64</v>
      </c>
      <c r="D3723" s="16" t="s">
        <v>64</v>
      </c>
      <c r="E3723" s="16">
        <v>0</v>
      </c>
      <c r="F3723" s="16" t="s">
        <v>64</v>
      </c>
      <c r="G3723" s="16" t="s">
        <v>64</v>
      </c>
    </row>
    <row r="3724" spans="1:7" x14ac:dyDescent="0.2">
      <c r="A3724" t="s">
        <v>64</v>
      </c>
      <c r="B3724" t="s">
        <v>64</v>
      </c>
      <c r="C3724" s="3" t="s">
        <v>64</v>
      </c>
      <c r="D3724" s="16" t="s">
        <v>64</v>
      </c>
      <c r="E3724" s="16">
        <v>0</v>
      </c>
      <c r="F3724" s="16" t="s">
        <v>64</v>
      </c>
      <c r="G3724" s="16" t="s">
        <v>64</v>
      </c>
    </row>
    <row r="3725" spans="1:7" x14ac:dyDescent="0.2">
      <c r="A3725" t="s">
        <v>64</v>
      </c>
      <c r="B3725" t="s">
        <v>64</v>
      </c>
      <c r="C3725" s="3" t="s">
        <v>64</v>
      </c>
      <c r="D3725" s="16" t="s">
        <v>64</v>
      </c>
      <c r="E3725" s="16">
        <v>0</v>
      </c>
      <c r="F3725" s="16" t="s">
        <v>64</v>
      </c>
      <c r="G3725" s="16" t="s">
        <v>64</v>
      </c>
    </row>
    <row r="3726" spans="1:7" x14ac:dyDescent="0.2">
      <c r="A3726" t="s">
        <v>64</v>
      </c>
      <c r="B3726" t="s">
        <v>64</v>
      </c>
      <c r="C3726" s="3" t="s">
        <v>64</v>
      </c>
      <c r="D3726" s="16" t="s">
        <v>64</v>
      </c>
      <c r="E3726" s="16">
        <v>0</v>
      </c>
      <c r="F3726" s="16" t="s">
        <v>64</v>
      </c>
      <c r="G3726" s="16" t="s">
        <v>64</v>
      </c>
    </row>
    <row r="3727" spans="1:7" x14ac:dyDescent="0.2">
      <c r="A3727" t="s">
        <v>64</v>
      </c>
      <c r="B3727" t="s">
        <v>64</v>
      </c>
      <c r="C3727" s="3" t="s">
        <v>64</v>
      </c>
      <c r="D3727" s="16" t="s">
        <v>64</v>
      </c>
      <c r="E3727" s="16">
        <v>0</v>
      </c>
      <c r="F3727" s="16" t="s">
        <v>64</v>
      </c>
      <c r="G3727" s="16" t="s">
        <v>64</v>
      </c>
    </row>
    <row r="3728" spans="1:7" x14ac:dyDescent="0.2">
      <c r="A3728" t="s">
        <v>64</v>
      </c>
      <c r="B3728" t="s">
        <v>64</v>
      </c>
      <c r="C3728" s="3" t="s">
        <v>64</v>
      </c>
      <c r="D3728" s="16" t="s">
        <v>64</v>
      </c>
      <c r="E3728" s="16">
        <v>0</v>
      </c>
      <c r="F3728" s="16" t="s">
        <v>64</v>
      </c>
      <c r="G3728" s="16" t="s">
        <v>64</v>
      </c>
    </row>
    <row r="3729" spans="1:7" x14ac:dyDescent="0.2">
      <c r="A3729" t="s">
        <v>64</v>
      </c>
      <c r="B3729" t="s">
        <v>64</v>
      </c>
      <c r="C3729" s="3" t="s">
        <v>64</v>
      </c>
      <c r="D3729" s="16" t="s">
        <v>64</v>
      </c>
      <c r="E3729" s="16">
        <v>0</v>
      </c>
      <c r="F3729" s="16" t="s">
        <v>64</v>
      </c>
      <c r="G3729" s="16" t="s">
        <v>64</v>
      </c>
    </row>
    <row r="3730" spans="1:7" x14ac:dyDescent="0.2">
      <c r="A3730" t="s">
        <v>64</v>
      </c>
      <c r="B3730" t="s">
        <v>64</v>
      </c>
      <c r="C3730" s="3" t="s">
        <v>64</v>
      </c>
      <c r="D3730" s="16" t="s">
        <v>64</v>
      </c>
      <c r="E3730" s="16">
        <v>0</v>
      </c>
      <c r="F3730" s="16" t="s">
        <v>64</v>
      </c>
      <c r="G3730" s="16" t="s">
        <v>64</v>
      </c>
    </row>
    <row r="3731" spans="1:7" x14ac:dyDescent="0.2">
      <c r="A3731" t="s">
        <v>64</v>
      </c>
      <c r="B3731" t="s">
        <v>64</v>
      </c>
      <c r="C3731" s="3" t="s">
        <v>64</v>
      </c>
      <c r="D3731" s="16" t="s">
        <v>64</v>
      </c>
      <c r="E3731" s="16">
        <v>0</v>
      </c>
      <c r="F3731" s="16" t="s">
        <v>64</v>
      </c>
      <c r="G3731" s="16" t="s">
        <v>64</v>
      </c>
    </row>
    <row r="3732" spans="1:7" x14ac:dyDescent="0.2">
      <c r="A3732" t="s">
        <v>64</v>
      </c>
      <c r="B3732" t="s">
        <v>64</v>
      </c>
      <c r="C3732" s="3" t="s">
        <v>64</v>
      </c>
      <c r="D3732" s="16" t="s">
        <v>64</v>
      </c>
      <c r="E3732" s="16">
        <v>0</v>
      </c>
      <c r="F3732" s="16" t="s">
        <v>64</v>
      </c>
      <c r="G3732" s="16" t="s">
        <v>64</v>
      </c>
    </row>
    <row r="3733" spans="1:7" x14ac:dyDescent="0.2">
      <c r="A3733" t="s">
        <v>64</v>
      </c>
      <c r="B3733" t="s">
        <v>64</v>
      </c>
      <c r="C3733" s="3" t="s">
        <v>64</v>
      </c>
      <c r="D3733" s="16" t="s">
        <v>64</v>
      </c>
      <c r="E3733" s="16">
        <v>0</v>
      </c>
      <c r="F3733" s="16" t="s">
        <v>64</v>
      </c>
      <c r="G3733" s="16" t="s">
        <v>64</v>
      </c>
    </row>
    <row r="3734" spans="1:7" x14ac:dyDescent="0.2">
      <c r="A3734" t="s">
        <v>64</v>
      </c>
      <c r="B3734" t="s">
        <v>64</v>
      </c>
      <c r="C3734" s="3" t="s">
        <v>64</v>
      </c>
      <c r="D3734" s="16" t="s">
        <v>64</v>
      </c>
      <c r="E3734" s="16">
        <v>0</v>
      </c>
      <c r="F3734" s="16" t="s">
        <v>64</v>
      </c>
      <c r="G3734" s="16" t="s">
        <v>64</v>
      </c>
    </row>
    <row r="3735" spans="1:7" x14ac:dyDescent="0.2">
      <c r="A3735" t="s">
        <v>64</v>
      </c>
      <c r="B3735" t="s">
        <v>64</v>
      </c>
      <c r="C3735" s="3" t="s">
        <v>64</v>
      </c>
      <c r="D3735" s="16" t="s">
        <v>64</v>
      </c>
      <c r="E3735" s="16">
        <v>0</v>
      </c>
      <c r="F3735" s="16" t="s">
        <v>64</v>
      </c>
      <c r="G3735" s="16" t="s">
        <v>64</v>
      </c>
    </row>
    <row r="3736" spans="1:7" x14ac:dyDescent="0.2">
      <c r="A3736" t="s">
        <v>64</v>
      </c>
      <c r="B3736" t="s">
        <v>64</v>
      </c>
      <c r="C3736" s="3" t="s">
        <v>64</v>
      </c>
      <c r="D3736" s="16" t="s">
        <v>64</v>
      </c>
      <c r="E3736" s="16">
        <v>0</v>
      </c>
      <c r="F3736" s="16" t="s">
        <v>64</v>
      </c>
      <c r="G3736" s="16" t="s">
        <v>64</v>
      </c>
    </row>
    <row r="3737" spans="1:7" x14ac:dyDescent="0.2">
      <c r="A3737" t="s">
        <v>64</v>
      </c>
      <c r="B3737" t="s">
        <v>64</v>
      </c>
      <c r="C3737" s="3" t="s">
        <v>64</v>
      </c>
      <c r="D3737" s="16" t="s">
        <v>64</v>
      </c>
      <c r="E3737" s="16">
        <v>0</v>
      </c>
      <c r="F3737" s="16" t="s">
        <v>64</v>
      </c>
      <c r="G3737" s="16" t="s">
        <v>64</v>
      </c>
    </row>
    <row r="3738" spans="1:7" x14ac:dyDescent="0.2">
      <c r="A3738" t="s">
        <v>64</v>
      </c>
      <c r="B3738" t="s">
        <v>64</v>
      </c>
      <c r="C3738" s="3" t="s">
        <v>64</v>
      </c>
      <c r="D3738" s="16" t="s">
        <v>64</v>
      </c>
      <c r="E3738" s="16">
        <v>0</v>
      </c>
      <c r="F3738" s="16" t="s">
        <v>64</v>
      </c>
      <c r="G3738" s="16" t="s">
        <v>64</v>
      </c>
    </row>
    <row r="3739" spans="1:7" x14ac:dyDescent="0.2">
      <c r="A3739" t="s">
        <v>64</v>
      </c>
      <c r="B3739" t="s">
        <v>64</v>
      </c>
      <c r="C3739" s="3" t="s">
        <v>64</v>
      </c>
      <c r="D3739" s="16" t="s">
        <v>64</v>
      </c>
      <c r="E3739" s="16">
        <v>0</v>
      </c>
      <c r="F3739" s="16" t="s">
        <v>64</v>
      </c>
      <c r="G3739" s="16" t="s">
        <v>64</v>
      </c>
    </row>
    <row r="3740" spans="1:7" x14ac:dyDescent="0.2">
      <c r="A3740" t="s">
        <v>64</v>
      </c>
      <c r="B3740" t="s">
        <v>64</v>
      </c>
      <c r="C3740" s="3" t="s">
        <v>64</v>
      </c>
      <c r="D3740" s="16" t="s">
        <v>64</v>
      </c>
      <c r="E3740" s="16">
        <v>0</v>
      </c>
      <c r="F3740" s="16" t="s">
        <v>64</v>
      </c>
      <c r="G3740" s="16" t="s">
        <v>64</v>
      </c>
    </row>
    <row r="3741" spans="1:7" x14ac:dyDescent="0.2">
      <c r="A3741" t="s">
        <v>64</v>
      </c>
      <c r="B3741" t="s">
        <v>64</v>
      </c>
      <c r="C3741" s="3" t="s">
        <v>64</v>
      </c>
      <c r="D3741" s="16" t="s">
        <v>64</v>
      </c>
      <c r="E3741" s="16">
        <v>0</v>
      </c>
      <c r="F3741" s="16" t="s">
        <v>64</v>
      </c>
      <c r="G3741" s="16" t="s">
        <v>64</v>
      </c>
    </row>
    <row r="3742" spans="1:7" x14ac:dyDescent="0.2">
      <c r="A3742" t="s">
        <v>64</v>
      </c>
      <c r="B3742" t="s">
        <v>64</v>
      </c>
      <c r="C3742" s="3" t="s">
        <v>64</v>
      </c>
      <c r="D3742" s="16" t="s">
        <v>64</v>
      </c>
      <c r="E3742" s="16">
        <v>0</v>
      </c>
      <c r="F3742" s="16" t="s">
        <v>64</v>
      </c>
      <c r="G3742" s="16" t="s">
        <v>64</v>
      </c>
    </row>
    <row r="3743" spans="1:7" x14ac:dyDescent="0.2">
      <c r="A3743" t="s">
        <v>64</v>
      </c>
      <c r="B3743" t="s">
        <v>64</v>
      </c>
      <c r="C3743" s="3" t="s">
        <v>64</v>
      </c>
      <c r="D3743" s="16" t="s">
        <v>64</v>
      </c>
      <c r="E3743" s="16">
        <v>0</v>
      </c>
      <c r="F3743" s="16" t="s">
        <v>64</v>
      </c>
      <c r="G3743" s="16" t="s">
        <v>64</v>
      </c>
    </row>
    <row r="3744" spans="1:7" x14ac:dyDescent="0.2">
      <c r="A3744" t="s">
        <v>64</v>
      </c>
      <c r="B3744" t="s">
        <v>64</v>
      </c>
      <c r="C3744" s="3" t="s">
        <v>64</v>
      </c>
      <c r="D3744" s="16" t="s">
        <v>64</v>
      </c>
      <c r="E3744" s="16">
        <v>0</v>
      </c>
      <c r="F3744" s="16" t="s">
        <v>64</v>
      </c>
      <c r="G3744" s="16" t="s">
        <v>64</v>
      </c>
    </row>
    <row r="3745" spans="1:7" x14ac:dyDescent="0.2">
      <c r="A3745" t="s">
        <v>64</v>
      </c>
      <c r="B3745" t="s">
        <v>64</v>
      </c>
      <c r="C3745" s="3" t="s">
        <v>64</v>
      </c>
      <c r="D3745" s="16" t="s">
        <v>64</v>
      </c>
      <c r="E3745" s="16">
        <v>0</v>
      </c>
      <c r="F3745" s="16" t="s">
        <v>64</v>
      </c>
      <c r="G3745" s="16" t="s">
        <v>64</v>
      </c>
    </row>
    <row r="3746" spans="1:7" x14ac:dyDescent="0.2">
      <c r="A3746" t="s">
        <v>64</v>
      </c>
      <c r="B3746" t="s">
        <v>64</v>
      </c>
      <c r="C3746" s="3" t="s">
        <v>64</v>
      </c>
      <c r="D3746" s="16" t="s">
        <v>64</v>
      </c>
      <c r="E3746" s="16">
        <v>0</v>
      </c>
      <c r="F3746" s="16" t="s">
        <v>64</v>
      </c>
      <c r="G3746" s="16" t="s">
        <v>64</v>
      </c>
    </row>
    <row r="3747" spans="1:7" x14ac:dyDescent="0.2">
      <c r="A3747" t="s">
        <v>64</v>
      </c>
      <c r="B3747" t="s">
        <v>64</v>
      </c>
      <c r="C3747" s="3" t="s">
        <v>64</v>
      </c>
      <c r="D3747" s="16" t="s">
        <v>64</v>
      </c>
      <c r="E3747" s="16">
        <v>0</v>
      </c>
      <c r="F3747" s="16" t="s">
        <v>64</v>
      </c>
      <c r="G3747" s="16" t="s">
        <v>64</v>
      </c>
    </row>
    <row r="3748" spans="1:7" x14ac:dyDescent="0.2">
      <c r="A3748" t="s">
        <v>64</v>
      </c>
      <c r="B3748" t="s">
        <v>64</v>
      </c>
      <c r="C3748" s="3" t="s">
        <v>64</v>
      </c>
      <c r="D3748" s="16" t="s">
        <v>64</v>
      </c>
      <c r="E3748" s="16">
        <v>0</v>
      </c>
      <c r="F3748" s="16" t="s">
        <v>64</v>
      </c>
      <c r="G3748" s="16" t="s">
        <v>64</v>
      </c>
    </row>
    <row r="3749" spans="1:7" x14ac:dyDescent="0.2">
      <c r="A3749" t="s">
        <v>64</v>
      </c>
      <c r="B3749" t="s">
        <v>64</v>
      </c>
      <c r="C3749" s="3" t="s">
        <v>64</v>
      </c>
      <c r="D3749" s="16" t="s">
        <v>64</v>
      </c>
      <c r="E3749" s="16">
        <v>0</v>
      </c>
      <c r="F3749" s="16" t="s">
        <v>64</v>
      </c>
      <c r="G3749" s="16" t="s">
        <v>64</v>
      </c>
    </row>
    <row r="3750" spans="1:7" x14ac:dyDescent="0.2">
      <c r="A3750" t="s">
        <v>64</v>
      </c>
      <c r="B3750" t="s">
        <v>64</v>
      </c>
      <c r="C3750" s="3" t="s">
        <v>64</v>
      </c>
      <c r="D3750" s="16" t="s">
        <v>64</v>
      </c>
      <c r="E3750" s="16">
        <v>0</v>
      </c>
      <c r="F3750" s="16" t="s">
        <v>64</v>
      </c>
      <c r="G3750" s="16" t="s">
        <v>64</v>
      </c>
    </row>
    <row r="3751" spans="1:7" x14ac:dyDescent="0.2">
      <c r="A3751" t="s">
        <v>64</v>
      </c>
      <c r="B3751" t="s">
        <v>64</v>
      </c>
      <c r="C3751" s="3" t="s">
        <v>64</v>
      </c>
      <c r="D3751" s="16" t="s">
        <v>64</v>
      </c>
      <c r="E3751" s="16">
        <v>0</v>
      </c>
      <c r="F3751" s="16" t="s">
        <v>64</v>
      </c>
      <c r="G3751" s="16" t="s">
        <v>64</v>
      </c>
    </row>
    <row r="3752" spans="1:7" x14ac:dyDescent="0.2">
      <c r="A3752" t="s">
        <v>64</v>
      </c>
      <c r="B3752" t="s">
        <v>64</v>
      </c>
      <c r="C3752" s="3" t="s">
        <v>64</v>
      </c>
      <c r="D3752" s="16" t="s">
        <v>64</v>
      </c>
      <c r="E3752" s="16">
        <v>0</v>
      </c>
      <c r="F3752" s="16" t="s">
        <v>64</v>
      </c>
      <c r="G3752" s="16" t="s">
        <v>64</v>
      </c>
    </row>
    <row r="3753" spans="1:7" x14ac:dyDescent="0.2">
      <c r="A3753" t="s">
        <v>64</v>
      </c>
      <c r="B3753" t="s">
        <v>64</v>
      </c>
      <c r="C3753" s="3" t="s">
        <v>64</v>
      </c>
      <c r="D3753" s="16" t="s">
        <v>64</v>
      </c>
      <c r="E3753" s="16">
        <v>0</v>
      </c>
      <c r="F3753" s="16" t="s">
        <v>64</v>
      </c>
      <c r="G3753" s="16" t="s">
        <v>64</v>
      </c>
    </row>
    <row r="3754" spans="1:7" x14ac:dyDescent="0.2">
      <c r="A3754" t="s">
        <v>64</v>
      </c>
      <c r="B3754" t="s">
        <v>64</v>
      </c>
      <c r="C3754" s="3" t="s">
        <v>64</v>
      </c>
      <c r="D3754" s="16" t="s">
        <v>64</v>
      </c>
      <c r="E3754" s="16">
        <v>0</v>
      </c>
      <c r="F3754" s="16" t="s">
        <v>64</v>
      </c>
      <c r="G3754" s="16" t="s">
        <v>64</v>
      </c>
    </row>
    <row r="3755" spans="1:7" x14ac:dyDescent="0.2">
      <c r="A3755" t="s">
        <v>64</v>
      </c>
      <c r="B3755" t="s">
        <v>64</v>
      </c>
      <c r="C3755" s="3" t="s">
        <v>64</v>
      </c>
      <c r="D3755" s="16" t="s">
        <v>64</v>
      </c>
      <c r="E3755" s="16">
        <v>0</v>
      </c>
      <c r="F3755" s="16" t="s">
        <v>64</v>
      </c>
      <c r="G3755" s="16" t="s">
        <v>64</v>
      </c>
    </row>
    <row r="3756" spans="1:7" x14ac:dyDescent="0.2">
      <c r="A3756" t="s">
        <v>64</v>
      </c>
      <c r="B3756" t="s">
        <v>64</v>
      </c>
      <c r="C3756" s="3" t="s">
        <v>64</v>
      </c>
      <c r="D3756" s="16" t="s">
        <v>64</v>
      </c>
      <c r="E3756" s="16">
        <v>0</v>
      </c>
      <c r="F3756" s="16" t="s">
        <v>64</v>
      </c>
      <c r="G3756" s="16" t="s">
        <v>64</v>
      </c>
    </row>
    <row r="3757" spans="1:7" x14ac:dyDescent="0.2">
      <c r="A3757" t="s">
        <v>64</v>
      </c>
      <c r="B3757" t="s">
        <v>64</v>
      </c>
      <c r="C3757" s="3" t="s">
        <v>64</v>
      </c>
      <c r="D3757" s="16" t="s">
        <v>64</v>
      </c>
      <c r="E3757" s="16">
        <v>0</v>
      </c>
      <c r="F3757" s="16" t="s">
        <v>64</v>
      </c>
      <c r="G3757" s="16" t="s">
        <v>64</v>
      </c>
    </row>
    <row r="3758" spans="1:7" x14ac:dyDescent="0.2">
      <c r="A3758" t="s">
        <v>64</v>
      </c>
      <c r="B3758" t="s">
        <v>64</v>
      </c>
      <c r="C3758" s="3" t="s">
        <v>64</v>
      </c>
      <c r="D3758" s="16" t="s">
        <v>64</v>
      </c>
      <c r="E3758" s="16">
        <v>0</v>
      </c>
      <c r="F3758" s="16" t="s">
        <v>64</v>
      </c>
      <c r="G3758" s="16" t="s">
        <v>64</v>
      </c>
    </row>
    <row r="3759" spans="1:7" x14ac:dyDescent="0.2">
      <c r="A3759" t="s">
        <v>64</v>
      </c>
      <c r="B3759" t="s">
        <v>64</v>
      </c>
      <c r="C3759" s="3" t="s">
        <v>64</v>
      </c>
      <c r="D3759" s="16" t="s">
        <v>64</v>
      </c>
      <c r="E3759" s="16">
        <v>0</v>
      </c>
      <c r="F3759" s="16" t="s">
        <v>64</v>
      </c>
      <c r="G3759" s="16" t="s">
        <v>64</v>
      </c>
    </row>
    <row r="3760" spans="1:7" x14ac:dyDescent="0.2">
      <c r="A3760" t="s">
        <v>64</v>
      </c>
      <c r="B3760" t="s">
        <v>64</v>
      </c>
      <c r="C3760" s="3" t="s">
        <v>64</v>
      </c>
      <c r="D3760" s="16" t="s">
        <v>64</v>
      </c>
      <c r="E3760" s="16">
        <v>0</v>
      </c>
      <c r="F3760" s="16" t="s">
        <v>64</v>
      </c>
      <c r="G3760" s="16" t="s">
        <v>64</v>
      </c>
    </row>
    <row r="3761" spans="1:7" x14ac:dyDescent="0.2">
      <c r="A3761" t="s">
        <v>64</v>
      </c>
      <c r="B3761" t="s">
        <v>64</v>
      </c>
      <c r="C3761" s="3" t="s">
        <v>64</v>
      </c>
      <c r="D3761" s="16" t="s">
        <v>64</v>
      </c>
      <c r="E3761" s="16">
        <v>0</v>
      </c>
      <c r="F3761" s="16" t="s">
        <v>64</v>
      </c>
      <c r="G3761" s="16" t="s">
        <v>64</v>
      </c>
    </row>
    <row r="3762" spans="1:7" x14ac:dyDescent="0.2">
      <c r="A3762" t="s">
        <v>64</v>
      </c>
      <c r="B3762" t="s">
        <v>64</v>
      </c>
      <c r="C3762" s="3" t="s">
        <v>64</v>
      </c>
      <c r="D3762" s="16" t="s">
        <v>64</v>
      </c>
      <c r="E3762" s="16">
        <v>0</v>
      </c>
      <c r="F3762" s="16" t="s">
        <v>64</v>
      </c>
      <c r="G3762" s="16" t="s">
        <v>64</v>
      </c>
    </row>
    <row r="3763" spans="1:7" x14ac:dyDescent="0.2">
      <c r="A3763" t="s">
        <v>64</v>
      </c>
      <c r="B3763" t="s">
        <v>64</v>
      </c>
      <c r="C3763" s="3" t="s">
        <v>64</v>
      </c>
      <c r="D3763" s="16" t="s">
        <v>64</v>
      </c>
      <c r="E3763" s="16">
        <v>0</v>
      </c>
      <c r="F3763" s="16" t="s">
        <v>64</v>
      </c>
      <c r="G3763" s="16" t="s">
        <v>64</v>
      </c>
    </row>
    <row r="3764" spans="1:7" x14ac:dyDescent="0.2">
      <c r="A3764" t="s">
        <v>64</v>
      </c>
      <c r="B3764" t="s">
        <v>64</v>
      </c>
      <c r="C3764" s="3" t="s">
        <v>64</v>
      </c>
      <c r="D3764" s="16" t="s">
        <v>64</v>
      </c>
      <c r="E3764" s="16">
        <v>0</v>
      </c>
      <c r="F3764" s="16" t="s">
        <v>64</v>
      </c>
      <c r="G3764" s="16" t="s">
        <v>64</v>
      </c>
    </row>
    <row r="3765" spans="1:7" x14ac:dyDescent="0.2">
      <c r="A3765" t="s">
        <v>64</v>
      </c>
      <c r="B3765" t="s">
        <v>64</v>
      </c>
      <c r="C3765" s="3" t="s">
        <v>64</v>
      </c>
      <c r="D3765" s="16" t="s">
        <v>64</v>
      </c>
      <c r="E3765" s="16">
        <v>0</v>
      </c>
      <c r="F3765" s="16" t="s">
        <v>64</v>
      </c>
      <c r="G3765" s="16" t="s">
        <v>64</v>
      </c>
    </row>
    <row r="3766" spans="1:7" x14ac:dyDescent="0.2">
      <c r="A3766" t="s">
        <v>64</v>
      </c>
      <c r="B3766" t="s">
        <v>64</v>
      </c>
      <c r="C3766" s="3" t="s">
        <v>64</v>
      </c>
      <c r="D3766" s="16" t="s">
        <v>64</v>
      </c>
      <c r="E3766" s="16">
        <v>0</v>
      </c>
      <c r="F3766" s="16" t="s">
        <v>64</v>
      </c>
      <c r="G3766" s="16" t="s">
        <v>64</v>
      </c>
    </row>
    <row r="3767" spans="1:7" x14ac:dyDescent="0.2">
      <c r="A3767" t="s">
        <v>64</v>
      </c>
      <c r="B3767" t="s">
        <v>64</v>
      </c>
      <c r="C3767" s="3" t="s">
        <v>64</v>
      </c>
      <c r="D3767" s="16" t="s">
        <v>64</v>
      </c>
      <c r="E3767" s="16">
        <v>0</v>
      </c>
      <c r="F3767" s="16" t="s">
        <v>64</v>
      </c>
      <c r="G3767" s="16" t="s">
        <v>64</v>
      </c>
    </row>
    <row r="3768" spans="1:7" x14ac:dyDescent="0.2">
      <c r="A3768" t="s">
        <v>64</v>
      </c>
      <c r="B3768" t="s">
        <v>64</v>
      </c>
      <c r="C3768" s="3" t="s">
        <v>64</v>
      </c>
      <c r="D3768" s="16" t="s">
        <v>64</v>
      </c>
      <c r="E3768" s="16">
        <v>0</v>
      </c>
      <c r="F3768" s="16" t="s">
        <v>64</v>
      </c>
      <c r="G3768" s="16" t="s">
        <v>64</v>
      </c>
    </row>
    <row r="3769" spans="1:7" x14ac:dyDescent="0.2">
      <c r="A3769" t="s">
        <v>64</v>
      </c>
      <c r="B3769" t="s">
        <v>64</v>
      </c>
      <c r="C3769" s="3" t="s">
        <v>64</v>
      </c>
      <c r="D3769" s="16" t="s">
        <v>64</v>
      </c>
      <c r="E3769" s="16">
        <v>0</v>
      </c>
      <c r="F3769" s="16" t="s">
        <v>64</v>
      </c>
      <c r="G3769" s="16" t="s">
        <v>64</v>
      </c>
    </row>
    <row r="3770" spans="1:7" x14ac:dyDescent="0.2">
      <c r="A3770" t="s">
        <v>64</v>
      </c>
      <c r="B3770" t="s">
        <v>64</v>
      </c>
      <c r="C3770" s="3" t="s">
        <v>64</v>
      </c>
      <c r="D3770" s="16" t="s">
        <v>64</v>
      </c>
      <c r="E3770" s="16">
        <v>0</v>
      </c>
      <c r="F3770" s="16" t="s">
        <v>64</v>
      </c>
      <c r="G3770" s="16" t="s">
        <v>64</v>
      </c>
    </row>
    <row r="3771" spans="1:7" x14ac:dyDescent="0.2">
      <c r="A3771" t="s">
        <v>64</v>
      </c>
      <c r="B3771" t="s">
        <v>64</v>
      </c>
      <c r="C3771" s="3" t="s">
        <v>64</v>
      </c>
      <c r="D3771" s="16" t="s">
        <v>64</v>
      </c>
      <c r="E3771" s="16">
        <v>0</v>
      </c>
      <c r="F3771" s="16" t="s">
        <v>64</v>
      </c>
      <c r="G3771" s="16" t="s">
        <v>64</v>
      </c>
    </row>
    <row r="3772" spans="1:7" x14ac:dyDescent="0.2">
      <c r="A3772" t="s">
        <v>64</v>
      </c>
      <c r="B3772" t="s">
        <v>64</v>
      </c>
      <c r="C3772" s="3" t="s">
        <v>64</v>
      </c>
      <c r="D3772" s="16" t="s">
        <v>64</v>
      </c>
      <c r="E3772" s="16">
        <v>0</v>
      </c>
      <c r="F3772" s="16" t="s">
        <v>64</v>
      </c>
      <c r="G3772" s="16" t="s">
        <v>64</v>
      </c>
    </row>
    <row r="3773" spans="1:7" x14ac:dyDescent="0.2">
      <c r="A3773" t="s">
        <v>64</v>
      </c>
      <c r="B3773" t="s">
        <v>64</v>
      </c>
      <c r="C3773" s="3" t="s">
        <v>64</v>
      </c>
      <c r="D3773" s="16" t="s">
        <v>64</v>
      </c>
      <c r="E3773" s="16">
        <v>0</v>
      </c>
      <c r="F3773" s="16" t="s">
        <v>64</v>
      </c>
      <c r="G3773" s="16" t="s">
        <v>64</v>
      </c>
    </row>
    <row r="3774" spans="1:7" x14ac:dyDescent="0.2">
      <c r="A3774" t="s">
        <v>64</v>
      </c>
      <c r="B3774" t="s">
        <v>64</v>
      </c>
      <c r="C3774" s="3" t="s">
        <v>64</v>
      </c>
      <c r="D3774" s="16" t="s">
        <v>64</v>
      </c>
      <c r="E3774" s="16">
        <v>0</v>
      </c>
      <c r="F3774" s="16" t="s">
        <v>64</v>
      </c>
      <c r="G3774" s="16" t="s">
        <v>64</v>
      </c>
    </row>
    <row r="3775" spans="1:7" x14ac:dyDescent="0.2">
      <c r="A3775" t="s">
        <v>64</v>
      </c>
      <c r="B3775" t="s">
        <v>64</v>
      </c>
      <c r="C3775" s="3" t="s">
        <v>64</v>
      </c>
      <c r="D3775" s="16" t="s">
        <v>64</v>
      </c>
      <c r="E3775" s="16">
        <v>0</v>
      </c>
      <c r="F3775" s="16" t="s">
        <v>64</v>
      </c>
      <c r="G3775" s="16" t="s">
        <v>64</v>
      </c>
    </row>
    <row r="3776" spans="1:7" x14ac:dyDescent="0.2">
      <c r="A3776" t="s">
        <v>64</v>
      </c>
      <c r="B3776" t="s">
        <v>64</v>
      </c>
      <c r="C3776" s="3" t="s">
        <v>64</v>
      </c>
      <c r="D3776" s="16" t="s">
        <v>64</v>
      </c>
      <c r="E3776" s="16">
        <v>0</v>
      </c>
      <c r="F3776" s="16" t="s">
        <v>64</v>
      </c>
      <c r="G3776" s="16" t="s">
        <v>64</v>
      </c>
    </row>
    <row r="3777" spans="1:7" x14ac:dyDescent="0.2">
      <c r="A3777" t="s">
        <v>64</v>
      </c>
      <c r="B3777" t="s">
        <v>64</v>
      </c>
      <c r="C3777" s="3" t="s">
        <v>64</v>
      </c>
      <c r="D3777" s="16" t="s">
        <v>64</v>
      </c>
      <c r="E3777" s="16">
        <v>0</v>
      </c>
      <c r="F3777" s="16" t="s">
        <v>64</v>
      </c>
      <c r="G3777" s="16" t="s">
        <v>64</v>
      </c>
    </row>
    <row r="3778" spans="1:7" x14ac:dyDescent="0.2">
      <c r="A3778" t="s">
        <v>64</v>
      </c>
      <c r="B3778" t="s">
        <v>64</v>
      </c>
      <c r="C3778" s="3" t="s">
        <v>64</v>
      </c>
      <c r="D3778" s="16" t="s">
        <v>64</v>
      </c>
      <c r="E3778" s="16">
        <v>0</v>
      </c>
      <c r="F3778" s="16" t="s">
        <v>64</v>
      </c>
      <c r="G3778" s="16" t="s">
        <v>64</v>
      </c>
    </row>
    <row r="3779" spans="1:7" x14ac:dyDescent="0.2">
      <c r="A3779" t="s">
        <v>64</v>
      </c>
      <c r="B3779" t="s">
        <v>64</v>
      </c>
      <c r="C3779" s="3" t="s">
        <v>64</v>
      </c>
      <c r="D3779" s="16" t="s">
        <v>64</v>
      </c>
      <c r="E3779" s="16">
        <v>0</v>
      </c>
      <c r="F3779" s="16" t="s">
        <v>64</v>
      </c>
      <c r="G3779" s="16" t="s">
        <v>64</v>
      </c>
    </row>
    <row r="3780" spans="1:7" x14ac:dyDescent="0.2">
      <c r="A3780" t="s">
        <v>64</v>
      </c>
      <c r="B3780" t="s">
        <v>64</v>
      </c>
      <c r="C3780" s="3" t="s">
        <v>64</v>
      </c>
      <c r="D3780" s="16" t="s">
        <v>64</v>
      </c>
      <c r="E3780" s="16">
        <v>0</v>
      </c>
      <c r="F3780" s="16" t="s">
        <v>64</v>
      </c>
      <c r="G3780" s="16" t="s">
        <v>64</v>
      </c>
    </row>
    <row r="3781" spans="1:7" x14ac:dyDescent="0.2">
      <c r="A3781" t="s">
        <v>64</v>
      </c>
      <c r="B3781" t="s">
        <v>64</v>
      </c>
      <c r="C3781" s="3" t="s">
        <v>64</v>
      </c>
      <c r="D3781" s="16" t="s">
        <v>64</v>
      </c>
      <c r="E3781" s="16">
        <v>0</v>
      </c>
      <c r="F3781" s="16" t="s">
        <v>64</v>
      </c>
      <c r="G3781" s="16" t="s">
        <v>64</v>
      </c>
    </row>
    <row r="3782" spans="1:7" x14ac:dyDescent="0.2">
      <c r="A3782" t="s">
        <v>64</v>
      </c>
      <c r="B3782" t="s">
        <v>64</v>
      </c>
      <c r="C3782" s="3" t="s">
        <v>64</v>
      </c>
      <c r="D3782" s="16" t="s">
        <v>64</v>
      </c>
      <c r="E3782" s="16">
        <v>0</v>
      </c>
      <c r="F3782" s="16" t="s">
        <v>64</v>
      </c>
      <c r="G3782" s="16" t="s">
        <v>64</v>
      </c>
    </row>
    <row r="3783" spans="1:7" x14ac:dyDescent="0.2">
      <c r="A3783" t="s">
        <v>64</v>
      </c>
      <c r="B3783" t="s">
        <v>64</v>
      </c>
      <c r="C3783" s="3" t="s">
        <v>64</v>
      </c>
      <c r="D3783" s="16" t="s">
        <v>64</v>
      </c>
      <c r="E3783" s="16">
        <v>0</v>
      </c>
      <c r="F3783" s="16" t="s">
        <v>64</v>
      </c>
      <c r="G3783" s="16" t="s">
        <v>64</v>
      </c>
    </row>
    <row r="3784" spans="1:7" x14ac:dyDescent="0.2">
      <c r="A3784" t="s">
        <v>64</v>
      </c>
      <c r="B3784" t="s">
        <v>64</v>
      </c>
      <c r="C3784" s="3" t="s">
        <v>64</v>
      </c>
      <c r="D3784" s="16" t="s">
        <v>64</v>
      </c>
      <c r="E3784" s="16">
        <v>0</v>
      </c>
      <c r="F3784" s="16" t="s">
        <v>64</v>
      </c>
      <c r="G3784" s="16" t="s">
        <v>64</v>
      </c>
    </row>
    <row r="3785" spans="1:7" x14ac:dyDescent="0.2">
      <c r="A3785" t="s">
        <v>64</v>
      </c>
      <c r="B3785" t="s">
        <v>64</v>
      </c>
      <c r="C3785" s="3" t="s">
        <v>64</v>
      </c>
      <c r="D3785" s="16" t="s">
        <v>64</v>
      </c>
      <c r="E3785" s="16">
        <v>0</v>
      </c>
      <c r="F3785" s="16" t="s">
        <v>64</v>
      </c>
      <c r="G3785" s="16" t="s">
        <v>64</v>
      </c>
    </row>
    <row r="3786" spans="1:7" x14ac:dyDescent="0.2">
      <c r="A3786" t="s">
        <v>64</v>
      </c>
      <c r="B3786" t="s">
        <v>64</v>
      </c>
      <c r="C3786" s="3" t="s">
        <v>64</v>
      </c>
      <c r="D3786" s="16" t="s">
        <v>64</v>
      </c>
      <c r="E3786" s="16">
        <v>0</v>
      </c>
      <c r="F3786" s="16" t="s">
        <v>64</v>
      </c>
      <c r="G3786" s="16" t="s">
        <v>64</v>
      </c>
    </row>
    <row r="3787" spans="1:7" x14ac:dyDescent="0.2">
      <c r="A3787" t="s">
        <v>64</v>
      </c>
      <c r="B3787" t="s">
        <v>64</v>
      </c>
      <c r="C3787" s="3" t="s">
        <v>64</v>
      </c>
      <c r="D3787" s="16" t="s">
        <v>64</v>
      </c>
      <c r="E3787" s="16">
        <v>0</v>
      </c>
      <c r="F3787" s="16" t="s">
        <v>64</v>
      </c>
      <c r="G3787" s="16" t="s">
        <v>64</v>
      </c>
    </row>
    <row r="3788" spans="1:7" x14ac:dyDescent="0.2">
      <c r="A3788" t="s">
        <v>64</v>
      </c>
      <c r="B3788" t="s">
        <v>64</v>
      </c>
      <c r="C3788" s="3" t="s">
        <v>64</v>
      </c>
      <c r="D3788" s="16" t="s">
        <v>64</v>
      </c>
      <c r="E3788" s="16">
        <v>0</v>
      </c>
      <c r="F3788" s="16" t="s">
        <v>64</v>
      </c>
      <c r="G3788" s="16" t="s">
        <v>64</v>
      </c>
    </row>
    <row r="3789" spans="1:7" x14ac:dyDescent="0.2">
      <c r="A3789" t="s">
        <v>64</v>
      </c>
      <c r="B3789" t="s">
        <v>64</v>
      </c>
      <c r="C3789" s="3" t="s">
        <v>64</v>
      </c>
      <c r="D3789" s="16" t="s">
        <v>64</v>
      </c>
      <c r="E3789" s="16">
        <v>0</v>
      </c>
      <c r="F3789" s="16" t="s">
        <v>64</v>
      </c>
      <c r="G3789" s="16" t="s">
        <v>64</v>
      </c>
    </row>
    <row r="3790" spans="1:7" x14ac:dyDescent="0.2">
      <c r="A3790" t="s">
        <v>64</v>
      </c>
      <c r="B3790" t="s">
        <v>64</v>
      </c>
      <c r="C3790" s="3" t="s">
        <v>64</v>
      </c>
      <c r="D3790" s="16" t="s">
        <v>64</v>
      </c>
      <c r="E3790" s="16">
        <v>0</v>
      </c>
      <c r="F3790" s="16" t="s">
        <v>64</v>
      </c>
      <c r="G3790" s="16" t="s">
        <v>64</v>
      </c>
    </row>
    <row r="3791" spans="1:7" x14ac:dyDescent="0.2">
      <c r="A3791" t="s">
        <v>64</v>
      </c>
      <c r="B3791" t="s">
        <v>64</v>
      </c>
      <c r="C3791" s="3" t="s">
        <v>64</v>
      </c>
      <c r="D3791" s="16" t="s">
        <v>64</v>
      </c>
      <c r="E3791" s="16">
        <v>0</v>
      </c>
      <c r="F3791" s="16" t="s">
        <v>64</v>
      </c>
      <c r="G3791" s="16" t="s">
        <v>64</v>
      </c>
    </row>
    <row r="3792" spans="1:7" x14ac:dyDescent="0.2">
      <c r="A3792" t="s">
        <v>64</v>
      </c>
      <c r="B3792" t="s">
        <v>64</v>
      </c>
      <c r="C3792" s="3" t="s">
        <v>64</v>
      </c>
      <c r="D3792" s="16" t="s">
        <v>64</v>
      </c>
      <c r="E3792" s="16">
        <v>0</v>
      </c>
      <c r="F3792" s="16" t="s">
        <v>64</v>
      </c>
      <c r="G3792" s="16" t="s">
        <v>64</v>
      </c>
    </row>
    <row r="3793" spans="1:7" x14ac:dyDescent="0.2">
      <c r="A3793" t="s">
        <v>64</v>
      </c>
      <c r="B3793" t="s">
        <v>64</v>
      </c>
      <c r="C3793" s="3" t="s">
        <v>64</v>
      </c>
      <c r="D3793" s="16" t="s">
        <v>64</v>
      </c>
      <c r="E3793" s="16">
        <v>0</v>
      </c>
      <c r="F3793" s="16" t="s">
        <v>64</v>
      </c>
      <c r="G3793" s="16" t="s">
        <v>64</v>
      </c>
    </row>
    <row r="3794" spans="1:7" x14ac:dyDescent="0.2">
      <c r="A3794" t="s">
        <v>64</v>
      </c>
      <c r="B3794" t="s">
        <v>64</v>
      </c>
      <c r="C3794" s="3" t="s">
        <v>64</v>
      </c>
      <c r="D3794" s="16" t="s">
        <v>64</v>
      </c>
      <c r="E3794" s="16">
        <v>0</v>
      </c>
      <c r="F3794" s="16" t="s">
        <v>64</v>
      </c>
      <c r="G3794" s="16" t="s">
        <v>64</v>
      </c>
    </row>
    <row r="3795" spans="1:7" x14ac:dyDescent="0.2">
      <c r="A3795" t="s">
        <v>64</v>
      </c>
      <c r="B3795" t="s">
        <v>64</v>
      </c>
      <c r="C3795" s="3" t="s">
        <v>64</v>
      </c>
      <c r="D3795" s="16" t="s">
        <v>64</v>
      </c>
      <c r="E3795" s="16">
        <v>0</v>
      </c>
      <c r="F3795" s="16" t="s">
        <v>64</v>
      </c>
      <c r="G3795" s="16" t="s">
        <v>64</v>
      </c>
    </row>
    <row r="3796" spans="1:7" x14ac:dyDescent="0.2">
      <c r="A3796" t="s">
        <v>64</v>
      </c>
      <c r="B3796" t="s">
        <v>64</v>
      </c>
      <c r="C3796" s="3" t="s">
        <v>64</v>
      </c>
      <c r="D3796" s="16" t="s">
        <v>64</v>
      </c>
      <c r="E3796" s="16">
        <v>0</v>
      </c>
      <c r="F3796" s="16" t="s">
        <v>64</v>
      </c>
      <c r="G3796" s="16" t="s">
        <v>64</v>
      </c>
    </row>
    <row r="3797" spans="1:7" x14ac:dyDescent="0.2">
      <c r="A3797" t="s">
        <v>64</v>
      </c>
      <c r="B3797" t="s">
        <v>64</v>
      </c>
      <c r="C3797" s="3" t="s">
        <v>64</v>
      </c>
      <c r="D3797" s="16" t="s">
        <v>64</v>
      </c>
      <c r="E3797" s="16">
        <v>0</v>
      </c>
      <c r="F3797" s="16" t="s">
        <v>64</v>
      </c>
      <c r="G3797" s="16" t="s">
        <v>64</v>
      </c>
    </row>
    <row r="3798" spans="1:7" x14ac:dyDescent="0.2">
      <c r="A3798" t="s">
        <v>64</v>
      </c>
      <c r="B3798" t="s">
        <v>64</v>
      </c>
      <c r="C3798" s="3" t="s">
        <v>64</v>
      </c>
      <c r="D3798" s="16" t="s">
        <v>64</v>
      </c>
      <c r="E3798" s="16">
        <v>0</v>
      </c>
      <c r="F3798" s="16" t="s">
        <v>64</v>
      </c>
      <c r="G3798" s="16" t="s">
        <v>64</v>
      </c>
    </row>
    <row r="3799" spans="1:7" x14ac:dyDescent="0.2">
      <c r="A3799" t="s">
        <v>64</v>
      </c>
      <c r="B3799" t="s">
        <v>64</v>
      </c>
      <c r="C3799" s="3" t="s">
        <v>64</v>
      </c>
      <c r="D3799" s="16" t="s">
        <v>64</v>
      </c>
      <c r="E3799" s="16">
        <v>0</v>
      </c>
      <c r="F3799" s="16" t="s">
        <v>64</v>
      </c>
      <c r="G3799" s="16" t="s">
        <v>64</v>
      </c>
    </row>
    <row r="3800" spans="1:7" x14ac:dyDescent="0.2">
      <c r="A3800" t="s">
        <v>64</v>
      </c>
      <c r="B3800" t="s">
        <v>64</v>
      </c>
      <c r="C3800" s="3" t="s">
        <v>64</v>
      </c>
      <c r="D3800" s="16" t="s">
        <v>64</v>
      </c>
      <c r="E3800" s="16">
        <v>0</v>
      </c>
      <c r="F3800" s="16" t="s">
        <v>64</v>
      </c>
      <c r="G3800" s="16" t="s">
        <v>64</v>
      </c>
    </row>
    <row r="3801" spans="1:7" x14ac:dyDescent="0.2">
      <c r="A3801" t="s">
        <v>64</v>
      </c>
      <c r="B3801" t="s">
        <v>64</v>
      </c>
      <c r="C3801" s="3" t="s">
        <v>64</v>
      </c>
      <c r="D3801" s="16" t="s">
        <v>64</v>
      </c>
      <c r="E3801" s="16">
        <v>0</v>
      </c>
      <c r="F3801" s="16" t="s">
        <v>64</v>
      </c>
      <c r="G3801" s="16" t="s">
        <v>64</v>
      </c>
    </row>
    <row r="3802" spans="1:7" x14ac:dyDescent="0.2">
      <c r="A3802" t="s">
        <v>64</v>
      </c>
      <c r="B3802" t="s">
        <v>64</v>
      </c>
      <c r="C3802" s="3" t="s">
        <v>64</v>
      </c>
      <c r="D3802" s="16" t="s">
        <v>64</v>
      </c>
      <c r="E3802" s="16">
        <v>0</v>
      </c>
      <c r="F3802" s="16" t="s">
        <v>64</v>
      </c>
      <c r="G3802" s="16" t="s">
        <v>64</v>
      </c>
    </row>
    <row r="3803" spans="1:7" x14ac:dyDescent="0.2">
      <c r="A3803" t="s">
        <v>64</v>
      </c>
      <c r="B3803" t="s">
        <v>64</v>
      </c>
      <c r="C3803" s="3" t="s">
        <v>64</v>
      </c>
      <c r="D3803" s="16" t="s">
        <v>64</v>
      </c>
      <c r="E3803" s="16">
        <v>0</v>
      </c>
      <c r="F3803" s="16" t="s">
        <v>64</v>
      </c>
      <c r="G3803" s="16" t="s">
        <v>64</v>
      </c>
    </row>
    <row r="3804" spans="1:7" x14ac:dyDescent="0.2">
      <c r="A3804" t="s">
        <v>64</v>
      </c>
      <c r="B3804" t="s">
        <v>64</v>
      </c>
      <c r="C3804" s="3" t="s">
        <v>64</v>
      </c>
      <c r="D3804" s="16" t="s">
        <v>64</v>
      </c>
      <c r="E3804" s="16">
        <v>0</v>
      </c>
      <c r="F3804" s="16" t="s">
        <v>64</v>
      </c>
      <c r="G3804" s="16" t="s">
        <v>64</v>
      </c>
    </row>
    <row r="3805" spans="1:7" x14ac:dyDescent="0.2">
      <c r="A3805" t="s">
        <v>64</v>
      </c>
      <c r="B3805" t="s">
        <v>64</v>
      </c>
      <c r="C3805" s="3" t="s">
        <v>64</v>
      </c>
      <c r="D3805" s="16" t="s">
        <v>64</v>
      </c>
      <c r="E3805" s="16">
        <v>0</v>
      </c>
      <c r="F3805" s="16" t="s">
        <v>64</v>
      </c>
      <c r="G3805" s="16" t="s">
        <v>64</v>
      </c>
    </row>
    <row r="3806" spans="1:7" x14ac:dyDescent="0.2">
      <c r="A3806" t="s">
        <v>64</v>
      </c>
      <c r="B3806" t="s">
        <v>64</v>
      </c>
      <c r="C3806" s="3" t="s">
        <v>64</v>
      </c>
      <c r="D3806" s="16" t="s">
        <v>64</v>
      </c>
      <c r="E3806" s="16">
        <v>0</v>
      </c>
      <c r="F3806" s="16" t="s">
        <v>64</v>
      </c>
      <c r="G3806" s="16" t="s">
        <v>64</v>
      </c>
    </row>
    <row r="3807" spans="1:7" x14ac:dyDescent="0.2">
      <c r="A3807" t="s">
        <v>64</v>
      </c>
      <c r="B3807" t="s">
        <v>64</v>
      </c>
      <c r="C3807" s="3" t="s">
        <v>64</v>
      </c>
      <c r="D3807" s="16" t="s">
        <v>64</v>
      </c>
      <c r="E3807" s="16">
        <v>0</v>
      </c>
      <c r="F3807" s="16" t="s">
        <v>64</v>
      </c>
      <c r="G3807" s="16" t="s">
        <v>64</v>
      </c>
    </row>
    <row r="3808" spans="1:7" x14ac:dyDescent="0.2">
      <c r="A3808" t="s">
        <v>64</v>
      </c>
      <c r="B3808" t="s">
        <v>64</v>
      </c>
      <c r="C3808" s="3" t="s">
        <v>64</v>
      </c>
      <c r="D3808" s="16" t="s">
        <v>64</v>
      </c>
      <c r="E3808" s="16">
        <v>0</v>
      </c>
      <c r="F3808" s="16" t="s">
        <v>64</v>
      </c>
      <c r="G3808" s="16" t="s">
        <v>64</v>
      </c>
    </row>
    <row r="3809" spans="1:7" x14ac:dyDescent="0.2">
      <c r="A3809" t="s">
        <v>64</v>
      </c>
      <c r="B3809" t="s">
        <v>64</v>
      </c>
      <c r="C3809" s="3" t="s">
        <v>64</v>
      </c>
      <c r="D3809" s="16" t="s">
        <v>64</v>
      </c>
      <c r="E3809" s="16">
        <v>0</v>
      </c>
      <c r="F3809" s="16" t="s">
        <v>64</v>
      </c>
      <c r="G3809" s="16" t="s">
        <v>64</v>
      </c>
    </row>
    <row r="3810" spans="1:7" x14ac:dyDescent="0.2">
      <c r="A3810" t="s">
        <v>64</v>
      </c>
      <c r="B3810" t="s">
        <v>64</v>
      </c>
      <c r="C3810" s="3" t="s">
        <v>64</v>
      </c>
      <c r="D3810" s="16" t="s">
        <v>64</v>
      </c>
      <c r="E3810" s="16">
        <v>0</v>
      </c>
      <c r="F3810" s="16" t="s">
        <v>64</v>
      </c>
      <c r="G3810" s="16" t="s">
        <v>64</v>
      </c>
    </row>
    <row r="3811" spans="1:7" x14ac:dyDescent="0.2">
      <c r="A3811" t="s">
        <v>64</v>
      </c>
      <c r="B3811" t="s">
        <v>64</v>
      </c>
      <c r="C3811" s="3" t="s">
        <v>64</v>
      </c>
      <c r="D3811" s="16" t="s">
        <v>64</v>
      </c>
      <c r="E3811" s="16">
        <v>0</v>
      </c>
      <c r="F3811" s="16" t="s">
        <v>64</v>
      </c>
      <c r="G3811" s="16" t="s">
        <v>64</v>
      </c>
    </row>
    <row r="3812" spans="1:7" x14ac:dyDescent="0.2">
      <c r="A3812" t="s">
        <v>64</v>
      </c>
      <c r="B3812" t="s">
        <v>64</v>
      </c>
      <c r="C3812" s="3" t="s">
        <v>64</v>
      </c>
      <c r="D3812" s="16" t="s">
        <v>64</v>
      </c>
      <c r="E3812" s="16">
        <v>0</v>
      </c>
      <c r="F3812" s="16" t="s">
        <v>64</v>
      </c>
      <c r="G3812" s="16" t="s">
        <v>64</v>
      </c>
    </row>
    <row r="3813" spans="1:7" x14ac:dyDescent="0.2">
      <c r="A3813" t="s">
        <v>64</v>
      </c>
      <c r="B3813" t="s">
        <v>64</v>
      </c>
      <c r="C3813" s="3" t="s">
        <v>64</v>
      </c>
      <c r="D3813" s="16" t="s">
        <v>64</v>
      </c>
      <c r="E3813" s="16">
        <v>0</v>
      </c>
      <c r="F3813" s="16" t="s">
        <v>64</v>
      </c>
      <c r="G3813" s="16" t="s">
        <v>64</v>
      </c>
    </row>
    <row r="3814" spans="1:7" x14ac:dyDescent="0.2">
      <c r="A3814" t="s">
        <v>64</v>
      </c>
      <c r="B3814" t="s">
        <v>64</v>
      </c>
      <c r="C3814" s="3" t="s">
        <v>64</v>
      </c>
      <c r="D3814" s="16" t="s">
        <v>64</v>
      </c>
      <c r="E3814" s="16">
        <v>0</v>
      </c>
      <c r="F3814" s="16" t="s">
        <v>64</v>
      </c>
      <c r="G3814" s="16" t="s">
        <v>64</v>
      </c>
    </row>
    <row r="3815" spans="1:7" x14ac:dyDescent="0.2">
      <c r="A3815" t="s">
        <v>64</v>
      </c>
      <c r="B3815" t="s">
        <v>64</v>
      </c>
      <c r="C3815" s="3" t="s">
        <v>64</v>
      </c>
      <c r="D3815" s="16" t="s">
        <v>64</v>
      </c>
      <c r="E3815" s="16">
        <v>0</v>
      </c>
      <c r="F3815" s="16" t="s">
        <v>64</v>
      </c>
      <c r="G3815" s="16" t="s">
        <v>64</v>
      </c>
    </row>
    <row r="3816" spans="1:7" x14ac:dyDescent="0.2">
      <c r="A3816" t="s">
        <v>64</v>
      </c>
      <c r="B3816" t="s">
        <v>64</v>
      </c>
      <c r="C3816" s="3" t="s">
        <v>64</v>
      </c>
      <c r="D3816" s="16" t="s">
        <v>64</v>
      </c>
      <c r="E3816" s="16">
        <v>0</v>
      </c>
      <c r="F3816" s="16" t="s">
        <v>64</v>
      </c>
      <c r="G3816" s="16" t="s">
        <v>64</v>
      </c>
    </row>
    <row r="3817" spans="1:7" x14ac:dyDescent="0.2">
      <c r="A3817" t="s">
        <v>64</v>
      </c>
      <c r="B3817" t="s">
        <v>64</v>
      </c>
      <c r="C3817" s="3" t="s">
        <v>64</v>
      </c>
      <c r="D3817" s="16" t="s">
        <v>64</v>
      </c>
      <c r="E3817" s="16">
        <v>0</v>
      </c>
      <c r="F3817" s="16" t="s">
        <v>64</v>
      </c>
      <c r="G3817" s="16" t="s">
        <v>64</v>
      </c>
    </row>
    <row r="3818" spans="1:7" x14ac:dyDescent="0.2">
      <c r="A3818" t="s">
        <v>64</v>
      </c>
      <c r="B3818" t="s">
        <v>64</v>
      </c>
      <c r="C3818" s="3" t="s">
        <v>64</v>
      </c>
      <c r="D3818" s="16" t="s">
        <v>64</v>
      </c>
      <c r="E3818" s="16">
        <v>0</v>
      </c>
      <c r="F3818" s="16" t="s">
        <v>64</v>
      </c>
      <c r="G3818" s="16" t="s">
        <v>64</v>
      </c>
    </row>
    <row r="3819" spans="1:7" x14ac:dyDescent="0.2">
      <c r="A3819" t="s">
        <v>64</v>
      </c>
      <c r="B3819" t="s">
        <v>64</v>
      </c>
      <c r="C3819" s="3" t="s">
        <v>64</v>
      </c>
      <c r="D3819" s="16" t="s">
        <v>64</v>
      </c>
      <c r="E3819" s="16">
        <v>0</v>
      </c>
      <c r="F3819" s="16" t="s">
        <v>64</v>
      </c>
      <c r="G3819" s="16" t="s">
        <v>64</v>
      </c>
    </row>
    <row r="3820" spans="1:7" x14ac:dyDescent="0.2">
      <c r="A3820" t="s">
        <v>64</v>
      </c>
      <c r="B3820" t="s">
        <v>64</v>
      </c>
      <c r="C3820" s="3" t="s">
        <v>64</v>
      </c>
      <c r="D3820" s="16" t="s">
        <v>64</v>
      </c>
      <c r="E3820" s="16">
        <v>0</v>
      </c>
      <c r="F3820" s="16" t="s">
        <v>64</v>
      </c>
      <c r="G3820" s="16" t="s">
        <v>64</v>
      </c>
    </row>
    <row r="3821" spans="1:7" x14ac:dyDescent="0.2">
      <c r="A3821" t="s">
        <v>64</v>
      </c>
      <c r="B3821" t="s">
        <v>64</v>
      </c>
      <c r="C3821" s="3" t="s">
        <v>64</v>
      </c>
      <c r="D3821" s="16" t="s">
        <v>64</v>
      </c>
      <c r="E3821" s="16">
        <v>0</v>
      </c>
      <c r="F3821" s="16" t="s">
        <v>64</v>
      </c>
      <c r="G3821" s="16" t="s">
        <v>64</v>
      </c>
    </row>
    <row r="3822" spans="1:7" x14ac:dyDescent="0.2">
      <c r="A3822" t="s">
        <v>64</v>
      </c>
      <c r="B3822" t="s">
        <v>64</v>
      </c>
      <c r="C3822" s="3" t="s">
        <v>64</v>
      </c>
      <c r="D3822" s="16" t="s">
        <v>64</v>
      </c>
      <c r="E3822" s="16">
        <v>0</v>
      </c>
      <c r="F3822" s="16" t="s">
        <v>64</v>
      </c>
      <c r="G3822" s="16" t="s">
        <v>64</v>
      </c>
    </row>
    <row r="3823" spans="1:7" x14ac:dyDescent="0.2">
      <c r="A3823" t="s">
        <v>64</v>
      </c>
      <c r="B3823" t="s">
        <v>64</v>
      </c>
      <c r="C3823" s="3" t="s">
        <v>64</v>
      </c>
      <c r="D3823" s="16" t="s">
        <v>64</v>
      </c>
      <c r="E3823" s="16">
        <v>0</v>
      </c>
      <c r="F3823" s="16" t="s">
        <v>64</v>
      </c>
      <c r="G3823" s="16" t="s">
        <v>64</v>
      </c>
    </row>
    <row r="3824" spans="1:7" x14ac:dyDescent="0.2">
      <c r="A3824" t="s">
        <v>64</v>
      </c>
      <c r="B3824" t="s">
        <v>64</v>
      </c>
      <c r="C3824" s="3" t="s">
        <v>64</v>
      </c>
      <c r="D3824" s="16" t="s">
        <v>64</v>
      </c>
      <c r="E3824" s="16">
        <v>0</v>
      </c>
      <c r="F3824" s="16" t="s">
        <v>64</v>
      </c>
      <c r="G3824" s="16" t="s">
        <v>64</v>
      </c>
    </row>
    <row r="3825" spans="1:7" x14ac:dyDescent="0.2">
      <c r="A3825" t="s">
        <v>64</v>
      </c>
      <c r="B3825" t="s">
        <v>64</v>
      </c>
      <c r="C3825" s="3" t="s">
        <v>64</v>
      </c>
      <c r="D3825" s="16" t="s">
        <v>64</v>
      </c>
      <c r="E3825" s="16">
        <v>0</v>
      </c>
      <c r="F3825" s="16" t="s">
        <v>64</v>
      </c>
      <c r="G3825" s="16" t="s">
        <v>64</v>
      </c>
    </row>
    <row r="3826" spans="1:7" x14ac:dyDescent="0.2">
      <c r="A3826" t="s">
        <v>64</v>
      </c>
      <c r="B3826" t="s">
        <v>64</v>
      </c>
      <c r="C3826" s="3" t="s">
        <v>64</v>
      </c>
      <c r="D3826" s="16" t="s">
        <v>64</v>
      </c>
      <c r="E3826" s="16">
        <v>0</v>
      </c>
      <c r="F3826" s="16" t="s">
        <v>64</v>
      </c>
      <c r="G3826" s="16" t="s">
        <v>64</v>
      </c>
    </row>
    <row r="3827" spans="1:7" x14ac:dyDescent="0.2">
      <c r="A3827" t="s">
        <v>64</v>
      </c>
      <c r="B3827" t="s">
        <v>64</v>
      </c>
      <c r="C3827" s="3" t="s">
        <v>64</v>
      </c>
      <c r="D3827" s="16" t="s">
        <v>64</v>
      </c>
      <c r="E3827" s="16">
        <v>0</v>
      </c>
      <c r="F3827" s="16" t="s">
        <v>64</v>
      </c>
      <c r="G3827" s="16" t="s">
        <v>64</v>
      </c>
    </row>
    <row r="3828" spans="1:7" x14ac:dyDescent="0.2">
      <c r="A3828" t="s">
        <v>64</v>
      </c>
      <c r="B3828" t="s">
        <v>64</v>
      </c>
      <c r="C3828" s="3" t="s">
        <v>64</v>
      </c>
      <c r="D3828" s="16" t="s">
        <v>64</v>
      </c>
      <c r="E3828" s="16">
        <v>0</v>
      </c>
      <c r="F3828" s="16" t="s">
        <v>64</v>
      </c>
      <c r="G3828" s="16" t="s">
        <v>64</v>
      </c>
    </row>
    <row r="3829" spans="1:7" x14ac:dyDescent="0.2">
      <c r="A3829" t="s">
        <v>64</v>
      </c>
      <c r="B3829" t="s">
        <v>64</v>
      </c>
      <c r="C3829" s="3" t="s">
        <v>64</v>
      </c>
      <c r="D3829" s="16" t="s">
        <v>64</v>
      </c>
      <c r="E3829" s="16">
        <v>0</v>
      </c>
      <c r="F3829" s="16" t="s">
        <v>64</v>
      </c>
      <c r="G3829" s="16" t="s">
        <v>64</v>
      </c>
    </row>
    <row r="3830" spans="1:7" x14ac:dyDescent="0.2">
      <c r="A3830" t="s">
        <v>64</v>
      </c>
      <c r="B3830" t="s">
        <v>64</v>
      </c>
      <c r="C3830" s="3" t="s">
        <v>64</v>
      </c>
      <c r="D3830" s="16" t="s">
        <v>64</v>
      </c>
      <c r="E3830" s="16">
        <v>0</v>
      </c>
      <c r="F3830" s="16" t="s">
        <v>64</v>
      </c>
      <c r="G3830" s="16" t="s">
        <v>64</v>
      </c>
    </row>
    <row r="3831" spans="1:7" x14ac:dyDescent="0.2">
      <c r="A3831" t="s">
        <v>64</v>
      </c>
      <c r="B3831" t="s">
        <v>64</v>
      </c>
      <c r="C3831" s="3" t="s">
        <v>64</v>
      </c>
      <c r="D3831" s="16" t="s">
        <v>64</v>
      </c>
      <c r="E3831" s="16">
        <v>0</v>
      </c>
      <c r="F3831" s="16" t="s">
        <v>64</v>
      </c>
      <c r="G3831" s="16" t="s">
        <v>64</v>
      </c>
    </row>
    <row r="3832" spans="1:7" x14ac:dyDescent="0.2">
      <c r="A3832" t="s">
        <v>64</v>
      </c>
      <c r="B3832" t="s">
        <v>64</v>
      </c>
      <c r="C3832" s="3" t="s">
        <v>64</v>
      </c>
      <c r="D3832" s="16" t="s">
        <v>64</v>
      </c>
      <c r="E3832" s="16">
        <v>0</v>
      </c>
      <c r="F3832" s="16" t="s">
        <v>64</v>
      </c>
      <c r="G3832" s="16" t="s">
        <v>64</v>
      </c>
    </row>
    <row r="3833" spans="1:7" x14ac:dyDescent="0.2">
      <c r="A3833" t="s">
        <v>64</v>
      </c>
      <c r="B3833" t="s">
        <v>64</v>
      </c>
      <c r="C3833" s="3" t="s">
        <v>64</v>
      </c>
      <c r="D3833" s="16" t="s">
        <v>64</v>
      </c>
      <c r="E3833" s="16">
        <v>0</v>
      </c>
      <c r="F3833" s="16" t="s">
        <v>64</v>
      </c>
      <c r="G3833" s="16" t="s">
        <v>64</v>
      </c>
    </row>
    <row r="3834" spans="1:7" x14ac:dyDescent="0.2">
      <c r="A3834" t="s">
        <v>64</v>
      </c>
      <c r="B3834" t="s">
        <v>64</v>
      </c>
      <c r="C3834" s="3" t="s">
        <v>64</v>
      </c>
      <c r="D3834" s="16" t="s">
        <v>64</v>
      </c>
      <c r="E3834" s="16">
        <v>0</v>
      </c>
      <c r="F3834" s="16" t="s">
        <v>64</v>
      </c>
      <c r="G3834" s="16" t="s">
        <v>64</v>
      </c>
    </row>
    <row r="3835" spans="1:7" x14ac:dyDescent="0.2">
      <c r="A3835" t="s">
        <v>64</v>
      </c>
      <c r="B3835" t="s">
        <v>64</v>
      </c>
      <c r="C3835" s="3" t="s">
        <v>64</v>
      </c>
      <c r="D3835" s="16" t="s">
        <v>64</v>
      </c>
      <c r="E3835" s="16">
        <v>0</v>
      </c>
      <c r="F3835" s="16" t="s">
        <v>64</v>
      </c>
      <c r="G3835" s="16" t="s">
        <v>64</v>
      </c>
    </row>
    <row r="3836" spans="1:7" x14ac:dyDescent="0.2">
      <c r="A3836" t="s">
        <v>64</v>
      </c>
      <c r="B3836" t="s">
        <v>64</v>
      </c>
      <c r="C3836" s="3" t="s">
        <v>64</v>
      </c>
      <c r="D3836" s="16" t="s">
        <v>64</v>
      </c>
      <c r="E3836" s="16">
        <v>0</v>
      </c>
      <c r="F3836" s="16" t="s">
        <v>64</v>
      </c>
      <c r="G3836" s="16" t="s">
        <v>64</v>
      </c>
    </row>
    <row r="3837" spans="1:7" x14ac:dyDescent="0.2">
      <c r="A3837" t="s">
        <v>64</v>
      </c>
      <c r="B3837" t="s">
        <v>64</v>
      </c>
      <c r="C3837" s="3" t="s">
        <v>64</v>
      </c>
      <c r="D3837" s="16" t="s">
        <v>64</v>
      </c>
      <c r="E3837" s="16">
        <v>0</v>
      </c>
      <c r="F3837" s="16" t="s">
        <v>64</v>
      </c>
      <c r="G3837" s="16" t="s">
        <v>64</v>
      </c>
    </row>
    <row r="3838" spans="1:7" x14ac:dyDescent="0.2">
      <c r="A3838" t="s">
        <v>64</v>
      </c>
      <c r="B3838" t="s">
        <v>64</v>
      </c>
      <c r="C3838" s="3" t="s">
        <v>64</v>
      </c>
      <c r="D3838" s="16" t="s">
        <v>64</v>
      </c>
      <c r="E3838" s="16">
        <v>0</v>
      </c>
      <c r="F3838" s="16" t="s">
        <v>64</v>
      </c>
      <c r="G3838" s="16" t="s">
        <v>64</v>
      </c>
    </row>
    <row r="3839" spans="1:7" x14ac:dyDescent="0.2">
      <c r="A3839" t="s">
        <v>64</v>
      </c>
      <c r="B3839" t="s">
        <v>64</v>
      </c>
      <c r="C3839" s="3" t="s">
        <v>64</v>
      </c>
      <c r="D3839" s="16" t="s">
        <v>64</v>
      </c>
      <c r="E3839" s="16">
        <v>0</v>
      </c>
      <c r="F3839" s="16" t="s">
        <v>64</v>
      </c>
      <c r="G3839" s="16" t="s">
        <v>64</v>
      </c>
    </row>
    <row r="3840" spans="1:7" x14ac:dyDescent="0.2">
      <c r="A3840" t="s">
        <v>64</v>
      </c>
      <c r="B3840" t="s">
        <v>64</v>
      </c>
      <c r="C3840" s="3" t="s">
        <v>64</v>
      </c>
      <c r="D3840" s="16" t="s">
        <v>64</v>
      </c>
      <c r="E3840" s="16">
        <v>0</v>
      </c>
      <c r="F3840" s="16" t="s">
        <v>64</v>
      </c>
      <c r="G3840" s="16" t="s">
        <v>64</v>
      </c>
    </row>
    <row r="3841" spans="1:7" x14ac:dyDescent="0.2">
      <c r="A3841" t="s">
        <v>64</v>
      </c>
      <c r="B3841" t="s">
        <v>64</v>
      </c>
      <c r="C3841" s="3" t="s">
        <v>64</v>
      </c>
      <c r="D3841" s="16" t="s">
        <v>64</v>
      </c>
      <c r="E3841" s="16">
        <v>0</v>
      </c>
      <c r="F3841" s="16" t="s">
        <v>64</v>
      </c>
      <c r="G3841" s="16" t="s">
        <v>64</v>
      </c>
    </row>
    <row r="3842" spans="1:7" x14ac:dyDescent="0.2">
      <c r="A3842" t="s">
        <v>64</v>
      </c>
      <c r="B3842" t="s">
        <v>64</v>
      </c>
      <c r="C3842" s="3" t="s">
        <v>64</v>
      </c>
      <c r="D3842" s="16" t="s">
        <v>64</v>
      </c>
      <c r="E3842" s="16">
        <v>0</v>
      </c>
      <c r="F3842" s="16" t="s">
        <v>64</v>
      </c>
      <c r="G3842" s="16" t="s">
        <v>64</v>
      </c>
    </row>
    <row r="3843" spans="1:7" x14ac:dyDescent="0.2">
      <c r="A3843" t="s">
        <v>64</v>
      </c>
      <c r="B3843" t="s">
        <v>64</v>
      </c>
      <c r="C3843" s="3" t="s">
        <v>64</v>
      </c>
      <c r="D3843" s="16" t="s">
        <v>64</v>
      </c>
      <c r="E3843" s="16">
        <v>0</v>
      </c>
      <c r="F3843" s="16" t="s">
        <v>64</v>
      </c>
      <c r="G3843" s="16" t="s">
        <v>64</v>
      </c>
    </row>
    <row r="3844" spans="1:7" x14ac:dyDescent="0.2">
      <c r="A3844" t="s">
        <v>64</v>
      </c>
      <c r="B3844" t="s">
        <v>64</v>
      </c>
      <c r="C3844" s="3" t="s">
        <v>64</v>
      </c>
      <c r="D3844" s="16" t="s">
        <v>64</v>
      </c>
      <c r="E3844" s="16">
        <v>0</v>
      </c>
      <c r="F3844" s="16" t="s">
        <v>64</v>
      </c>
      <c r="G3844" s="16" t="s">
        <v>64</v>
      </c>
    </row>
    <row r="3845" spans="1:7" x14ac:dyDescent="0.2">
      <c r="A3845" t="s">
        <v>64</v>
      </c>
      <c r="B3845" t="s">
        <v>64</v>
      </c>
      <c r="C3845" s="3" t="s">
        <v>64</v>
      </c>
      <c r="D3845" s="16" t="s">
        <v>64</v>
      </c>
      <c r="E3845" s="16">
        <v>0</v>
      </c>
      <c r="F3845" s="16" t="s">
        <v>64</v>
      </c>
      <c r="G3845" s="16" t="s">
        <v>64</v>
      </c>
    </row>
    <row r="3846" spans="1:7" x14ac:dyDescent="0.2">
      <c r="A3846" t="s">
        <v>64</v>
      </c>
      <c r="B3846" t="s">
        <v>64</v>
      </c>
      <c r="C3846" s="3" t="s">
        <v>64</v>
      </c>
      <c r="D3846" s="16" t="s">
        <v>64</v>
      </c>
      <c r="E3846" s="16">
        <v>0</v>
      </c>
      <c r="F3846" s="16" t="s">
        <v>64</v>
      </c>
      <c r="G3846" s="16" t="s">
        <v>64</v>
      </c>
    </row>
    <row r="3847" spans="1:7" x14ac:dyDescent="0.2">
      <c r="A3847" t="s">
        <v>64</v>
      </c>
      <c r="B3847" t="s">
        <v>64</v>
      </c>
      <c r="C3847" s="3" t="s">
        <v>64</v>
      </c>
      <c r="D3847" s="16" t="s">
        <v>64</v>
      </c>
      <c r="E3847" s="16">
        <v>0</v>
      </c>
      <c r="F3847" s="16" t="s">
        <v>64</v>
      </c>
      <c r="G3847" s="16" t="s">
        <v>64</v>
      </c>
    </row>
    <row r="3848" spans="1:7" x14ac:dyDescent="0.2">
      <c r="A3848" t="s">
        <v>64</v>
      </c>
      <c r="B3848" t="s">
        <v>64</v>
      </c>
      <c r="C3848" s="3" t="s">
        <v>64</v>
      </c>
      <c r="D3848" s="16" t="s">
        <v>64</v>
      </c>
      <c r="E3848" s="16">
        <v>0</v>
      </c>
      <c r="F3848" s="16" t="s">
        <v>64</v>
      </c>
      <c r="G3848" s="16" t="s">
        <v>64</v>
      </c>
    </row>
    <row r="3849" spans="1:7" x14ac:dyDescent="0.2">
      <c r="A3849" t="s">
        <v>64</v>
      </c>
      <c r="B3849" t="s">
        <v>64</v>
      </c>
      <c r="C3849" s="3" t="s">
        <v>64</v>
      </c>
      <c r="D3849" s="16" t="s">
        <v>64</v>
      </c>
      <c r="E3849" s="16">
        <v>0</v>
      </c>
      <c r="F3849" s="16" t="s">
        <v>64</v>
      </c>
      <c r="G3849" s="16" t="s">
        <v>64</v>
      </c>
    </row>
    <row r="3850" spans="1:7" x14ac:dyDescent="0.2">
      <c r="A3850" t="s">
        <v>64</v>
      </c>
      <c r="B3850" t="s">
        <v>64</v>
      </c>
      <c r="C3850" s="3" t="s">
        <v>64</v>
      </c>
      <c r="D3850" s="16" t="s">
        <v>64</v>
      </c>
      <c r="E3850" s="16">
        <v>0</v>
      </c>
      <c r="F3850" s="16" t="s">
        <v>64</v>
      </c>
      <c r="G3850" s="16" t="s">
        <v>64</v>
      </c>
    </row>
    <row r="3851" spans="1:7" x14ac:dyDescent="0.2">
      <c r="A3851" t="s">
        <v>64</v>
      </c>
      <c r="B3851" t="s">
        <v>64</v>
      </c>
      <c r="C3851" s="3" t="s">
        <v>64</v>
      </c>
      <c r="D3851" s="16" t="s">
        <v>64</v>
      </c>
      <c r="E3851" s="16">
        <v>0</v>
      </c>
      <c r="F3851" s="16" t="s">
        <v>64</v>
      </c>
      <c r="G3851" s="16" t="s">
        <v>64</v>
      </c>
    </row>
    <row r="3852" spans="1:7" x14ac:dyDescent="0.2">
      <c r="A3852" t="s">
        <v>64</v>
      </c>
      <c r="B3852" t="s">
        <v>64</v>
      </c>
      <c r="C3852" s="3" t="s">
        <v>64</v>
      </c>
      <c r="D3852" s="16" t="s">
        <v>64</v>
      </c>
      <c r="E3852" s="16">
        <v>0</v>
      </c>
      <c r="F3852" s="16" t="s">
        <v>64</v>
      </c>
      <c r="G3852" s="16" t="s">
        <v>64</v>
      </c>
    </row>
    <row r="3853" spans="1:7" x14ac:dyDescent="0.2">
      <c r="A3853" t="s">
        <v>64</v>
      </c>
      <c r="B3853" t="s">
        <v>64</v>
      </c>
      <c r="C3853" s="3" t="s">
        <v>64</v>
      </c>
      <c r="D3853" s="16" t="s">
        <v>64</v>
      </c>
      <c r="E3853" s="16">
        <v>0</v>
      </c>
      <c r="F3853" s="16" t="s">
        <v>64</v>
      </c>
      <c r="G3853" s="16" t="s">
        <v>64</v>
      </c>
    </row>
    <row r="3854" spans="1:7" x14ac:dyDescent="0.2">
      <c r="A3854" t="s">
        <v>64</v>
      </c>
      <c r="B3854" t="s">
        <v>64</v>
      </c>
      <c r="C3854" s="3" t="s">
        <v>64</v>
      </c>
      <c r="D3854" s="16" t="s">
        <v>64</v>
      </c>
      <c r="E3854" s="16">
        <v>0</v>
      </c>
      <c r="F3854" s="16" t="s">
        <v>64</v>
      </c>
      <c r="G3854" s="16" t="s">
        <v>64</v>
      </c>
    </row>
    <row r="3855" spans="1:7" x14ac:dyDescent="0.2">
      <c r="A3855" t="s">
        <v>64</v>
      </c>
      <c r="B3855" t="s">
        <v>64</v>
      </c>
      <c r="C3855" s="3" t="s">
        <v>64</v>
      </c>
      <c r="D3855" s="16" t="s">
        <v>64</v>
      </c>
      <c r="E3855" s="16">
        <v>0</v>
      </c>
      <c r="F3855" s="16" t="s">
        <v>64</v>
      </c>
      <c r="G3855" s="16" t="s">
        <v>64</v>
      </c>
    </row>
    <row r="3856" spans="1:7" x14ac:dyDescent="0.2">
      <c r="A3856" t="s">
        <v>64</v>
      </c>
      <c r="B3856" t="s">
        <v>64</v>
      </c>
      <c r="C3856" s="3" t="s">
        <v>64</v>
      </c>
      <c r="D3856" s="16" t="s">
        <v>64</v>
      </c>
      <c r="E3856" s="16">
        <v>0</v>
      </c>
      <c r="F3856" s="16" t="s">
        <v>64</v>
      </c>
      <c r="G3856" s="16" t="s">
        <v>64</v>
      </c>
    </row>
    <row r="3857" spans="1:7" x14ac:dyDescent="0.2">
      <c r="A3857" t="s">
        <v>64</v>
      </c>
      <c r="B3857" t="s">
        <v>64</v>
      </c>
      <c r="C3857" s="3" t="s">
        <v>64</v>
      </c>
      <c r="D3857" s="16" t="s">
        <v>64</v>
      </c>
      <c r="E3857" s="16">
        <v>0</v>
      </c>
      <c r="F3857" s="16" t="s">
        <v>64</v>
      </c>
      <c r="G3857" s="16" t="s">
        <v>64</v>
      </c>
    </row>
    <row r="3858" spans="1:7" x14ac:dyDescent="0.2">
      <c r="A3858" t="s">
        <v>64</v>
      </c>
      <c r="B3858" t="s">
        <v>64</v>
      </c>
      <c r="C3858" s="3" t="s">
        <v>64</v>
      </c>
      <c r="D3858" s="16" t="s">
        <v>64</v>
      </c>
      <c r="E3858" s="16">
        <v>0</v>
      </c>
      <c r="F3858" s="16" t="s">
        <v>64</v>
      </c>
      <c r="G3858" s="16" t="s">
        <v>64</v>
      </c>
    </row>
    <row r="3859" spans="1:7" x14ac:dyDescent="0.2">
      <c r="A3859" t="s">
        <v>64</v>
      </c>
      <c r="B3859" t="s">
        <v>64</v>
      </c>
      <c r="C3859" s="3" t="s">
        <v>64</v>
      </c>
      <c r="D3859" s="16" t="s">
        <v>64</v>
      </c>
      <c r="E3859" s="16">
        <v>0</v>
      </c>
      <c r="F3859" s="16" t="s">
        <v>64</v>
      </c>
      <c r="G3859" s="16" t="s">
        <v>64</v>
      </c>
    </row>
    <row r="3860" spans="1:7" x14ac:dyDescent="0.2">
      <c r="A3860" t="s">
        <v>64</v>
      </c>
      <c r="B3860" t="s">
        <v>64</v>
      </c>
      <c r="C3860" s="3" t="s">
        <v>64</v>
      </c>
      <c r="D3860" s="16" t="s">
        <v>64</v>
      </c>
      <c r="E3860" s="16">
        <v>0</v>
      </c>
      <c r="F3860" s="16" t="s">
        <v>64</v>
      </c>
      <c r="G3860" s="16" t="s">
        <v>64</v>
      </c>
    </row>
    <row r="3861" spans="1:7" x14ac:dyDescent="0.2">
      <c r="A3861" t="s">
        <v>64</v>
      </c>
      <c r="B3861" t="s">
        <v>64</v>
      </c>
      <c r="C3861" s="3" t="s">
        <v>64</v>
      </c>
      <c r="D3861" s="16" t="s">
        <v>64</v>
      </c>
      <c r="E3861" s="16">
        <v>0</v>
      </c>
      <c r="F3861" s="16" t="s">
        <v>64</v>
      </c>
      <c r="G3861" s="16" t="s">
        <v>64</v>
      </c>
    </row>
    <row r="3862" spans="1:7" x14ac:dyDescent="0.2">
      <c r="A3862" t="s">
        <v>64</v>
      </c>
      <c r="B3862" t="s">
        <v>64</v>
      </c>
      <c r="C3862" s="3" t="s">
        <v>64</v>
      </c>
      <c r="D3862" s="16" t="s">
        <v>64</v>
      </c>
      <c r="E3862" s="16">
        <v>0</v>
      </c>
      <c r="F3862" s="16" t="s">
        <v>64</v>
      </c>
      <c r="G3862" s="16" t="s">
        <v>64</v>
      </c>
    </row>
    <row r="3863" spans="1:7" x14ac:dyDescent="0.2">
      <c r="A3863" t="s">
        <v>64</v>
      </c>
      <c r="B3863" t="s">
        <v>64</v>
      </c>
      <c r="C3863" s="3" t="s">
        <v>64</v>
      </c>
      <c r="D3863" s="16" t="s">
        <v>64</v>
      </c>
      <c r="E3863" s="16">
        <v>0</v>
      </c>
      <c r="F3863" s="16" t="s">
        <v>64</v>
      </c>
      <c r="G3863" s="16" t="s">
        <v>64</v>
      </c>
    </row>
    <row r="3864" spans="1:7" x14ac:dyDescent="0.2">
      <c r="A3864" t="s">
        <v>64</v>
      </c>
      <c r="B3864" t="s">
        <v>64</v>
      </c>
      <c r="C3864" s="3" t="s">
        <v>64</v>
      </c>
      <c r="D3864" s="16" t="s">
        <v>64</v>
      </c>
      <c r="E3864" s="16">
        <v>0</v>
      </c>
      <c r="F3864" s="16" t="s">
        <v>64</v>
      </c>
      <c r="G3864" s="16" t="s">
        <v>64</v>
      </c>
    </row>
    <row r="3865" spans="1:7" x14ac:dyDescent="0.2">
      <c r="A3865" t="s">
        <v>64</v>
      </c>
      <c r="B3865" t="s">
        <v>64</v>
      </c>
      <c r="C3865" s="3" t="s">
        <v>64</v>
      </c>
      <c r="D3865" s="16" t="s">
        <v>64</v>
      </c>
      <c r="E3865" s="16">
        <v>0</v>
      </c>
      <c r="F3865" s="16" t="s">
        <v>64</v>
      </c>
      <c r="G3865" s="16" t="s">
        <v>64</v>
      </c>
    </row>
    <row r="3866" spans="1:7" x14ac:dyDescent="0.2">
      <c r="A3866" t="s">
        <v>64</v>
      </c>
      <c r="B3866" t="s">
        <v>64</v>
      </c>
      <c r="C3866" s="3" t="s">
        <v>64</v>
      </c>
      <c r="D3866" s="16" t="s">
        <v>64</v>
      </c>
      <c r="E3866" s="16">
        <v>0</v>
      </c>
      <c r="F3866" s="16" t="s">
        <v>64</v>
      </c>
      <c r="G3866" s="16" t="s">
        <v>64</v>
      </c>
    </row>
    <row r="3867" spans="1:7" x14ac:dyDescent="0.2">
      <c r="A3867" t="s">
        <v>64</v>
      </c>
      <c r="B3867" t="s">
        <v>64</v>
      </c>
      <c r="C3867" s="3" t="s">
        <v>64</v>
      </c>
      <c r="D3867" s="16" t="s">
        <v>64</v>
      </c>
      <c r="E3867" s="16">
        <v>0</v>
      </c>
      <c r="F3867" s="16" t="s">
        <v>64</v>
      </c>
      <c r="G3867" s="16" t="s">
        <v>64</v>
      </c>
    </row>
    <row r="3868" spans="1:7" x14ac:dyDescent="0.2">
      <c r="A3868" t="s">
        <v>64</v>
      </c>
      <c r="B3868" t="s">
        <v>64</v>
      </c>
      <c r="C3868" s="3" t="s">
        <v>64</v>
      </c>
      <c r="D3868" s="16" t="s">
        <v>64</v>
      </c>
      <c r="E3868" s="16">
        <v>0</v>
      </c>
      <c r="F3868" s="16" t="s">
        <v>64</v>
      </c>
      <c r="G3868" s="16" t="s">
        <v>64</v>
      </c>
    </row>
    <row r="3869" spans="1:7" x14ac:dyDescent="0.2">
      <c r="A3869" t="s">
        <v>64</v>
      </c>
      <c r="B3869" t="s">
        <v>64</v>
      </c>
      <c r="C3869" s="3" t="s">
        <v>64</v>
      </c>
      <c r="D3869" s="16" t="s">
        <v>64</v>
      </c>
      <c r="E3869" s="16">
        <v>0</v>
      </c>
      <c r="F3869" s="16" t="s">
        <v>64</v>
      </c>
      <c r="G3869" s="16" t="s">
        <v>64</v>
      </c>
    </row>
    <row r="3870" spans="1:7" x14ac:dyDescent="0.2">
      <c r="A3870" t="s">
        <v>64</v>
      </c>
      <c r="B3870" t="s">
        <v>64</v>
      </c>
      <c r="C3870" s="3" t="s">
        <v>64</v>
      </c>
      <c r="D3870" s="16" t="s">
        <v>64</v>
      </c>
      <c r="E3870" s="16">
        <v>0</v>
      </c>
      <c r="F3870" s="16" t="s">
        <v>64</v>
      </c>
      <c r="G3870" s="16" t="s">
        <v>64</v>
      </c>
    </row>
    <row r="3871" spans="1:7" x14ac:dyDescent="0.2">
      <c r="A3871" t="s">
        <v>64</v>
      </c>
      <c r="B3871" t="s">
        <v>64</v>
      </c>
      <c r="C3871" s="3" t="s">
        <v>64</v>
      </c>
      <c r="D3871" s="16" t="s">
        <v>64</v>
      </c>
      <c r="E3871" s="16">
        <v>0</v>
      </c>
      <c r="F3871" s="16" t="s">
        <v>64</v>
      </c>
      <c r="G3871" s="16" t="s">
        <v>64</v>
      </c>
    </row>
    <row r="3872" spans="1:7" x14ac:dyDescent="0.2">
      <c r="A3872" t="s">
        <v>64</v>
      </c>
      <c r="B3872" t="s">
        <v>64</v>
      </c>
      <c r="C3872" s="3" t="s">
        <v>64</v>
      </c>
      <c r="D3872" s="16" t="s">
        <v>64</v>
      </c>
      <c r="E3872" s="16">
        <v>0</v>
      </c>
      <c r="F3872" s="16" t="s">
        <v>64</v>
      </c>
      <c r="G3872" s="16" t="s">
        <v>64</v>
      </c>
    </row>
    <row r="3873" spans="1:7" x14ac:dyDescent="0.2">
      <c r="A3873" t="s">
        <v>64</v>
      </c>
      <c r="B3873" t="s">
        <v>64</v>
      </c>
      <c r="C3873" s="3" t="s">
        <v>64</v>
      </c>
      <c r="D3873" s="16" t="s">
        <v>64</v>
      </c>
      <c r="E3873" s="16">
        <v>0</v>
      </c>
      <c r="F3873" s="16" t="s">
        <v>64</v>
      </c>
      <c r="G3873" s="16" t="s">
        <v>64</v>
      </c>
    </row>
    <row r="3874" spans="1:7" x14ac:dyDescent="0.2">
      <c r="A3874" t="s">
        <v>64</v>
      </c>
      <c r="B3874" t="s">
        <v>64</v>
      </c>
      <c r="C3874" s="3" t="s">
        <v>64</v>
      </c>
      <c r="D3874" s="16" t="s">
        <v>64</v>
      </c>
      <c r="E3874" s="16">
        <v>0</v>
      </c>
      <c r="F3874" s="16" t="s">
        <v>64</v>
      </c>
      <c r="G3874" s="16" t="s">
        <v>64</v>
      </c>
    </row>
    <row r="3875" spans="1:7" x14ac:dyDescent="0.2">
      <c r="A3875" t="s">
        <v>64</v>
      </c>
      <c r="B3875" t="s">
        <v>64</v>
      </c>
      <c r="C3875" s="3" t="s">
        <v>64</v>
      </c>
      <c r="D3875" s="16" t="s">
        <v>64</v>
      </c>
      <c r="E3875" s="16">
        <v>0</v>
      </c>
      <c r="F3875" s="16" t="s">
        <v>64</v>
      </c>
      <c r="G3875" s="16" t="s">
        <v>64</v>
      </c>
    </row>
    <row r="3876" spans="1:7" x14ac:dyDescent="0.2">
      <c r="A3876" t="s">
        <v>64</v>
      </c>
      <c r="B3876" t="s">
        <v>64</v>
      </c>
      <c r="C3876" s="3" t="s">
        <v>64</v>
      </c>
      <c r="D3876" s="16" t="s">
        <v>64</v>
      </c>
      <c r="E3876" s="16">
        <v>0</v>
      </c>
      <c r="F3876" s="16" t="s">
        <v>64</v>
      </c>
      <c r="G3876" s="16" t="s">
        <v>64</v>
      </c>
    </row>
    <row r="3877" spans="1:7" x14ac:dyDescent="0.2">
      <c r="A3877" t="s">
        <v>64</v>
      </c>
      <c r="B3877" t="s">
        <v>64</v>
      </c>
      <c r="C3877" s="3" t="s">
        <v>64</v>
      </c>
      <c r="D3877" s="16" t="s">
        <v>64</v>
      </c>
      <c r="E3877" s="16">
        <v>0</v>
      </c>
      <c r="F3877" s="16" t="s">
        <v>64</v>
      </c>
      <c r="G3877" s="16" t="s">
        <v>64</v>
      </c>
    </row>
    <row r="3878" spans="1:7" x14ac:dyDescent="0.2">
      <c r="A3878" t="s">
        <v>64</v>
      </c>
      <c r="B3878" t="s">
        <v>64</v>
      </c>
      <c r="C3878" s="3" t="s">
        <v>64</v>
      </c>
      <c r="D3878" s="16" t="s">
        <v>64</v>
      </c>
      <c r="E3878" s="16">
        <v>0</v>
      </c>
      <c r="F3878" s="16" t="s">
        <v>64</v>
      </c>
      <c r="G3878" s="16" t="s">
        <v>64</v>
      </c>
    </row>
    <row r="3879" spans="1:7" x14ac:dyDescent="0.2">
      <c r="A3879" t="s">
        <v>64</v>
      </c>
      <c r="B3879" t="s">
        <v>64</v>
      </c>
      <c r="C3879" s="3" t="s">
        <v>64</v>
      </c>
      <c r="D3879" s="16" t="s">
        <v>64</v>
      </c>
      <c r="E3879" s="16">
        <v>0</v>
      </c>
      <c r="F3879" s="16" t="s">
        <v>64</v>
      </c>
      <c r="G3879" s="16" t="s">
        <v>64</v>
      </c>
    </row>
    <row r="3880" spans="1:7" x14ac:dyDescent="0.2">
      <c r="A3880" t="s">
        <v>64</v>
      </c>
      <c r="B3880" t="s">
        <v>64</v>
      </c>
      <c r="C3880" s="3" t="s">
        <v>64</v>
      </c>
      <c r="D3880" s="16" t="s">
        <v>64</v>
      </c>
      <c r="E3880" s="16">
        <v>0</v>
      </c>
      <c r="F3880" s="16" t="s">
        <v>64</v>
      </c>
      <c r="G3880" s="16" t="s">
        <v>64</v>
      </c>
    </row>
    <row r="3881" spans="1:7" x14ac:dyDescent="0.2">
      <c r="A3881" t="s">
        <v>64</v>
      </c>
      <c r="B3881" t="s">
        <v>64</v>
      </c>
      <c r="C3881" s="3" t="s">
        <v>64</v>
      </c>
      <c r="D3881" s="16" t="s">
        <v>64</v>
      </c>
      <c r="E3881" s="16">
        <v>0</v>
      </c>
      <c r="F3881" s="16" t="s">
        <v>64</v>
      </c>
      <c r="G3881" s="16" t="s">
        <v>64</v>
      </c>
    </row>
    <row r="3882" spans="1:7" x14ac:dyDescent="0.2">
      <c r="A3882" t="s">
        <v>64</v>
      </c>
      <c r="B3882" t="s">
        <v>64</v>
      </c>
      <c r="C3882" s="3" t="s">
        <v>64</v>
      </c>
      <c r="D3882" s="16" t="s">
        <v>64</v>
      </c>
      <c r="E3882" s="16">
        <v>0</v>
      </c>
      <c r="F3882" s="16" t="s">
        <v>64</v>
      </c>
      <c r="G3882" s="16" t="s">
        <v>64</v>
      </c>
    </row>
    <row r="3883" spans="1:7" x14ac:dyDescent="0.2">
      <c r="A3883" t="s">
        <v>64</v>
      </c>
      <c r="B3883" t="s">
        <v>64</v>
      </c>
      <c r="C3883" s="3" t="s">
        <v>64</v>
      </c>
      <c r="D3883" s="16" t="s">
        <v>64</v>
      </c>
      <c r="E3883" s="16">
        <v>0</v>
      </c>
      <c r="F3883" s="16" t="s">
        <v>64</v>
      </c>
      <c r="G3883" s="16" t="s">
        <v>64</v>
      </c>
    </row>
    <row r="3884" spans="1:7" x14ac:dyDescent="0.2">
      <c r="A3884" t="s">
        <v>64</v>
      </c>
      <c r="B3884" t="s">
        <v>64</v>
      </c>
      <c r="C3884" s="3" t="s">
        <v>64</v>
      </c>
      <c r="D3884" s="16" t="s">
        <v>64</v>
      </c>
      <c r="E3884" s="16">
        <v>0</v>
      </c>
      <c r="F3884" s="16" t="s">
        <v>64</v>
      </c>
      <c r="G3884" s="16" t="s">
        <v>64</v>
      </c>
    </row>
    <row r="3885" spans="1:7" x14ac:dyDescent="0.2">
      <c r="A3885" t="s">
        <v>64</v>
      </c>
      <c r="B3885" t="s">
        <v>64</v>
      </c>
      <c r="C3885" s="3" t="s">
        <v>64</v>
      </c>
      <c r="D3885" s="16" t="s">
        <v>64</v>
      </c>
      <c r="E3885" s="16">
        <v>0</v>
      </c>
      <c r="F3885" s="16" t="s">
        <v>64</v>
      </c>
      <c r="G3885" s="16" t="s">
        <v>64</v>
      </c>
    </row>
    <row r="3886" spans="1:7" x14ac:dyDescent="0.2">
      <c r="A3886" t="s">
        <v>64</v>
      </c>
      <c r="B3886" t="s">
        <v>64</v>
      </c>
      <c r="C3886" s="3" t="s">
        <v>64</v>
      </c>
      <c r="D3886" s="16" t="s">
        <v>64</v>
      </c>
      <c r="E3886" s="16">
        <v>0</v>
      </c>
      <c r="F3886" s="16" t="s">
        <v>64</v>
      </c>
      <c r="G3886" s="16" t="s">
        <v>64</v>
      </c>
    </row>
    <row r="3887" spans="1:7" x14ac:dyDescent="0.2">
      <c r="A3887" t="s">
        <v>64</v>
      </c>
      <c r="B3887" t="s">
        <v>64</v>
      </c>
      <c r="C3887" s="3" t="s">
        <v>64</v>
      </c>
      <c r="D3887" s="16" t="s">
        <v>64</v>
      </c>
      <c r="E3887" s="16">
        <v>0</v>
      </c>
      <c r="F3887" s="16" t="s">
        <v>64</v>
      </c>
      <c r="G3887" s="16" t="s">
        <v>64</v>
      </c>
    </row>
    <row r="3888" spans="1:7" x14ac:dyDescent="0.2">
      <c r="A3888" t="s">
        <v>64</v>
      </c>
      <c r="B3888" t="s">
        <v>64</v>
      </c>
      <c r="C3888" s="3" t="s">
        <v>64</v>
      </c>
      <c r="D3888" s="16" t="s">
        <v>64</v>
      </c>
      <c r="E3888" s="16">
        <v>0</v>
      </c>
      <c r="F3888" s="16" t="s">
        <v>64</v>
      </c>
      <c r="G3888" s="16" t="s">
        <v>64</v>
      </c>
    </row>
    <row r="3889" spans="1:7" x14ac:dyDescent="0.2">
      <c r="A3889" t="s">
        <v>64</v>
      </c>
      <c r="B3889" t="s">
        <v>64</v>
      </c>
      <c r="C3889" s="3" t="s">
        <v>64</v>
      </c>
      <c r="D3889" s="16" t="s">
        <v>64</v>
      </c>
      <c r="E3889" s="16">
        <v>0</v>
      </c>
      <c r="F3889" s="16" t="s">
        <v>64</v>
      </c>
      <c r="G3889" s="16" t="s">
        <v>64</v>
      </c>
    </row>
    <row r="3890" spans="1:7" x14ac:dyDescent="0.2">
      <c r="A3890" t="s">
        <v>64</v>
      </c>
      <c r="B3890" t="s">
        <v>64</v>
      </c>
      <c r="C3890" s="3" t="s">
        <v>64</v>
      </c>
      <c r="D3890" s="16" t="s">
        <v>64</v>
      </c>
      <c r="E3890" s="16">
        <v>0</v>
      </c>
      <c r="F3890" s="16" t="s">
        <v>64</v>
      </c>
      <c r="G3890" s="16" t="s">
        <v>64</v>
      </c>
    </row>
    <row r="3891" spans="1:7" x14ac:dyDescent="0.2">
      <c r="A3891" t="s">
        <v>64</v>
      </c>
      <c r="B3891" t="s">
        <v>64</v>
      </c>
      <c r="C3891" s="3" t="s">
        <v>64</v>
      </c>
      <c r="D3891" s="16" t="s">
        <v>64</v>
      </c>
      <c r="E3891" s="16">
        <v>0</v>
      </c>
      <c r="F3891" s="16" t="s">
        <v>64</v>
      </c>
      <c r="G3891" s="16" t="s">
        <v>64</v>
      </c>
    </row>
    <row r="3892" spans="1:7" x14ac:dyDescent="0.2">
      <c r="A3892" t="s">
        <v>64</v>
      </c>
      <c r="B3892" t="s">
        <v>64</v>
      </c>
      <c r="C3892" s="3" t="s">
        <v>64</v>
      </c>
      <c r="D3892" s="16" t="s">
        <v>64</v>
      </c>
      <c r="E3892" s="16">
        <v>0</v>
      </c>
      <c r="F3892" s="16" t="s">
        <v>64</v>
      </c>
      <c r="G3892" s="16" t="s">
        <v>64</v>
      </c>
    </row>
    <row r="3893" spans="1:7" x14ac:dyDescent="0.2">
      <c r="A3893" t="s">
        <v>64</v>
      </c>
      <c r="B3893" t="s">
        <v>64</v>
      </c>
      <c r="C3893" s="3" t="s">
        <v>64</v>
      </c>
      <c r="D3893" s="16" t="s">
        <v>64</v>
      </c>
      <c r="E3893" s="16">
        <v>0</v>
      </c>
      <c r="F3893" s="16" t="s">
        <v>64</v>
      </c>
      <c r="G3893" s="16" t="s">
        <v>64</v>
      </c>
    </row>
    <row r="3894" spans="1:7" x14ac:dyDescent="0.2">
      <c r="A3894" t="s">
        <v>64</v>
      </c>
      <c r="B3894" t="s">
        <v>64</v>
      </c>
      <c r="C3894" s="3" t="s">
        <v>64</v>
      </c>
      <c r="D3894" s="16" t="s">
        <v>64</v>
      </c>
      <c r="E3894" s="16">
        <v>0</v>
      </c>
      <c r="F3894" s="16" t="s">
        <v>64</v>
      </c>
      <c r="G3894" s="16" t="s">
        <v>64</v>
      </c>
    </row>
    <row r="3895" spans="1:7" x14ac:dyDescent="0.2">
      <c r="A3895" t="s">
        <v>64</v>
      </c>
      <c r="B3895" t="s">
        <v>64</v>
      </c>
      <c r="C3895" s="3" t="s">
        <v>64</v>
      </c>
      <c r="D3895" s="16" t="s">
        <v>64</v>
      </c>
      <c r="E3895" s="16">
        <v>0</v>
      </c>
      <c r="F3895" s="16" t="s">
        <v>64</v>
      </c>
      <c r="G3895" s="16" t="s">
        <v>64</v>
      </c>
    </row>
    <row r="3896" spans="1:7" x14ac:dyDescent="0.2">
      <c r="A3896" t="s">
        <v>64</v>
      </c>
      <c r="B3896" t="s">
        <v>64</v>
      </c>
      <c r="C3896" s="3" t="s">
        <v>64</v>
      </c>
      <c r="D3896" s="16" t="s">
        <v>64</v>
      </c>
      <c r="E3896" s="16">
        <v>0</v>
      </c>
      <c r="F3896" s="16" t="s">
        <v>64</v>
      </c>
      <c r="G3896" s="16" t="s">
        <v>64</v>
      </c>
    </row>
    <row r="3897" spans="1:7" x14ac:dyDescent="0.2">
      <c r="A3897" t="s">
        <v>64</v>
      </c>
      <c r="B3897" t="s">
        <v>64</v>
      </c>
      <c r="C3897" s="3" t="s">
        <v>64</v>
      </c>
      <c r="D3897" s="16" t="s">
        <v>64</v>
      </c>
      <c r="E3897" s="16">
        <v>0</v>
      </c>
      <c r="F3897" s="16" t="s">
        <v>64</v>
      </c>
      <c r="G3897" s="16" t="s">
        <v>64</v>
      </c>
    </row>
    <row r="3898" spans="1:7" x14ac:dyDescent="0.2">
      <c r="A3898" t="s">
        <v>64</v>
      </c>
      <c r="B3898" t="s">
        <v>64</v>
      </c>
      <c r="C3898" s="3" t="s">
        <v>64</v>
      </c>
      <c r="D3898" s="16" t="s">
        <v>64</v>
      </c>
      <c r="E3898" s="16">
        <v>0</v>
      </c>
      <c r="F3898" s="16" t="s">
        <v>64</v>
      </c>
      <c r="G3898" s="16" t="s">
        <v>64</v>
      </c>
    </row>
    <row r="3899" spans="1:7" x14ac:dyDescent="0.2">
      <c r="A3899" t="s">
        <v>64</v>
      </c>
      <c r="B3899" t="s">
        <v>64</v>
      </c>
      <c r="C3899" s="3" t="s">
        <v>64</v>
      </c>
      <c r="D3899" s="16" t="s">
        <v>64</v>
      </c>
      <c r="E3899" s="16">
        <v>0</v>
      </c>
      <c r="F3899" s="16" t="s">
        <v>64</v>
      </c>
      <c r="G3899" s="16" t="s">
        <v>64</v>
      </c>
    </row>
    <row r="3900" spans="1:7" x14ac:dyDescent="0.2">
      <c r="A3900" t="s">
        <v>64</v>
      </c>
      <c r="B3900" t="s">
        <v>64</v>
      </c>
      <c r="C3900" s="3" t="s">
        <v>64</v>
      </c>
      <c r="D3900" s="16" t="s">
        <v>64</v>
      </c>
      <c r="E3900" s="16">
        <v>0</v>
      </c>
      <c r="F3900" s="16" t="s">
        <v>64</v>
      </c>
      <c r="G3900" s="16" t="s">
        <v>64</v>
      </c>
    </row>
    <row r="3901" spans="1:7" x14ac:dyDescent="0.2">
      <c r="A3901" t="s">
        <v>64</v>
      </c>
      <c r="B3901" t="s">
        <v>64</v>
      </c>
      <c r="C3901" s="3" t="s">
        <v>64</v>
      </c>
      <c r="D3901" s="16" t="s">
        <v>64</v>
      </c>
      <c r="E3901" s="16">
        <v>0</v>
      </c>
      <c r="F3901" s="16" t="s">
        <v>64</v>
      </c>
      <c r="G3901" s="16" t="s">
        <v>64</v>
      </c>
    </row>
    <row r="3902" spans="1:7" x14ac:dyDescent="0.2">
      <c r="A3902" t="s">
        <v>64</v>
      </c>
      <c r="B3902" t="s">
        <v>64</v>
      </c>
      <c r="C3902" s="3" t="s">
        <v>64</v>
      </c>
      <c r="D3902" s="16" t="s">
        <v>64</v>
      </c>
      <c r="E3902" s="16">
        <v>0</v>
      </c>
      <c r="F3902" s="16" t="s">
        <v>64</v>
      </c>
      <c r="G3902" s="16" t="s">
        <v>64</v>
      </c>
    </row>
    <row r="3903" spans="1:7" x14ac:dyDescent="0.2">
      <c r="A3903" t="s">
        <v>64</v>
      </c>
      <c r="B3903" t="s">
        <v>64</v>
      </c>
      <c r="C3903" s="3" t="s">
        <v>64</v>
      </c>
      <c r="D3903" s="16" t="s">
        <v>64</v>
      </c>
      <c r="E3903" s="16">
        <v>0</v>
      </c>
      <c r="F3903" s="16" t="s">
        <v>64</v>
      </c>
      <c r="G3903" s="16" t="s">
        <v>64</v>
      </c>
    </row>
    <row r="3904" spans="1:7" x14ac:dyDescent="0.2">
      <c r="A3904" t="s">
        <v>64</v>
      </c>
      <c r="B3904" t="s">
        <v>64</v>
      </c>
      <c r="C3904" s="3" t="s">
        <v>64</v>
      </c>
      <c r="D3904" s="16" t="s">
        <v>64</v>
      </c>
      <c r="E3904" s="16">
        <v>0</v>
      </c>
      <c r="F3904" s="16" t="s">
        <v>64</v>
      </c>
      <c r="G3904" s="16" t="s">
        <v>64</v>
      </c>
    </row>
    <row r="3905" spans="1:7" x14ac:dyDescent="0.2">
      <c r="A3905" t="s">
        <v>64</v>
      </c>
      <c r="B3905" t="s">
        <v>64</v>
      </c>
      <c r="C3905" s="3" t="s">
        <v>64</v>
      </c>
      <c r="D3905" s="16" t="s">
        <v>64</v>
      </c>
      <c r="E3905" s="16">
        <v>0</v>
      </c>
      <c r="F3905" s="16" t="s">
        <v>64</v>
      </c>
      <c r="G3905" s="16" t="s">
        <v>64</v>
      </c>
    </row>
    <row r="3906" spans="1:7" x14ac:dyDescent="0.2">
      <c r="A3906" t="s">
        <v>64</v>
      </c>
      <c r="B3906" t="s">
        <v>64</v>
      </c>
      <c r="C3906" s="3" t="s">
        <v>64</v>
      </c>
      <c r="D3906" s="16" t="s">
        <v>64</v>
      </c>
      <c r="E3906" s="16">
        <v>0</v>
      </c>
      <c r="F3906" s="16" t="s">
        <v>64</v>
      </c>
      <c r="G3906" s="16" t="s">
        <v>64</v>
      </c>
    </row>
    <row r="3907" spans="1:7" x14ac:dyDescent="0.2">
      <c r="A3907" t="s">
        <v>64</v>
      </c>
      <c r="B3907" t="s">
        <v>64</v>
      </c>
      <c r="C3907" s="3" t="s">
        <v>64</v>
      </c>
      <c r="D3907" s="16" t="s">
        <v>64</v>
      </c>
      <c r="E3907" s="16">
        <v>0</v>
      </c>
      <c r="F3907" s="16" t="s">
        <v>64</v>
      </c>
      <c r="G3907" s="16" t="s">
        <v>64</v>
      </c>
    </row>
    <row r="3908" spans="1:7" x14ac:dyDescent="0.2">
      <c r="A3908" t="s">
        <v>64</v>
      </c>
      <c r="B3908" t="s">
        <v>64</v>
      </c>
      <c r="C3908" s="3" t="s">
        <v>64</v>
      </c>
      <c r="D3908" s="16" t="s">
        <v>64</v>
      </c>
      <c r="E3908" s="16">
        <v>0</v>
      </c>
      <c r="F3908" s="16" t="s">
        <v>64</v>
      </c>
      <c r="G3908" s="16" t="s">
        <v>64</v>
      </c>
    </row>
    <row r="3909" spans="1:7" x14ac:dyDescent="0.2">
      <c r="A3909" t="s">
        <v>64</v>
      </c>
      <c r="B3909" t="s">
        <v>64</v>
      </c>
      <c r="C3909" s="3" t="s">
        <v>64</v>
      </c>
      <c r="D3909" s="16" t="s">
        <v>64</v>
      </c>
      <c r="E3909" s="16">
        <v>0</v>
      </c>
      <c r="F3909" s="16" t="s">
        <v>64</v>
      </c>
      <c r="G3909" s="16" t="s">
        <v>64</v>
      </c>
    </row>
    <row r="3910" spans="1:7" x14ac:dyDescent="0.2">
      <c r="A3910" t="s">
        <v>64</v>
      </c>
      <c r="B3910" t="s">
        <v>64</v>
      </c>
      <c r="C3910" s="3" t="s">
        <v>64</v>
      </c>
      <c r="D3910" s="16" t="s">
        <v>64</v>
      </c>
      <c r="E3910" s="16">
        <v>0</v>
      </c>
      <c r="F3910" s="16" t="s">
        <v>64</v>
      </c>
      <c r="G3910" s="16" t="s">
        <v>64</v>
      </c>
    </row>
    <row r="3911" spans="1:7" x14ac:dyDescent="0.2">
      <c r="A3911" t="s">
        <v>64</v>
      </c>
      <c r="B3911" t="s">
        <v>64</v>
      </c>
      <c r="C3911" s="3" t="s">
        <v>64</v>
      </c>
      <c r="D3911" s="16" t="s">
        <v>64</v>
      </c>
      <c r="E3911" s="16">
        <v>0</v>
      </c>
      <c r="F3911" s="16" t="s">
        <v>64</v>
      </c>
      <c r="G3911" s="16" t="s">
        <v>64</v>
      </c>
    </row>
    <row r="3912" spans="1:7" x14ac:dyDescent="0.2">
      <c r="A3912" t="s">
        <v>64</v>
      </c>
      <c r="B3912" t="s">
        <v>64</v>
      </c>
      <c r="C3912" s="3" t="s">
        <v>64</v>
      </c>
      <c r="D3912" s="16" t="s">
        <v>64</v>
      </c>
      <c r="E3912" s="16">
        <v>0</v>
      </c>
      <c r="F3912" s="16" t="s">
        <v>64</v>
      </c>
      <c r="G3912" s="16" t="s">
        <v>64</v>
      </c>
    </row>
    <row r="3913" spans="1:7" x14ac:dyDescent="0.2">
      <c r="A3913" t="s">
        <v>64</v>
      </c>
      <c r="B3913" t="s">
        <v>64</v>
      </c>
      <c r="C3913" s="3" t="s">
        <v>64</v>
      </c>
      <c r="D3913" s="16" t="s">
        <v>64</v>
      </c>
      <c r="E3913" s="16">
        <v>0</v>
      </c>
      <c r="F3913" s="16" t="s">
        <v>64</v>
      </c>
      <c r="G3913" s="16" t="s">
        <v>64</v>
      </c>
    </row>
    <row r="3914" spans="1:7" x14ac:dyDescent="0.2">
      <c r="A3914" t="s">
        <v>64</v>
      </c>
      <c r="B3914" t="s">
        <v>64</v>
      </c>
      <c r="C3914" s="3" t="s">
        <v>64</v>
      </c>
      <c r="D3914" s="16" t="s">
        <v>64</v>
      </c>
      <c r="E3914" s="16">
        <v>0</v>
      </c>
      <c r="F3914" s="16" t="s">
        <v>64</v>
      </c>
      <c r="G3914" s="16" t="s">
        <v>64</v>
      </c>
    </row>
    <row r="3915" spans="1:7" x14ac:dyDescent="0.2">
      <c r="A3915" t="s">
        <v>64</v>
      </c>
      <c r="B3915" t="s">
        <v>64</v>
      </c>
      <c r="C3915" s="3" t="s">
        <v>64</v>
      </c>
      <c r="D3915" s="16" t="s">
        <v>64</v>
      </c>
      <c r="E3915" s="16">
        <v>0</v>
      </c>
      <c r="F3915" s="16" t="s">
        <v>64</v>
      </c>
      <c r="G3915" s="16" t="s">
        <v>64</v>
      </c>
    </row>
    <row r="3916" spans="1:7" x14ac:dyDescent="0.2">
      <c r="A3916" t="s">
        <v>64</v>
      </c>
      <c r="B3916" t="s">
        <v>64</v>
      </c>
      <c r="C3916" s="3" t="s">
        <v>64</v>
      </c>
      <c r="D3916" s="16" t="s">
        <v>64</v>
      </c>
      <c r="E3916" s="16">
        <v>0</v>
      </c>
      <c r="F3916" s="16" t="s">
        <v>64</v>
      </c>
      <c r="G3916" s="16" t="s">
        <v>64</v>
      </c>
    </row>
    <row r="3917" spans="1:7" x14ac:dyDescent="0.2">
      <c r="A3917" t="s">
        <v>64</v>
      </c>
      <c r="B3917" t="s">
        <v>64</v>
      </c>
      <c r="C3917" s="3" t="s">
        <v>64</v>
      </c>
      <c r="D3917" s="16" t="s">
        <v>64</v>
      </c>
      <c r="E3917" s="16">
        <v>0</v>
      </c>
      <c r="F3917" s="16" t="s">
        <v>64</v>
      </c>
      <c r="G3917" s="16" t="s">
        <v>64</v>
      </c>
    </row>
    <row r="3918" spans="1:7" x14ac:dyDescent="0.2">
      <c r="A3918" t="s">
        <v>64</v>
      </c>
      <c r="B3918" t="s">
        <v>64</v>
      </c>
      <c r="C3918" s="3" t="s">
        <v>64</v>
      </c>
      <c r="D3918" s="16" t="s">
        <v>64</v>
      </c>
      <c r="E3918" s="16">
        <v>0</v>
      </c>
      <c r="F3918" s="16" t="s">
        <v>64</v>
      </c>
      <c r="G3918" s="16" t="s">
        <v>64</v>
      </c>
    </row>
    <row r="3919" spans="1:7" x14ac:dyDescent="0.2">
      <c r="A3919" t="s">
        <v>64</v>
      </c>
      <c r="B3919" t="s">
        <v>64</v>
      </c>
      <c r="C3919" s="3" t="s">
        <v>64</v>
      </c>
      <c r="D3919" s="16" t="s">
        <v>64</v>
      </c>
      <c r="E3919" s="16">
        <v>0</v>
      </c>
      <c r="F3919" s="16" t="s">
        <v>64</v>
      </c>
      <c r="G3919" s="16" t="s">
        <v>64</v>
      </c>
    </row>
    <row r="3920" spans="1:7" x14ac:dyDescent="0.2">
      <c r="A3920" t="s">
        <v>64</v>
      </c>
      <c r="B3920" t="s">
        <v>64</v>
      </c>
      <c r="C3920" s="3" t="s">
        <v>64</v>
      </c>
      <c r="D3920" s="16" t="s">
        <v>64</v>
      </c>
      <c r="E3920" s="16">
        <v>0</v>
      </c>
      <c r="F3920" s="16" t="s">
        <v>64</v>
      </c>
      <c r="G3920" s="16" t="s">
        <v>64</v>
      </c>
    </row>
    <row r="3921" spans="1:7" x14ac:dyDescent="0.2">
      <c r="A3921" t="s">
        <v>64</v>
      </c>
      <c r="B3921" t="s">
        <v>64</v>
      </c>
      <c r="C3921" s="3" t="s">
        <v>64</v>
      </c>
      <c r="D3921" s="16" t="s">
        <v>64</v>
      </c>
      <c r="E3921" s="16">
        <v>0</v>
      </c>
      <c r="F3921" s="16" t="s">
        <v>64</v>
      </c>
      <c r="G3921" s="16" t="s">
        <v>64</v>
      </c>
    </row>
    <row r="3922" spans="1:7" x14ac:dyDescent="0.2">
      <c r="A3922" t="s">
        <v>64</v>
      </c>
      <c r="B3922" t="s">
        <v>64</v>
      </c>
      <c r="C3922" s="3" t="s">
        <v>64</v>
      </c>
      <c r="D3922" s="16" t="s">
        <v>64</v>
      </c>
      <c r="E3922" s="16">
        <v>0</v>
      </c>
      <c r="F3922" s="16" t="s">
        <v>64</v>
      </c>
      <c r="G3922" s="16" t="s">
        <v>64</v>
      </c>
    </row>
    <row r="3923" spans="1:7" x14ac:dyDescent="0.2">
      <c r="A3923" t="s">
        <v>64</v>
      </c>
      <c r="B3923" t="s">
        <v>64</v>
      </c>
      <c r="C3923" s="3" t="s">
        <v>64</v>
      </c>
      <c r="D3923" s="16" t="s">
        <v>64</v>
      </c>
      <c r="E3923" s="16">
        <v>0</v>
      </c>
      <c r="F3923" s="16" t="s">
        <v>64</v>
      </c>
      <c r="G3923" s="16" t="s">
        <v>64</v>
      </c>
    </row>
    <row r="3924" spans="1:7" x14ac:dyDescent="0.2">
      <c r="A3924" t="s">
        <v>64</v>
      </c>
      <c r="B3924" t="s">
        <v>64</v>
      </c>
      <c r="C3924" s="3" t="s">
        <v>64</v>
      </c>
      <c r="D3924" s="16" t="s">
        <v>64</v>
      </c>
      <c r="E3924" s="16">
        <v>0</v>
      </c>
      <c r="F3924" s="16" t="s">
        <v>64</v>
      </c>
      <c r="G3924" s="16" t="s">
        <v>64</v>
      </c>
    </row>
    <row r="3925" spans="1:7" x14ac:dyDescent="0.2">
      <c r="A3925" t="s">
        <v>64</v>
      </c>
      <c r="B3925" t="s">
        <v>64</v>
      </c>
      <c r="C3925" s="3" t="s">
        <v>64</v>
      </c>
      <c r="D3925" s="16" t="s">
        <v>64</v>
      </c>
      <c r="E3925" s="16">
        <v>0</v>
      </c>
      <c r="F3925" s="16" t="s">
        <v>64</v>
      </c>
      <c r="G3925" s="16" t="s">
        <v>64</v>
      </c>
    </row>
    <row r="3926" spans="1:7" x14ac:dyDescent="0.2">
      <c r="A3926" t="s">
        <v>64</v>
      </c>
      <c r="B3926" t="s">
        <v>64</v>
      </c>
      <c r="C3926" s="3" t="s">
        <v>64</v>
      </c>
      <c r="D3926" s="16" t="s">
        <v>64</v>
      </c>
      <c r="E3926" s="16">
        <v>0</v>
      </c>
      <c r="F3926" s="16" t="s">
        <v>64</v>
      </c>
      <c r="G3926" s="16" t="s">
        <v>64</v>
      </c>
    </row>
    <row r="3927" spans="1:7" x14ac:dyDescent="0.2">
      <c r="A3927" t="s">
        <v>64</v>
      </c>
      <c r="B3927" t="s">
        <v>64</v>
      </c>
      <c r="C3927" s="3" t="s">
        <v>64</v>
      </c>
      <c r="D3927" s="16" t="s">
        <v>64</v>
      </c>
      <c r="E3927" s="16">
        <v>0</v>
      </c>
      <c r="F3927" s="16" t="s">
        <v>64</v>
      </c>
      <c r="G3927" s="16" t="s">
        <v>64</v>
      </c>
    </row>
    <row r="3928" spans="1:7" x14ac:dyDescent="0.2">
      <c r="A3928" t="s">
        <v>64</v>
      </c>
      <c r="B3928" t="s">
        <v>64</v>
      </c>
      <c r="C3928" s="3" t="s">
        <v>64</v>
      </c>
      <c r="D3928" s="16" t="s">
        <v>64</v>
      </c>
      <c r="E3928" s="16">
        <v>0</v>
      </c>
      <c r="F3928" s="16" t="s">
        <v>64</v>
      </c>
      <c r="G3928" s="16" t="s">
        <v>64</v>
      </c>
    </row>
    <row r="3929" spans="1:7" x14ac:dyDescent="0.2">
      <c r="A3929" t="s">
        <v>64</v>
      </c>
      <c r="B3929" t="s">
        <v>64</v>
      </c>
      <c r="C3929" s="3" t="s">
        <v>64</v>
      </c>
      <c r="D3929" s="16" t="s">
        <v>64</v>
      </c>
      <c r="E3929" s="16">
        <v>0</v>
      </c>
      <c r="F3929" s="16" t="s">
        <v>64</v>
      </c>
      <c r="G3929" s="16" t="s">
        <v>64</v>
      </c>
    </row>
    <row r="3930" spans="1:7" x14ac:dyDescent="0.2">
      <c r="A3930" t="s">
        <v>64</v>
      </c>
      <c r="B3930" t="s">
        <v>64</v>
      </c>
      <c r="C3930" s="3" t="s">
        <v>64</v>
      </c>
      <c r="D3930" s="16" t="s">
        <v>64</v>
      </c>
      <c r="E3930" s="16">
        <v>0</v>
      </c>
      <c r="F3930" s="16" t="s">
        <v>64</v>
      </c>
      <c r="G3930" s="16" t="s">
        <v>64</v>
      </c>
    </row>
    <row r="3931" spans="1:7" x14ac:dyDescent="0.2">
      <c r="A3931" t="s">
        <v>64</v>
      </c>
      <c r="B3931" t="s">
        <v>64</v>
      </c>
      <c r="C3931" s="3" t="s">
        <v>64</v>
      </c>
      <c r="D3931" s="16" t="s">
        <v>64</v>
      </c>
      <c r="E3931" s="16">
        <v>0</v>
      </c>
      <c r="F3931" s="16" t="s">
        <v>64</v>
      </c>
      <c r="G3931" s="16" t="s">
        <v>64</v>
      </c>
    </row>
    <row r="3932" spans="1:7" x14ac:dyDescent="0.2">
      <c r="A3932" t="s">
        <v>64</v>
      </c>
      <c r="B3932" t="s">
        <v>64</v>
      </c>
      <c r="C3932" s="3" t="s">
        <v>64</v>
      </c>
      <c r="D3932" s="16" t="s">
        <v>64</v>
      </c>
      <c r="E3932" s="16">
        <v>0</v>
      </c>
      <c r="F3932" s="16" t="s">
        <v>64</v>
      </c>
      <c r="G3932" s="16" t="s">
        <v>64</v>
      </c>
    </row>
    <row r="3933" spans="1:7" x14ac:dyDescent="0.2">
      <c r="A3933" t="s">
        <v>64</v>
      </c>
      <c r="B3933" t="s">
        <v>64</v>
      </c>
      <c r="C3933" s="3" t="s">
        <v>64</v>
      </c>
      <c r="D3933" s="16" t="s">
        <v>64</v>
      </c>
      <c r="E3933" s="16">
        <v>0</v>
      </c>
      <c r="F3933" s="16" t="s">
        <v>64</v>
      </c>
      <c r="G3933" s="16" t="s">
        <v>64</v>
      </c>
    </row>
    <row r="3934" spans="1:7" x14ac:dyDescent="0.2">
      <c r="A3934" t="s">
        <v>64</v>
      </c>
      <c r="B3934" t="s">
        <v>64</v>
      </c>
      <c r="C3934" s="3" t="s">
        <v>64</v>
      </c>
      <c r="D3934" s="16" t="s">
        <v>64</v>
      </c>
      <c r="E3934" s="16">
        <v>0</v>
      </c>
      <c r="F3934" s="16" t="s">
        <v>64</v>
      </c>
      <c r="G3934" s="16" t="s">
        <v>64</v>
      </c>
    </row>
    <row r="3935" spans="1:7" x14ac:dyDescent="0.2">
      <c r="A3935" t="s">
        <v>64</v>
      </c>
      <c r="B3935" t="s">
        <v>64</v>
      </c>
      <c r="C3935" s="3" t="s">
        <v>64</v>
      </c>
      <c r="D3935" s="16" t="s">
        <v>64</v>
      </c>
      <c r="E3935" s="16">
        <v>0</v>
      </c>
      <c r="F3935" s="16" t="s">
        <v>64</v>
      </c>
      <c r="G3935" s="16" t="s">
        <v>64</v>
      </c>
    </row>
    <row r="3936" spans="1:7" x14ac:dyDescent="0.2">
      <c r="A3936" t="s">
        <v>64</v>
      </c>
      <c r="B3936" t="s">
        <v>64</v>
      </c>
      <c r="C3936" s="3" t="s">
        <v>64</v>
      </c>
      <c r="D3936" s="16" t="s">
        <v>64</v>
      </c>
      <c r="E3936" s="16">
        <v>0</v>
      </c>
      <c r="F3936" s="16" t="s">
        <v>64</v>
      </c>
      <c r="G3936" s="16" t="s">
        <v>64</v>
      </c>
    </row>
    <row r="3937" spans="1:7" x14ac:dyDescent="0.2">
      <c r="A3937" t="s">
        <v>64</v>
      </c>
      <c r="B3937" t="s">
        <v>64</v>
      </c>
      <c r="C3937" s="3" t="s">
        <v>64</v>
      </c>
      <c r="D3937" s="16" t="s">
        <v>64</v>
      </c>
      <c r="E3937" s="16">
        <v>0</v>
      </c>
      <c r="F3937" s="16" t="s">
        <v>64</v>
      </c>
      <c r="G3937" s="16" t="s">
        <v>64</v>
      </c>
    </row>
    <row r="3938" spans="1:7" x14ac:dyDescent="0.2">
      <c r="A3938" t="s">
        <v>64</v>
      </c>
      <c r="B3938" t="s">
        <v>64</v>
      </c>
      <c r="C3938" s="3" t="s">
        <v>64</v>
      </c>
      <c r="D3938" s="16" t="s">
        <v>64</v>
      </c>
      <c r="E3938" s="16">
        <v>0</v>
      </c>
      <c r="F3938" s="16" t="s">
        <v>64</v>
      </c>
      <c r="G3938" s="16" t="s">
        <v>64</v>
      </c>
    </row>
    <row r="3939" spans="1:7" x14ac:dyDescent="0.2">
      <c r="A3939" t="s">
        <v>64</v>
      </c>
      <c r="B3939" t="s">
        <v>64</v>
      </c>
      <c r="C3939" s="3" t="s">
        <v>64</v>
      </c>
      <c r="D3939" s="16" t="s">
        <v>64</v>
      </c>
      <c r="E3939" s="16">
        <v>0</v>
      </c>
      <c r="F3939" s="16" t="s">
        <v>64</v>
      </c>
      <c r="G3939" s="16" t="s">
        <v>64</v>
      </c>
    </row>
    <row r="3940" spans="1:7" x14ac:dyDescent="0.2">
      <c r="A3940" t="s">
        <v>64</v>
      </c>
      <c r="B3940" t="s">
        <v>64</v>
      </c>
      <c r="C3940" s="3" t="s">
        <v>64</v>
      </c>
      <c r="D3940" s="16" t="s">
        <v>64</v>
      </c>
      <c r="E3940" s="16">
        <v>0</v>
      </c>
      <c r="F3940" s="16" t="s">
        <v>64</v>
      </c>
      <c r="G3940" s="16" t="s">
        <v>64</v>
      </c>
    </row>
    <row r="3941" spans="1:7" x14ac:dyDescent="0.2">
      <c r="A3941" t="s">
        <v>64</v>
      </c>
      <c r="B3941" t="s">
        <v>64</v>
      </c>
      <c r="C3941" s="3" t="s">
        <v>64</v>
      </c>
      <c r="D3941" s="16" t="s">
        <v>64</v>
      </c>
      <c r="E3941" s="16">
        <v>0</v>
      </c>
      <c r="F3941" s="16" t="s">
        <v>64</v>
      </c>
      <c r="G3941" s="16" t="s">
        <v>64</v>
      </c>
    </row>
    <row r="3942" spans="1:7" x14ac:dyDescent="0.2">
      <c r="A3942" t="s">
        <v>64</v>
      </c>
      <c r="B3942" t="s">
        <v>64</v>
      </c>
      <c r="C3942" s="3" t="s">
        <v>64</v>
      </c>
      <c r="D3942" s="16" t="s">
        <v>64</v>
      </c>
      <c r="E3942" s="16">
        <v>0</v>
      </c>
      <c r="F3942" s="16" t="s">
        <v>64</v>
      </c>
      <c r="G3942" s="16" t="s">
        <v>64</v>
      </c>
    </row>
    <row r="3943" spans="1:7" x14ac:dyDescent="0.2">
      <c r="A3943" t="s">
        <v>64</v>
      </c>
      <c r="B3943" t="s">
        <v>64</v>
      </c>
      <c r="C3943" s="3" t="s">
        <v>64</v>
      </c>
      <c r="D3943" s="16" t="s">
        <v>64</v>
      </c>
      <c r="E3943" s="16">
        <v>0</v>
      </c>
      <c r="F3943" s="16" t="s">
        <v>64</v>
      </c>
      <c r="G3943" s="16" t="s">
        <v>64</v>
      </c>
    </row>
    <row r="3944" spans="1:7" x14ac:dyDescent="0.2">
      <c r="A3944" t="s">
        <v>64</v>
      </c>
      <c r="B3944" t="s">
        <v>64</v>
      </c>
      <c r="C3944" s="3" t="s">
        <v>64</v>
      </c>
      <c r="D3944" s="16" t="s">
        <v>64</v>
      </c>
      <c r="E3944" s="16">
        <v>0</v>
      </c>
      <c r="F3944" s="16" t="s">
        <v>64</v>
      </c>
      <c r="G3944" s="16" t="s">
        <v>64</v>
      </c>
    </row>
    <row r="3945" spans="1:7" x14ac:dyDescent="0.2">
      <c r="A3945" t="s">
        <v>64</v>
      </c>
      <c r="B3945" t="s">
        <v>64</v>
      </c>
      <c r="C3945" s="3" t="s">
        <v>64</v>
      </c>
      <c r="D3945" s="16" t="s">
        <v>64</v>
      </c>
      <c r="E3945" s="16">
        <v>0</v>
      </c>
      <c r="F3945" s="16" t="s">
        <v>64</v>
      </c>
      <c r="G3945" s="16" t="s">
        <v>64</v>
      </c>
    </row>
    <row r="3946" spans="1:7" x14ac:dyDescent="0.2">
      <c r="A3946" t="s">
        <v>64</v>
      </c>
      <c r="B3946" t="s">
        <v>64</v>
      </c>
      <c r="C3946" s="3" t="s">
        <v>64</v>
      </c>
      <c r="D3946" s="16" t="s">
        <v>64</v>
      </c>
      <c r="E3946" s="16">
        <v>0</v>
      </c>
      <c r="F3946" s="16" t="s">
        <v>64</v>
      </c>
      <c r="G3946" s="16" t="s">
        <v>64</v>
      </c>
    </row>
    <row r="3947" spans="1:7" x14ac:dyDescent="0.2">
      <c r="A3947" t="s">
        <v>64</v>
      </c>
      <c r="B3947" t="s">
        <v>64</v>
      </c>
      <c r="C3947" s="3" t="s">
        <v>64</v>
      </c>
      <c r="D3947" s="16" t="s">
        <v>64</v>
      </c>
      <c r="E3947" s="16">
        <v>0</v>
      </c>
      <c r="F3947" s="16" t="s">
        <v>64</v>
      </c>
      <c r="G3947" s="16" t="s">
        <v>64</v>
      </c>
    </row>
    <row r="3948" spans="1:7" x14ac:dyDescent="0.2">
      <c r="A3948" t="s">
        <v>64</v>
      </c>
      <c r="B3948" t="s">
        <v>64</v>
      </c>
      <c r="C3948" s="3" t="s">
        <v>64</v>
      </c>
      <c r="D3948" s="16" t="s">
        <v>64</v>
      </c>
      <c r="E3948" s="16">
        <v>0</v>
      </c>
      <c r="F3948" s="16" t="s">
        <v>64</v>
      </c>
      <c r="G3948" s="16" t="s">
        <v>64</v>
      </c>
    </row>
    <row r="3949" spans="1:7" x14ac:dyDescent="0.2">
      <c r="A3949" t="s">
        <v>64</v>
      </c>
      <c r="B3949" t="s">
        <v>64</v>
      </c>
      <c r="C3949" s="3" t="s">
        <v>64</v>
      </c>
      <c r="D3949" s="16" t="s">
        <v>64</v>
      </c>
      <c r="E3949" s="16">
        <v>0</v>
      </c>
      <c r="F3949" s="16" t="s">
        <v>64</v>
      </c>
      <c r="G3949" s="16" t="s">
        <v>64</v>
      </c>
    </row>
    <row r="3950" spans="1:7" x14ac:dyDescent="0.2">
      <c r="A3950" t="s">
        <v>64</v>
      </c>
      <c r="B3950" t="s">
        <v>64</v>
      </c>
      <c r="C3950" s="3" t="s">
        <v>64</v>
      </c>
      <c r="D3950" s="16" t="s">
        <v>64</v>
      </c>
      <c r="E3950" s="16">
        <v>0</v>
      </c>
      <c r="F3950" s="16" t="s">
        <v>64</v>
      </c>
      <c r="G3950" s="16" t="s">
        <v>64</v>
      </c>
    </row>
    <row r="3951" spans="1:7" x14ac:dyDescent="0.2">
      <c r="A3951" t="s">
        <v>64</v>
      </c>
      <c r="B3951" t="s">
        <v>64</v>
      </c>
      <c r="C3951" s="3" t="s">
        <v>64</v>
      </c>
      <c r="D3951" s="16" t="s">
        <v>64</v>
      </c>
      <c r="E3951" s="16">
        <v>0</v>
      </c>
      <c r="F3951" s="16" t="s">
        <v>64</v>
      </c>
      <c r="G3951" s="16" t="s">
        <v>64</v>
      </c>
    </row>
    <row r="3952" spans="1:7" x14ac:dyDescent="0.2">
      <c r="A3952" t="s">
        <v>64</v>
      </c>
      <c r="B3952" t="s">
        <v>64</v>
      </c>
      <c r="C3952" s="3" t="s">
        <v>64</v>
      </c>
      <c r="D3952" s="16" t="s">
        <v>64</v>
      </c>
      <c r="E3952" s="16">
        <v>0</v>
      </c>
      <c r="F3952" s="16" t="s">
        <v>64</v>
      </c>
      <c r="G3952" s="16" t="s">
        <v>64</v>
      </c>
    </row>
    <row r="3953" spans="1:7" x14ac:dyDescent="0.2">
      <c r="A3953" t="s">
        <v>64</v>
      </c>
      <c r="B3953" t="s">
        <v>64</v>
      </c>
      <c r="C3953" s="3" t="s">
        <v>64</v>
      </c>
      <c r="D3953" s="16" t="s">
        <v>64</v>
      </c>
      <c r="E3953" s="16">
        <v>0</v>
      </c>
      <c r="F3953" s="16" t="s">
        <v>64</v>
      </c>
      <c r="G3953" s="16" t="s">
        <v>64</v>
      </c>
    </row>
    <row r="3954" spans="1:7" x14ac:dyDescent="0.2">
      <c r="A3954" t="s">
        <v>64</v>
      </c>
      <c r="B3954" t="s">
        <v>64</v>
      </c>
      <c r="C3954" s="3" t="s">
        <v>64</v>
      </c>
      <c r="D3954" s="16" t="s">
        <v>64</v>
      </c>
      <c r="E3954" s="16">
        <v>0</v>
      </c>
      <c r="F3954" s="16" t="s">
        <v>64</v>
      </c>
      <c r="G3954" s="16" t="s">
        <v>64</v>
      </c>
    </row>
    <row r="3955" spans="1:7" x14ac:dyDescent="0.2">
      <c r="A3955" t="s">
        <v>64</v>
      </c>
      <c r="B3955" t="s">
        <v>64</v>
      </c>
      <c r="C3955" s="3" t="s">
        <v>64</v>
      </c>
      <c r="D3955" s="16" t="s">
        <v>64</v>
      </c>
      <c r="E3955" s="16">
        <v>0</v>
      </c>
      <c r="F3955" s="16" t="s">
        <v>64</v>
      </c>
      <c r="G3955" s="16" t="s">
        <v>64</v>
      </c>
    </row>
    <row r="3956" spans="1:7" x14ac:dyDescent="0.2">
      <c r="A3956" t="s">
        <v>64</v>
      </c>
      <c r="B3956" t="s">
        <v>64</v>
      </c>
      <c r="C3956" s="3" t="s">
        <v>64</v>
      </c>
      <c r="D3956" s="16" t="s">
        <v>64</v>
      </c>
      <c r="E3956" s="16">
        <v>0</v>
      </c>
      <c r="F3956" s="16" t="s">
        <v>64</v>
      </c>
      <c r="G3956" s="16" t="s">
        <v>64</v>
      </c>
    </row>
    <row r="3957" spans="1:7" x14ac:dyDescent="0.2">
      <c r="A3957" t="s">
        <v>64</v>
      </c>
      <c r="B3957" t="s">
        <v>64</v>
      </c>
      <c r="C3957" s="3" t="s">
        <v>64</v>
      </c>
      <c r="D3957" s="16" t="s">
        <v>64</v>
      </c>
      <c r="E3957" s="16">
        <v>0</v>
      </c>
      <c r="F3957" s="16" t="s">
        <v>64</v>
      </c>
      <c r="G3957" s="16" t="s">
        <v>64</v>
      </c>
    </row>
    <row r="3958" spans="1:7" x14ac:dyDescent="0.2">
      <c r="A3958" t="s">
        <v>64</v>
      </c>
      <c r="B3958" t="s">
        <v>64</v>
      </c>
      <c r="C3958" s="3" t="s">
        <v>64</v>
      </c>
      <c r="D3958" s="16" t="s">
        <v>64</v>
      </c>
      <c r="E3958" s="16">
        <v>0</v>
      </c>
      <c r="F3958" s="16" t="s">
        <v>64</v>
      </c>
      <c r="G3958" s="16" t="s">
        <v>64</v>
      </c>
    </row>
    <row r="3959" spans="1:7" x14ac:dyDescent="0.2">
      <c r="A3959" t="s">
        <v>64</v>
      </c>
      <c r="B3959" t="s">
        <v>64</v>
      </c>
      <c r="C3959" s="3" t="s">
        <v>64</v>
      </c>
      <c r="D3959" s="16" t="s">
        <v>64</v>
      </c>
      <c r="E3959" s="16">
        <v>0</v>
      </c>
      <c r="F3959" s="16" t="s">
        <v>64</v>
      </c>
      <c r="G3959" s="16" t="s">
        <v>64</v>
      </c>
    </row>
    <row r="3960" spans="1:7" x14ac:dyDescent="0.2">
      <c r="A3960" t="s">
        <v>64</v>
      </c>
      <c r="B3960" t="s">
        <v>64</v>
      </c>
      <c r="C3960" s="3" t="s">
        <v>64</v>
      </c>
      <c r="D3960" s="16" t="s">
        <v>64</v>
      </c>
      <c r="E3960" s="16">
        <v>0</v>
      </c>
      <c r="F3960" s="16" t="s">
        <v>64</v>
      </c>
      <c r="G3960" s="16" t="s">
        <v>64</v>
      </c>
    </row>
    <row r="3961" spans="1:7" x14ac:dyDescent="0.2">
      <c r="A3961" t="s">
        <v>64</v>
      </c>
      <c r="B3961" t="s">
        <v>64</v>
      </c>
      <c r="C3961" s="3" t="s">
        <v>64</v>
      </c>
      <c r="D3961" s="16" t="s">
        <v>64</v>
      </c>
      <c r="E3961" s="16">
        <v>0</v>
      </c>
      <c r="F3961" s="16" t="s">
        <v>64</v>
      </c>
      <c r="G3961" s="16" t="s">
        <v>64</v>
      </c>
    </row>
    <row r="3962" spans="1:7" x14ac:dyDescent="0.2">
      <c r="A3962" t="s">
        <v>64</v>
      </c>
      <c r="B3962" t="s">
        <v>64</v>
      </c>
      <c r="C3962" s="3" t="s">
        <v>64</v>
      </c>
      <c r="D3962" s="16" t="s">
        <v>64</v>
      </c>
      <c r="E3962" s="16">
        <v>0</v>
      </c>
      <c r="F3962" s="16" t="s">
        <v>64</v>
      </c>
      <c r="G3962" s="16" t="s">
        <v>64</v>
      </c>
    </row>
    <row r="3963" spans="1:7" x14ac:dyDescent="0.2">
      <c r="A3963" t="s">
        <v>64</v>
      </c>
      <c r="B3963" t="s">
        <v>64</v>
      </c>
      <c r="C3963" s="3" t="s">
        <v>64</v>
      </c>
      <c r="D3963" s="16" t="s">
        <v>64</v>
      </c>
      <c r="E3963" s="16">
        <v>0</v>
      </c>
      <c r="F3963" s="16" t="s">
        <v>64</v>
      </c>
      <c r="G3963" s="16" t="s">
        <v>64</v>
      </c>
    </row>
    <row r="3964" spans="1:7" x14ac:dyDescent="0.2">
      <c r="A3964" t="s">
        <v>64</v>
      </c>
      <c r="B3964" t="s">
        <v>64</v>
      </c>
      <c r="C3964" s="3" t="s">
        <v>64</v>
      </c>
      <c r="D3964" s="16" t="s">
        <v>64</v>
      </c>
      <c r="E3964" s="16">
        <v>0</v>
      </c>
      <c r="F3964" s="16" t="s">
        <v>64</v>
      </c>
      <c r="G3964" s="16" t="s">
        <v>64</v>
      </c>
    </row>
    <row r="3965" spans="1:7" x14ac:dyDescent="0.2">
      <c r="A3965" t="s">
        <v>64</v>
      </c>
      <c r="B3965" t="s">
        <v>64</v>
      </c>
      <c r="C3965" s="3" t="s">
        <v>64</v>
      </c>
      <c r="D3965" s="16" t="s">
        <v>64</v>
      </c>
      <c r="E3965" s="16">
        <v>0</v>
      </c>
      <c r="F3965" s="16" t="s">
        <v>64</v>
      </c>
      <c r="G3965" s="16" t="s">
        <v>64</v>
      </c>
    </row>
    <row r="3966" spans="1:7" x14ac:dyDescent="0.2">
      <c r="A3966" t="s">
        <v>64</v>
      </c>
      <c r="B3966" t="s">
        <v>64</v>
      </c>
      <c r="C3966" s="3" t="s">
        <v>64</v>
      </c>
      <c r="D3966" s="16" t="s">
        <v>64</v>
      </c>
      <c r="E3966" s="16">
        <v>0</v>
      </c>
      <c r="F3966" s="16" t="s">
        <v>64</v>
      </c>
      <c r="G3966" s="16" t="s">
        <v>64</v>
      </c>
    </row>
    <row r="3967" spans="1:7" x14ac:dyDescent="0.2">
      <c r="A3967" t="s">
        <v>64</v>
      </c>
      <c r="B3967" t="s">
        <v>64</v>
      </c>
      <c r="C3967" s="3" t="s">
        <v>64</v>
      </c>
      <c r="D3967" s="16" t="s">
        <v>64</v>
      </c>
      <c r="E3967" s="16">
        <v>0</v>
      </c>
      <c r="F3967" s="16" t="s">
        <v>64</v>
      </c>
      <c r="G3967" s="16" t="s">
        <v>64</v>
      </c>
    </row>
    <row r="3968" spans="1:7" x14ac:dyDescent="0.2">
      <c r="A3968" t="s">
        <v>64</v>
      </c>
      <c r="B3968" t="s">
        <v>64</v>
      </c>
      <c r="C3968" s="3" t="s">
        <v>64</v>
      </c>
      <c r="D3968" s="16" t="s">
        <v>64</v>
      </c>
      <c r="E3968" s="16">
        <v>0</v>
      </c>
      <c r="F3968" s="16" t="s">
        <v>64</v>
      </c>
      <c r="G3968" s="16" t="s">
        <v>64</v>
      </c>
    </row>
    <row r="3969" spans="1:7" x14ac:dyDescent="0.2">
      <c r="A3969" t="s">
        <v>64</v>
      </c>
      <c r="B3969" t="s">
        <v>64</v>
      </c>
      <c r="C3969" s="3" t="s">
        <v>64</v>
      </c>
      <c r="D3969" s="16" t="s">
        <v>64</v>
      </c>
      <c r="E3969" s="16">
        <v>0</v>
      </c>
      <c r="F3969" s="16" t="s">
        <v>64</v>
      </c>
      <c r="G3969" s="16" t="s">
        <v>64</v>
      </c>
    </row>
    <row r="3970" spans="1:7" x14ac:dyDescent="0.2">
      <c r="A3970" t="s">
        <v>64</v>
      </c>
      <c r="B3970" t="s">
        <v>64</v>
      </c>
      <c r="C3970" s="3" t="s">
        <v>64</v>
      </c>
      <c r="D3970" s="16" t="s">
        <v>64</v>
      </c>
      <c r="E3970" s="16">
        <v>0</v>
      </c>
      <c r="F3970" s="16" t="s">
        <v>64</v>
      </c>
      <c r="G3970" s="16" t="s">
        <v>64</v>
      </c>
    </row>
    <row r="3971" spans="1:7" x14ac:dyDescent="0.2">
      <c r="A3971" t="s">
        <v>64</v>
      </c>
      <c r="B3971" t="s">
        <v>64</v>
      </c>
      <c r="C3971" s="3" t="s">
        <v>64</v>
      </c>
      <c r="D3971" s="16" t="s">
        <v>64</v>
      </c>
      <c r="E3971" s="16">
        <v>0</v>
      </c>
      <c r="F3971" s="16" t="s">
        <v>64</v>
      </c>
      <c r="G3971" s="16" t="s">
        <v>64</v>
      </c>
    </row>
    <row r="3972" spans="1:7" x14ac:dyDescent="0.2">
      <c r="A3972" t="s">
        <v>64</v>
      </c>
      <c r="B3972" t="s">
        <v>64</v>
      </c>
      <c r="C3972" s="3" t="s">
        <v>64</v>
      </c>
      <c r="D3972" s="16" t="s">
        <v>64</v>
      </c>
      <c r="E3972" s="16">
        <v>0</v>
      </c>
      <c r="F3972" s="16" t="s">
        <v>64</v>
      </c>
      <c r="G3972" s="16" t="s">
        <v>64</v>
      </c>
    </row>
    <row r="3973" spans="1:7" x14ac:dyDescent="0.2">
      <c r="A3973" t="s">
        <v>64</v>
      </c>
      <c r="B3973" t="s">
        <v>64</v>
      </c>
      <c r="C3973" s="3" t="s">
        <v>64</v>
      </c>
      <c r="D3973" s="16" t="s">
        <v>64</v>
      </c>
      <c r="E3973" s="16">
        <v>0</v>
      </c>
      <c r="F3973" s="16" t="s">
        <v>64</v>
      </c>
      <c r="G3973" s="16" t="s">
        <v>64</v>
      </c>
    </row>
    <row r="3974" spans="1:7" x14ac:dyDescent="0.2">
      <c r="A3974" t="s">
        <v>64</v>
      </c>
      <c r="B3974" t="s">
        <v>64</v>
      </c>
      <c r="C3974" s="3" t="s">
        <v>64</v>
      </c>
      <c r="D3974" s="16" t="s">
        <v>64</v>
      </c>
      <c r="E3974" s="16">
        <v>0</v>
      </c>
      <c r="F3974" s="16" t="s">
        <v>64</v>
      </c>
      <c r="G3974" s="16" t="s">
        <v>64</v>
      </c>
    </row>
    <row r="3975" spans="1:7" x14ac:dyDescent="0.2">
      <c r="A3975" t="s">
        <v>64</v>
      </c>
      <c r="B3975" t="s">
        <v>64</v>
      </c>
      <c r="C3975" s="3" t="s">
        <v>64</v>
      </c>
      <c r="D3975" s="16" t="s">
        <v>64</v>
      </c>
      <c r="E3975" s="16">
        <v>0</v>
      </c>
      <c r="F3975" s="16" t="s">
        <v>64</v>
      </c>
      <c r="G3975" s="16" t="s">
        <v>64</v>
      </c>
    </row>
    <row r="3976" spans="1:7" x14ac:dyDescent="0.2">
      <c r="A3976" t="s">
        <v>64</v>
      </c>
      <c r="B3976" t="s">
        <v>64</v>
      </c>
      <c r="C3976" s="3" t="s">
        <v>64</v>
      </c>
      <c r="D3976" s="16" t="s">
        <v>64</v>
      </c>
      <c r="E3976" s="16">
        <v>0</v>
      </c>
      <c r="F3976" s="16" t="s">
        <v>64</v>
      </c>
      <c r="G3976" s="16" t="s">
        <v>64</v>
      </c>
    </row>
    <row r="3977" spans="1:7" x14ac:dyDescent="0.2">
      <c r="A3977" t="s">
        <v>64</v>
      </c>
      <c r="B3977" t="s">
        <v>64</v>
      </c>
      <c r="C3977" s="3" t="s">
        <v>64</v>
      </c>
      <c r="D3977" s="16" t="s">
        <v>64</v>
      </c>
      <c r="E3977" s="16">
        <v>0</v>
      </c>
      <c r="F3977" s="16" t="s">
        <v>64</v>
      </c>
      <c r="G3977" s="16" t="s">
        <v>64</v>
      </c>
    </row>
    <row r="3978" spans="1:7" x14ac:dyDescent="0.2">
      <c r="A3978" t="s">
        <v>64</v>
      </c>
      <c r="B3978" t="s">
        <v>64</v>
      </c>
      <c r="C3978" s="3" t="s">
        <v>64</v>
      </c>
      <c r="D3978" s="16" t="s">
        <v>64</v>
      </c>
      <c r="E3978" s="16">
        <v>0</v>
      </c>
      <c r="F3978" s="16" t="s">
        <v>64</v>
      </c>
      <c r="G3978" s="16" t="s">
        <v>64</v>
      </c>
    </row>
    <row r="3979" spans="1:7" x14ac:dyDescent="0.2">
      <c r="A3979" t="s">
        <v>64</v>
      </c>
      <c r="B3979" t="s">
        <v>64</v>
      </c>
      <c r="C3979" s="3" t="s">
        <v>64</v>
      </c>
      <c r="D3979" s="16" t="s">
        <v>64</v>
      </c>
      <c r="E3979" s="16">
        <v>0</v>
      </c>
      <c r="F3979" s="16" t="s">
        <v>64</v>
      </c>
      <c r="G3979" s="16" t="s">
        <v>64</v>
      </c>
    </row>
    <row r="3980" spans="1:7" x14ac:dyDescent="0.2">
      <c r="A3980" t="s">
        <v>64</v>
      </c>
      <c r="B3980" t="s">
        <v>64</v>
      </c>
      <c r="C3980" s="3" t="s">
        <v>64</v>
      </c>
      <c r="D3980" s="16" t="s">
        <v>64</v>
      </c>
      <c r="E3980" s="16">
        <v>0</v>
      </c>
      <c r="F3980" s="16" t="s">
        <v>64</v>
      </c>
      <c r="G3980" s="16" t="s">
        <v>64</v>
      </c>
    </row>
    <row r="3981" spans="1:7" x14ac:dyDescent="0.2">
      <c r="A3981" t="s">
        <v>64</v>
      </c>
      <c r="B3981" t="s">
        <v>64</v>
      </c>
      <c r="C3981" s="3" t="s">
        <v>64</v>
      </c>
      <c r="D3981" s="16" t="s">
        <v>64</v>
      </c>
      <c r="E3981" s="16">
        <v>0</v>
      </c>
      <c r="F3981" s="16" t="s">
        <v>64</v>
      </c>
      <c r="G3981" s="16" t="s">
        <v>64</v>
      </c>
    </row>
    <row r="3982" spans="1:7" x14ac:dyDescent="0.2">
      <c r="A3982" t="s">
        <v>64</v>
      </c>
      <c r="B3982" t="s">
        <v>64</v>
      </c>
      <c r="C3982" s="3" t="s">
        <v>64</v>
      </c>
      <c r="D3982" s="16" t="s">
        <v>64</v>
      </c>
      <c r="E3982" s="16">
        <v>0</v>
      </c>
      <c r="F3982" s="16" t="s">
        <v>64</v>
      </c>
      <c r="G3982" s="16" t="s">
        <v>64</v>
      </c>
    </row>
    <row r="3983" spans="1:7" x14ac:dyDescent="0.2">
      <c r="A3983" t="s">
        <v>64</v>
      </c>
      <c r="B3983" t="s">
        <v>64</v>
      </c>
      <c r="C3983" s="3" t="s">
        <v>64</v>
      </c>
      <c r="D3983" s="16" t="s">
        <v>64</v>
      </c>
      <c r="E3983" s="16">
        <v>0</v>
      </c>
      <c r="F3983" s="16" t="s">
        <v>64</v>
      </c>
      <c r="G3983" s="16" t="s">
        <v>64</v>
      </c>
    </row>
    <row r="3984" spans="1:7" x14ac:dyDescent="0.2">
      <c r="A3984" t="s">
        <v>64</v>
      </c>
      <c r="B3984" t="s">
        <v>64</v>
      </c>
      <c r="C3984" s="3" t="s">
        <v>64</v>
      </c>
      <c r="D3984" s="16" t="s">
        <v>64</v>
      </c>
      <c r="E3984" s="16">
        <v>0</v>
      </c>
      <c r="F3984" s="16" t="s">
        <v>64</v>
      </c>
      <c r="G3984" s="16" t="s">
        <v>64</v>
      </c>
    </row>
    <row r="3985" spans="1:7" x14ac:dyDescent="0.2">
      <c r="A3985" t="s">
        <v>64</v>
      </c>
      <c r="B3985" t="s">
        <v>64</v>
      </c>
      <c r="C3985" s="3" t="s">
        <v>64</v>
      </c>
      <c r="D3985" s="16" t="s">
        <v>64</v>
      </c>
      <c r="E3985" s="16">
        <v>0</v>
      </c>
      <c r="F3985" s="16" t="s">
        <v>64</v>
      </c>
      <c r="G3985" s="16" t="s">
        <v>64</v>
      </c>
    </row>
    <row r="3986" spans="1:7" x14ac:dyDescent="0.2">
      <c r="A3986" t="s">
        <v>64</v>
      </c>
      <c r="B3986" t="s">
        <v>64</v>
      </c>
      <c r="C3986" s="3" t="s">
        <v>64</v>
      </c>
      <c r="D3986" s="16" t="s">
        <v>64</v>
      </c>
      <c r="E3986" s="16">
        <v>0</v>
      </c>
      <c r="F3986" s="16" t="s">
        <v>64</v>
      </c>
      <c r="G3986" s="16" t="s">
        <v>64</v>
      </c>
    </row>
    <row r="3987" spans="1:7" x14ac:dyDescent="0.2">
      <c r="A3987" t="s">
        <v>64</v>
      </c>
      <c r="B3987" t="s">
        <v>64</v>
      </c>
      <c r="C3987" s="3" t="s">
        <v>64</v>
      </c>
      <c r="D3987" s="16" t="s">
        <v>64</v>
      </c>
      <c r="E3987" s="16">
        <v>0</v>
      </c>
      <c r="F3987" s="16" t="s">
        <v>64</v>
      </c>
      <c r="G3987" s="16" t="s">
        <v>64</v>
      </c>
    </row>
    <row r="3988" spans="1:7" x14ac:dyDescent="0.2">
      <c r="A3988" t="s">
        <v>64</v>
      </c>
      <c r="B3988" t="s">
        <v>64</v>
      </c>
      <c r="C3988" s="3" t="s">
        <v>64</v>
      </c>
      <c r="D3988" s="16" t="s">
        <v>64</v>
      </c>
      <c r="E3988" s="16">
        <v>0</v>
      </c>
      <c r="F3988" s="16" t="s">
        <v>64</v>
      </c>
      <c r="G3988" s="16" t="s">
        <v>64</v>
      </c>
    </row>
    <row r="3989" spans="1:7" x14ac:dyDescent="0.2">
      <c r="A3989" t="s">
        <v>64</v>
      </c>
      <c r="B3989" t="s">
        <v>64</v>
      </c>
      <c r="C3989" s="3" t="s">
        <v>64</v>
      </c>
      <c r="D3989" s="16" t="s">
        <v>64</v>
      </c>
      <c r="E3989" s="16">
        <v>0</v>
      </c>
      <c r="F3989" s="16" t="s">
        <v>64</v>
      </c>
      <c r="G3989" s="16" t="s">
        <v>64</v>
      </c>
    </row>
    <row r="3990" spans="1:7" x14ac:dyDescent="0.2">
      <c r="A3990" t="s">
        <v>64</v>
      </c>
      <c r="B3990" t="s">
        <v>64</v>
      </c>
      <c r="C3990" s="3" t="s">
        <v>64</v>
      </c>
      <c r="D3990" s="16" t="s">
        <v>64</v>
      </c>
      <c r="E3990" s="16">
        <v>0</v>
      </c>
      <c r="F3990" s="16" t="s">
        <v>64</v>
      </c>
      <c r="G3990" s="16" t="s">
        <v>64</v>
      </c>
    </row>
    <row r="3991" spans="1:7" x14ac:dyDescent="0.2">
      <c r="A3991" t="s">
        <v>64</v>
      </c>
      <c r="B3991" t="s">
        <v>64</v>
      </c>
      <c r="C3991" s="3" t="s">
        <v>64</v>
      </c>
      <c r="D3991" s="16" t="s">
        <v>64</v>
      </c>
      <c r="E3991" s="16">
        <v>0</v>
      </c>
      <c r="F3991" s="16" t="s">
        <v>64</v>
      </c>
      <c r="G3991" s="16" t="s">
        <v>64</v>
      </c>
    </row>
    <row r="3992" spans="1:7" x14ac:dyDescent="0.2">
      <c r="A3992" t="s">
        <v>64</v>
      </c>
      <c r="B3992" t="s">
        <v>64</v>
      </c>
      <c r="C3992" s="3" t="s">
        <v>64</v>
      </c>
      <c r="D3992" s="16" t="s">
        <v>64</v>
      </c>
      <c r="E3992" s="16">
        <v>0</v>
      </c>
      <c r="F3992" s="16" t="s">
        <v>64</v>
      </c>
      <c r="G3992" s="16" t="s">
        <v>64</v>
      </c>
    </row>
    <row r="3993" spans="1:7" x14ac:dyDescent="0.2">
      <c r="A3993" t="s">
        <v>64</v>
      </c>
      <c r="B3993" t="s">
        <v>64</v>
      </c>
      <c r="C3993" s="3" t="s">
        <v>64</v>
      </c>
      <c r="D3993" s="16" t="s">
        <v>64</v>
      </c>
      <c r="E3993" s="16">
        <v>0</v>
      </c>
      <c r="F3993" s="16" t="s">
        <v>64</v>
      </c>
      <c r="G3993" s="16" t="s">
        <v>64</v>
      </c>
    </row>
    <row r="3994" spans="1:7" x14ac:dyDescent="0.2">
      <c r="A3994" t="s">
        <v>64</v>
      </c>
      <c r="B3994" t="s">
        <v>64</v>
      </c>
      <c r="C3994" s="3" t="s">
        <v>64</v>
      </c>
      <c r="D3994" s="16" t="s">
        <v>64</v>
      </c>
      <c r="E3994" s="16">
        <v>0</v>
      </c>
      <c r="F3994" s="16" t="s">
        <v>64</v>
      </c>
      <c r="G3994" s="16" t="s">
        <v>64</v>
      </c>
    </row>
    <row r="3995" spans="1:7" x14ac:dyDescent="0.2">
      <c r="A3995" t="s">
        <v>64</v>
      </c>
      <c r="B3995" t="s">
        <v>64</v>
      </c>
      <c r="C3995" s="3" t="s">
        <v>64</v>
      </c>
      <c r="D3995" s="16" t="s">
        <v>64</v>
      </c>
      <c r="E3995" s="16">
        <v>0</v>
      </c>
      <c r="F3995" s="16" t="s">
        <v>64</v>
      </c>
      <c r="G3995" s="16" t="s">
        <v>64</v>
      </c>
    </row>
    <row r="3996" spans="1:7" x14ac:dyDescent="0.2">
      <c r="A3996" t="s">
        <v>64</v>
      </c>
      <c r="B3996" t="s">
        <v>64</v>
      </c>
      <c r="C3996" s="3" t="s">
        <v>64</v>
      </c>
      <c r="D3996" s="16" t="s">
        <v>64</v>
      </c>
      <c r="E3996" s="16">
        <v>0</v>
      </c>
      <c r="F3996" s="16" t="s">
        <v>64</v>
      </c>
      <c r="G3996" s="16" t="s">
        <v>64</v>
      </c>
    </row>
    <row r="3997" spans="1:7" x14ac:dyDescent="0.2">
      <c r="A3997" t="s">
        <v>64</v>
      </c>
      <c r="B3997" t="s">
        <v>64</v>
      </c>
      <c r="C3997" s="3" t="s">
        <v>64</v>
      </c>
      <c r="D3997" s="16" t="s">
        <v>64</v>
      </c>
      <c r="E3997" s="16">
        <v>0</v>
      </c>
      <c r="F3997" s="16" t="s">
        <v>64</v>
      </c>
      <c r="G3997" s="16" t="s">
        <v>64</v>
      </c>
    </row>
    <row r="3998" spans="1:7" x14ac:dyDescent="0.2">
      <c r="A3998" t="s">
        <v>64</v>
      </c>
      <c r="B3998" t="s">
        <v>64</v>
      </c>
      <c r="C3998" s="3" t="s">
        <v>64</v>
      </c>
      <c r="D3998" s="16" t="s">
        <v>64</v>
      </c>
      <c r="E3998" s="16">
        <v>0</v>
      </c>
      <c r="F3998" s="16" t="s">
        <v>64</v>
      </c>
      <c r="G3998" s="16" t="s">
        <v>64</v>
      </c>
    </row>
    <row r="3999" spans="1:7" x14ac:dyDescent="0.2">
      <c r="A3999" t="s">
        <v>64</v>
      </c>
      <c r="B3999" t="s">
        <v>64</v>
      </c>
      <c r="C3999" s="3" t="s">
        <v>64</v>
      </c>
      <c r="D3999" s="16" t="s">
        <v>64</v>
      </c>
      <c r="E3999" s="16">
        <v>0</v>
      </c>
      <c r="F3999" s="16" t="s">
        <v>64</v>
      </c>
      <c r="G3999" s="16" t="s">
        <v>64</v>
      </c>
    </row>
    <row r="4000" spans="1:7" x14ac:dyDescent="0.2">
      <c r="A4000" t="s">
        <v>64</v>
      </c>
      <c r="B4000" t="s">
        <v>64</v>
      </c>
      <c r="C4000" s="3" t="s">
        <v>64</v>
      </c>
      <c r="D4000" s="16" t="s">
        <v>64</v>
      </c>
      <c r="E4000" s="16">
        <v>0</v>
      </c>
      <c r="F4000" s="16" t="s">
        <v>64</v>
      </c>
      <c r="G4000" s="16" t="s">
        <v>64</v>
      </c>
    </row>
    <row r="4001" spans="1:7" x14ac:dyDescent="0.2">
      <c r="A4001" t="s">
        <v>64</v>
      </c>
      <c r="B4001" t="s">
        <v>64</v>
      </c>
      <c r="C4001" s="3" t="s">
        <v>64</v>
      </c>
      <c r="D4001" s="16" t="s">
        <v>64</v>
      </c>
      <c r="E4001" s="16">
        <v>0</v>
      </c>
      <c r="F4001" s="16" t="s">
        <v>64</v>
      </c>
      <c r="G4001" s="16" t="s">
        <v>64</v>
      </c>
    </row>
    <row r="4002" spans="1:7" x14ac:dyDescent="0.2">
      <c r="A4002" t="s">
        <v>64</v>
      </c>
      <c r="B4002" t="s">
        <v>64</v>
      </c>
      <c r="C4002" s="3" t="s">
        <v>64</v>
      </c>
      <c r="D4002" s="16" t="s">
        <v>64</v>
      </c>
      <c r="E4002" s="16">
        <v>0</v>
      </c>
      <c r="F4002" s="16" t="s">
        <v>64</v>
      </c>
      <c r="G4002" s="16" t="s">
        <v>64</v>
      </c>
    </row>
    <row r="4003" spans="1:7" x14ac:dyDescent="0.2">
      <c r="A4003" t="s">
        <v>64</v>
      </c>
      <c r="B4003" t="s">
        <v>64</v>
      </c>
      <c r="C4003" s="3" t="s">
        <v>64</v>
      </c>
      <c r="D4003" s="16" t="s">
        <v>64</v>
      </c>
      <c r="E4003" s="16">
        <v>0</v>
      </c>
      <c r="F4003" s="16" t="s">
        <v>64</v>
      </c>
      <c r="G4003" s="16" t="s">
        <v>64</v>
      </c>
    </row>
    <row r="4004" spans="1:7" x14ac:dyDescent="0.2">
      <c r="A4004" t="s">
        <v>64</v>
      </c>
      <c r="B4004" t="s">
        <v>64</v>
      </c>
      <c r="C4004" s="3" t="s">
        <v>64</v>
      </c>
      <c r="D4004" s="16" t="s">
        <v>64</v>
      </c>
      <c r="E4004" s="16">
        <v>0</v>
      </c>
      <c r="F4004" s="16" t="s">
        <v>64</v>
      </c>
      <c r="G4004" s="16" t="s">
        <v>64</v>
      </c>
    </row>
    <row r="4005" spans="1:7" x14ac:dyDescent="0.2">
      <c r="A4005" t="s">
        <v>64</v>
      </c>
      <c r="B4005" t="s">
        <v>64</v>
      </c>
      <c r="C4005" s="3" t="s">
        <v>64</v>
      </c>
      <c r="D4005" s="16" t="s">
        <v>64</v>
      </c>
      <c r="E4005" s="16">
        <v>0</v>
      </c>
      <c r="F4005" s="16" t="s">
        <v>64</v>
      </c>
      <c r="G4005" s="16" t="s">
        <v>64</v>
      </c>
    </row>
    <row r="4006" spans="1:7" x14ac:dyDescent="0.2">
      <c r="A4006" t="s">
        <v>64</v>
      </c>
      <c r="B4006" t="s">
        <v>64</v>
      </c>
      <c r="C4006" s="3" t="s">
        <v>64</v>
      </c>
      <c r="D4006" s="16" t="s">
        <v>64</v>
      </c>
      <c r="E4006" s="16">
        <v>0</v>
      </c>
      <c r="F4006" s="16" t="s">
        <v>64</v>
      </c>
      <c r="G4006" s="16" t="s">
        <v>64</v>
      </c>
    </row>
    <row r="4007" spans="1:7" x14ac:dyDescent="0.2">
      <c r="A4007" t="s">
        <v>64</v>
      </c>
      <c r="B4007" t="s">
        <v>64</v>
      </c>
      <c r="C4007" s="3" t="s">
        <v>64</v>
      </c>
      <c r="D4007" s="16" t="s">
        <v>64</v>
      </c>
      <c r="E4007" s="16">
        <v>0</v>
      </c>
      <c r="F4007" s="16" t="s">
        <v>64</v>
      </c>
      <c r="G4007" s="16" t="s">
        <v>64</v>
      </c>
    </row>
    <row r="4008" spans="1:7" x14ac:dyDescent="0.2">
      <c r="A4008" t="s">
        <v>64</v>
      </c>
      <c r="B4008" t="s">
        <v>64</v>
      </c>
      <c r="C4008" s="3" t="s">
        <v>64</v>
      </c>
      <c r="D4008" s="16" t="s">
        <v>64</v>
      </c>
      <c r="E4008" s="16">
        <v>0</v>
      </c>
      <c r="F4008" s="16" t="s">
        <v>64</v>
      </c>
      <c r="G4008" s="16" t="s">
        <v>64</v>
      </c>
    </row>
    <row r="4009" spans="1:7" x14ac:dyDescent="0.2">
      <c r="A4009" t="s">
        <v>64</v>
      </c>
      <c r="B4009" t="s">
        <v>64</v>
      </c>
      <c r="C4009" s="3" t="s">
        <v>64</v>
      </c>
      <c r="D4009" s="16" t="s">
        <v>64</v>
      </c>
      <c r="E4009" s="16">
        <v>0</v>
      </c>
      <c r="F4009" s="16" t="s">
        <v>64</v>
      </c>
      <c r="G4009" s="16" t="s">
        <v>64</v>
      </c>
    </row>
    <row r="4010" spans="1:7" x14ac:dyDescent="0.2">
      <c r="A4010" t="s">
        <v>64</v>
      </c>
      <c r="B4010" t="s">
        <v>64</v>
      </c>
      <c r="C4010" s="3" t="s">
        <v>64</v>
      </c>
      <c r="D4010" s="16" t="s">
        <v>64</v>
      </c>
      <c r="E4010" s="16">
        <v>0</v>
      </c>
      <c r="F4010" s="16" t="s">
        <v>64</v>
      </c>
      <c r="G4010" s="16" t="s">
        <v>64</v>
      </c>
    </row>
    <row r="4011" spans="1:7" x14ac:dyDescent="0.2">
      <c r="A4011" t="s">
        <v>64</v>
      </c>
      <c r="B4011" t="s">
        <v>64</v>
      </c>
      <c r="C4011" s="3" t="s">
        <v>64</v>
      </c>
      <c r="D4011" s="16" t="s">
        <v>64</v>
      </c>
      <c r="E4011" s="16">
        <v>0</v>
      </c>
      <c r="F4011" s="16" t="s">
        <v>64</v>
      </c>
      <c r="G4011" s="16" t="s">
        <v>64</v>
      </c>
    </row>
    <row r="4012" spans="1:7" x14ac:dyDescent="0.2">
      <c r="A4012" t="s">
        <v>64</v>
      </c>
      <c r="B4012" t="s">
        <v>64</v>
      </c>
      <c r="C4012" s="3" t="s">
        <v>64</v>
      </c>
      <c r="D4012" s="16" t="s">
        <v>64</v>
      </c>
      <c r="E4012" s="16">
        <v>0</v>
      </c>
      <c r="F4012" s="16" t="s">
        <v>64</v>
      </c>
      <c r="G4012" s="16" t="s">
        <v>64</v>
      </c>
    </row>
    <row r="4013" spans="1:7" x14ac:dyDescent="0.2">
      <c r="A4013" t="s">
        <v>64</v>
      </c>
      <c r="B4013" t="s">
        <v>64</v>
      </c>
      <c r="C4013" s="3" t="s">
        <v>64</v>
      </c>
      <c r="D4013" s="16" t="s">
        <v>64</v>
      </c>
      <c r="E4013" s="16">
        <v>0</v>
      </c>
      <c r="F4013" s="16" t="s">
        <v>64</v>
      </c>
      <c r="G4013" s="16" t="s">
        <v>64</v>
      </c>
    </row>
    <row r="4014" spans="1:7" x14ac:dyDescent="0.2">
      <c r="A4014" t="s">
        <v>64</v>
      </c>
      <c r="B4014" t="s">
        <v>64</v>
      </c>
      <c r="C4014" s="3" t="s">
        <v>64</v>
      </c>
      <c r="D4014" s="16" t="s">
        <v>64</v>
      </c>
      <c r="E4014" s="16">
        <v>0</v>
      </c>
      <c r="F4014" s="16" t="s">
        <v>64</v>
      </c>
      <c r="G4014" s="16" t="s">
        <v>64</v>
      </c>
    </row>
    <row r="4015" spans="1:7" x14ac:dyDescent="0.2">
      <c r="A4015" t="s">
        <v>64</v>
      </c>
      <c r="B4015" t="s">
        <v>64</v>
      </c>
      <c r="C4015" s="3" t="s">
        <v>64</v>
      </c>
      <c r="D4015" s="16" t="s">
        <v>64</v>
      </c>
      <c r="E4015" s="16">
        <v>0</v>
      </c>
      <c r="F4015" s="16" t="s">
        <v>64</v>
      </c>
      <c r="G4015" s="16" t="s">
        <v>64</v>
      </c>
    </row>
    <row r="4016" spans="1:7" x14ac:dyDescent="0.2">
      <c r="A4016" t="s">
        <v>64</v>
      </c>
      <c r="B4016" t="s">
        <v>64</v>
      </c>
      <c r="C4016" s="3" t="s">
        <v>64</v>
      </c>
      <c r="D4016" s="16" t="s">
        <v>64</v>
      </c>
      <c r="E4016" s="16">
        <v>0</v>
      </c>
      <c r="F4016" s="16" t="s">
        <v>64</v>
      </c>
      <c r="G4016" s="16" t="s">
        <v>64</v>
      </c>
    </row>
    <row r="4017" spans="1:7" x14ac:dyDescent="0.2">
      <c r="A4017" t="s">
        <v>64</v>
      </c>
      <c r="B4017" t="s">
        <v>64</v>
      </c>
      <c r="C4017" s="3" t="s">
        <v>64</v>
      </c>
      <c r="D4017" s="16" t="s">
        <v>64</v>
      </c>
      <c r="E4017" s="16">
        <v>0</v>
      </c>
      <c r="F4017" s="16" t="s">
        <v>64</v>
      </c>
      <c r="G4017" s="16" t="s">
        <v>64</v>
      </c>
    </row>
    <row r="4018" spans="1:7" x14ac:dyDescent="0.2">
      <c r="A4018" t="s">
        <v>64</v>
      </c>
      <c r="B4018" t="s">
        <v>64</v>
      </c>
      <c r="C4018" s="3" t="s">
        <v>64</v>
      </c>
      <c r="D4018" s="16" t="s">
        <v>64</v>
      </c>
      <c r="E4018" s="16">
        <v>0</v>
      </c>
      <c r="F4018" s="16" t="s">
        <v>64</v>
      </c>
      <c r="G4018" s="16" t="s">
        <v>64</v>
      </c>
    </row>
    <row r="4019" spans="1:7" x14ac:dyDescent="0.2">
      <c r="A4019" t="s">
        <v>64</v>
      </c>
      <c r="B4019" t="s">
        <v>64</v>
      </c>
      <c r="C4019" s="3" t="s">
        <v>64</v>
      </c>
      <c r="D4019" s="16" t="s">
        <v>64</v>
      </c>
      <c r="E4019" s="16">
        <v>0</v>
      </c>
      <c r="F4019" s="16" t="s">
        <v>64</v>
      </c>
      <c r="G4019" s="16" t="s">
        <v>64</v>
      </c>
    </row>
    <row r="4020" spans="1:7" x14ac:dyDescent="0.2">
      <c r="A4020" t="s">
        <v>64</v>
      </c>
      <c r="B4020" t="s">
        <v>64</v>
      </c>
      <c r="C4020" s="3" t="s">
        <v>64</v>
      </c>
      <c r="D4020" s="16" t="s">
        <v>64</v>
      </c>
      <c r="E4020" s="16">
        <v>0</v>
      </c>
      <c r="F4020" s="16" t="s">
        <v>64</v>
      </c>
      <c r="G4020" s="16" t="s">
        <v>64</v>
      </c>
    </row>
    <row r="4021" spans="1:7" x14ac:dyDescent="0.2">
      <c r="A4021" t="s">
        <v>64</v>
      </c>
      <c r="B4021" t="s">
        <v>64</v>
      </c>
      <c r="C4021" s="3" t="s">
        <v>64</v>
      </c>
      <c r="D4021" s="16" t="s">
        <v>64</v>
      </c>
      <c r="E4021" s="16">
        <v>0</v>
      </c>
      <c r="F4021" s="16" t="s">
        <v>64</v>
      </c>
      <c r="G4021" s="16" t="s">
        <v>64</v>
      </c>
    </row>
    <row r="4022" spans="1:7" x14ac:dyDescent="0.2">
      <c r="A4022" t="s">
        <v>64</v>
      </c>
      <c r="B4022" t="s">
        <v>64</v>
      </c>
      <c r="C4022" s="3" t="s">
        <v>64</v>
      </c>
      <c r="D4022" s="16" t="s">
        <v>64</v>
      </c>
      <c r="E4022" s="16">
        <v>0</v>
      </c>
      <c r="F4022" s="16" t="s">
        <v>64</v>
      </c>
      <c r="G4022" s="16" t="s">
        <v>64</v>
      </c>
    </row>
    <row r="4023" spans="1:7" x14ac:dyDescent="0.2">
      <c r="A4023" t="s">
        <v>64</v>
      </c>
      <c r="B4023" t="s">
        <v>64</v>
      </c>
      <c r="C4023" s="3" t="s">
        <v>64</v>
      </c>
      <c r="D4023" s="16" t="s">
        <v>64</v>
      </c>
      <c r="E4023" s="16">
        <v>0</v>
      </c>
      <c r="F4023" s="16" t="s">
        <v>64</v>
      </c>
      <c r="G4023" s="16" t="s">
        <v>64</v>
      </c>
    </row>
    <row r="4024" spans="1:7" x14ac:dyDescent="0.2">
      <c r="A4024" t="s">
        <v>64</v>
      </c>
      <c r="B4024" t="s">
        <v>64</v>
      </c>
      <c r="C4024" s="3" t="s">
        <v>64</v>
      </c>
      <c r="D4024" s="16" t="s">
        <v>64</v>
      </c>
      <c r="E4024" s="16">
        <v>0</v>
      </c>
      <c r="F4024" s="16" t="s">
        <v>64</v>
      </c>
      <c r="G4024" s="16" t="s">
        <v>64</v>
      </c>
    </row>
    <row r="4025" spans="1:7" x14ac:dyDescent="0.2">
      <c r="A4025" t="s">
        <v>64</v>
      </c>
      <c r="B4025" t="s">
        <v>64</v>
      </c>
      <c r="C4025" s="3" t="s">
        <v>64</v>
      </c>
      <c r="D4025" s="16" t="s">
        <v>64</v>
      </c>
      <c r="E4025" s="16">
        <v>0</v>
      </c>
      <c r="F4025" s="16" t="s">
        <v>64</v>
      </c>
      <c r="G4025" s="16" t="s">
        <v>64</v>
      </c>
    </row>
    <row r="4026" spans="1:7" x14ac:dyDescent="0.2">
      <c r="A4026" t="s">
        <v>64</v>
      </c>
      <c r="B4026" t="s">
        <v>64</v>
      </c>
      <c r="C4026" s="3" t="s">
        <v>64</v>
      </c>
      <c r="D4026" s="16" t="s">
        <v>64</v>
      </c>
      <c r="E4026" s="16">
        <v>0</v>
      </c>
      <c r="F4026" s="16" t="s">
        <v>64</v>
      </c>
      <c r="G4026" s="16" t="s">
        <v>64</v>
      </c>
    </row>
    <row r="4027" spans="1:7" x14ac:dyDescent="0.2">
      <c r="A4027" t="s">
        <v>64</v>
      </c>
      <c r="B4027" t="s">
        <v>64</v>
      </c>
      <c r="C4027" s="3" t="s">
        <v>64</v>
      </c>
      <c r="D4027" s="16" t="s">
        <v>64</v>
      </c>
      <c r="E4027" s="16">
        <v>0</v>
      </c>
      <c r="F4027" s="16" t="s">
        <v>64</v>
      </c>
      <c r="G4027" s="16" t="s">
        <v>64</v>
      </c>
    </row>
    <row r="4028" spans="1:7" x14ac:dyDescent="0.2">
      <c r="A4028" t="s">
        <v>64</v>
      </c>
      <c r="B4028" t="s">
        <v>64</v>
      </c>
      <c r="C4028" s="3" t="s">
        <v>64</v>
      </c>
      <c r="D4028" s="16" t="s">
        <v>64</v>
      </c>
      <c r="E4028" s="16">
        <v>0</v>
      </c>
      <c r="F4028" s="16" t="s">
        <v>64</v>
      </c>
      <c r="G4028" s="16" t="s">
        <v>64</v>
      </c>
    </row>
    <row r="4029" spans="1:7" x14ac:dyDescent="0.2">
      <c r="A4029" t="s">
        <v>64</v>
      </c>
      <c r="B4029" t="s">
        <v>64</v>
      </c>
      <c r="C4029" s="3" t="s">
        <v>64</v>
      </c>
      <c r="D4029" s="16" t="s">
        <v>64</v>
      </c>
      <c r="E4029" s="16">
        <v>0</v>
      </c>
      <c r="F4029" s="16" t="s">
        <v>64</v>
      </c>
      <c r="G4029" s="16" t="s">
        <v>64</v>
      </c>
    </row>
    <row r="4030" spans="1:7" x14ac:dyDescent="0.2">
      <c r="A4030" t="s">
        <v>64</v>
      </c>
      <c r="B4030" t="s">
        <v>64</v>
      </c>
      <c r="C4030" s="3" t="s">
        <v>64</v>
      </c>
      <c r="D4030" s="16" t="s">
        <v>64</v>
      </c>
      <c r="E4030" s="16">
        <v>0</v>
      </c>
      <c r="F4030" s="16" t="s">
        <v>64</v>
      </c>
      <c r="G4030" s="16" t="s">
        <v>64</v>
      </c>
    </row>
    <row r="4031" spans="1:7" x14ac:dyDescent="0.2">
      <c r="A4031" t="s">
        <v>64</v>
      </c>
      <c r="B4031" t="s">
        <v>64</v>
      </c>
      <c r="C4031" s="3" t="s">
        <v>64</v>
      </c>
      <c r="D4031" s="16" t="s">
        <v>64</v>
      </c>
      <c r="E4031" s="16">
        <v>0</v>
      </c>
      <c r="F4031" s="16" t="s">
        <v>64</v>
      </c>
      <c r="G4031" s="16" t="s">
        <v>64</v>
      </c>
    </row>
    <row r="4032" spans="1:7" x14ac:dyDescent="0.2">
      <c r="A4032" t="s">
        <v>64</v>
      </c>
      <c r="B4032" t="s">
        <v>64</v>
      </c>
      <c r="C4032" s="3" t="s">
        <v>64</v>
      </c>
      <c r="D4032" s="16" t="s">
        <v>64</v>
      </c>
      <c r="E4032" s="16">
        <v>0</v>
      </c>
      <c r="F4032" s="16" t="s">
        <v>64</v>
      </c>
      <c r="G4032" s="16" t="s">
        <v>64</v>
      </c>
    </row>
    <row r="4033" spans="1:7" x14ac:dyDescent="0.2">
      <c r="A4033" t="s">
        <v>64</v>
      </c>
      <c r="B4033" t="s">
        <v>64</v>
      </c>
      <c r="C4033" s="3" t="s">
        <v>64</v>
      </c>
      <c r="D4033" s="16" t="s">
        <v>64</v>
      </c>
      <c r="E4033" s="16">
        <v>0</v>
      </c>
      <c r="F4033" s="16" t="s">
        <v>64</v>
      </c>
      <c r="G4033" s="16" t="s">
        <v>64</v>
      </c>
    </row>
    <row r="4034" spans="1:7" x14ac:dyDescent="0.2">
      <c r="A4034" t="s">
        <v>64</v>
      </c>
      <c r="B4034" t="s">
        <v>64</v>
      </c>
      <c r="C4034" s="3" t="s">
        <v>64</v>
      </c>
      <c r="D4034" s="16" t="s">
        <v>64</v>
      </c>
      <c r="E4034" s="16">
        <v>0</v>
      </c>
      <c r="F4034" s="16" t="s">
        <v>64</v>
      </c>
      <c r="G4034" s="16" t="s">
        <v>64</v>
      </c>
    </row>
    <row r="4035" spans="1:7" x14ac:dyDescent="0.2">
      <c r="A4035" t="s">
        <v>64</v>
      </c>
      <c r="B4035" t="s">
        <v>64</v>
      </c>
      <c r="C4035" s="3" t="s">
        <v>64</v>
      </c>
      <c r="D4035" s="16" t="s">
        <v>64</v>
      </c>
      <c r="E4035" s="16">
        <v>0</v>
      </c>
      <c r="F4035" s="16" t="s">
        <v>64</v>
      </c>
      <c r="G4035" s="16" t="s">
        <v>64</v>
      </c>
    </row>
    <row r="4036" spans="1:7" x14ac:dyDescent="0.2">
      <c r="A4036" t="s">
        <v>64</v>
      </c>
      <c r="B4036" t="s">
        <v>64</v>
      </c>
      <c r="C4036" s="3" t="s">
        <v>64</v>
      </c>
      <c r="D4036" s="16" t="s">
        <v>64</v>
      </c>
      <c r="E4036" s="16">
        <v>0</v>
      </c>
      <c r="F4036" s="16" t="s">
        <v>64</v>
      </c>
      <c r="G4036" s="16" t="s">
        <v>64</v>
      </c>
    </row>
    <row r="4037" spans="1:7" x14ac:dyDescent="0.2">
      <c r="A4037" t="s">
        <v>64</v>
      </c>
      <c r="B4037" t="s">
        <v>64</v>
      </c>
      <c r="C4037" s="3" t="s">
        <v>64</v>
      </c>
      <c r="D4037" s="16" t="s">
        <v>64</v>
      </c>
      <c r="E4037" s="16">
        <v>0</v>
      </c>
      <c r="F4037" s="16" t="s">
        <v>64</v>
      </c>
      <c r="G4037" s="16" t="s">
        <v>64</v>
      </c>
    </row>
    <row r="4038" spans="1:7" x14ac:dyDescent="0.2">
      <c r="A4038" t="s">
        <v>64</v>
      </c>
      <c r="B4038" t="s">
        <v>64</v>
      </c>
      <c r="C4038" s="3" t="s">
        <v>64</v>
      </c>
      <c r="D4038" s="16" t="s">
        <v>64</v>
      </c>
      <c r="E4038" s="16">
        <v>0</v>
      </c>
      <c r="F4038" s="16" t="s">
        <v>64</v>
      </c>
      <c r="G4038" s="16" t="s">
        <v>64</v>
      </c>
    </row>
    <row r="4039" spans="1:7" x14ac:dyDescent="0.2">
      <c r="A4039" t="s">
        <v>64</v>
      </c>
      <c r="B4039" t="s">
        <v>64</v>
      </c>
      <c r="C4039" s="3" t="s">
        <v>64</v>
      </c>
      <c r="D4039" s="16" t="s">
        <v>64</v>
      </c>
      <c r="E4039" s="16">
        <v>0</v>
      </c>
      <c r="F4039" s="16" t="s">
        <v>64</v>
      </c>
      <c r="G4039" s="16" t="s">
        <v>64</v>
      </c>
    </row>
    <row r="4040" spans="1:7" x14ac:dyDescent="0.2">
      <c r="A4040" t="s">
        <v>64</v>
      </c>
      <c r="B4040" t="s">
        <v>64</v>
      </c>
      <c r="C4040" s="3" t="s">
        <v>64</v>
      </c>
      <c r="D4040" s="16" t="s">
        <v>64</v>
      </c>
      <c r="E4040" s="16">
        <v>0</v>
      </c>
      <c r="F4040" s="16" t="s">
        <v>64</v>
      </c>
      <c r="G4040" s="16" t="s">
        <v>64</v>
      </c>
    </row>
    <row r="4041" spans="1:7" x14ac:dyDescent="0.2">
      <c r="A4041" t="s">
        <v>64</v>
      </c>
      <c r="B4041" t="s">
        <v>64</v>
      </c>
      <c r="C4041" s="3" t="s">
        <v>64</v>
      </c>
      <c r="D4041" s="16" t="s">
        <v>64</v>
      </c>
      <c r="E4041" s="16">
        <v>0</v>
      </c>
      <c r="F4041" s="16" t="s">
        <v>64</v>
      </c>
      <c r="G4041" s="16" t="s">
        <v>64</v>
      </c>
    </row>
    <row r="4042" spans="1:7" x14ac:dyDescent="0.2">
      <c r="A4042" t="s">
        <v>64</v>
      </c>
      <c r="B4042" t="s">
        <v>64</v>
      </c>
      <c r="C4042" s="3" t="s">
        <v>64</v>
      </c>
      <c r="D4042" s="16" t="s">
        <v>64</v>
      </c>
      <c r="E4042" s="16">
        <v>0</v>
      </c>
      <c r="F4042" s="16" t="s">
        <v>64</v>
      </c>
      <c r="G4042" s="16" t="s">
        <v>64</v>
      </c>
    </row>
    <row r="4043" spans="1:7" x14ac:dyDescent="0.2">
      <c r="A4043" t="s">
        <v>64</v>
      </c>
      <c r="B4043" t="s">
        <v>64</v>
      </c>
      <c r="C4043" s="3" t="s">
        <v>64</v>
      </c>
      <c r="D4043" s="16" t="s">
        <v>64</v>
      </c>
      <c r="E4043" s="16">
        <v>0</v>
      </c>
      <c r="F4043" s="16" t="s">
        <v>64</v>
      </c>
      <c r="G4043" s="16" t="s">
        <v>64</v>
      </c>
    </row>
    <row r="4044" spans="1:7" x14ac:dyDescent="0.2">
      <c r="A4044" t="s">
        <v>64</v>
      </c>
      <c r="B4044" t="s">
        <v>64</v>
      </c>
      <c r="C4044" s="3" t="s">
        <v>64</v>
      </c>
      <c r="D4044" s="16" t="s">
        <v>64</v>
      </c>
      <c r="E4044" s="16">
        <v>0</v>
      </c>
      <c r="F4044" s="16" t="s">
        <v>64</v>
      </c>
      <c r="G4044" s="16" t="s">
        <v>64</v>
      </c>
    </row>
    <row r="4045" spans="1:7" x14ac:dyDescent="0.2">
      <c r="A4045" t="s">
        <v>64</v>
      </c>
      <c r="B4045" t="s">
        <v>64</v>
      </c>
      <c r="C4045" s="3" t="s">
        <v>64</v>
      </c>
      <c r="D4045" s="16" t="s">
        <v>64</v>
      </c>
      <c r="E4045" s="16">
        <v>0</v>
      </c>
      <c r="F4045" s="16" t="s">
        <v>64</v>
      </c>
      <c r="G4045" s="16" t="s">
        <v>64</v>
      </c>
    </row>
    <row r="4046" spans="1:7" x14ac:dyDescent="0.2">
      <c r="A4046" t="s">
        <v>64</v>
      </c>
      <c r="B4046" t="s">
        <v>64</v>
      </c>
      <c r="C4046" s="3" t="s">
        <v>64</v>
      </c>
      <c r="D4046" s="16" t="s">
        <v>64</v>
      </c>
      <c r="E4046" s="16">
        <v>0</v>
      </c>
      <c r="F4046" s="16" t="s">
        <v>64</v>
      </c>
      <c r="G4046" s="16" t="s">
        <v>64</v>
      </c>
    </row>
    <row r="4047" spans="1:7" x14ac:dyDescent="0.2">
      <c r="A4047" t="s">
        <v>64</v>
      </c>
      <c r="B4047" t="s">
        <v>64</v>
      </c>
      <c r="C4047" s="3" t="s">
        <v>64</v>
      </c>
      <c r="D4047" s="16" t="s">
        <v>64</v>
      </c>
      <c r="E4047" s="16">
        <v>0</v>
      </c>
      <c r="F4047" s="16" t="s">
        <v>64</v>
      </c>
      <c r="G4047" s="16" t="s">
        <v>64</v>
      </c>
    </row>
    <row r="4048" spans="1:7" x14ac:dyDescent="0.2">
      <c r="A4048" t="s">
        <v>64</v>
      </c>
      <c r="B4048" t="s">
        <v>64</v>
      </c>
      <c r="C4048" s="3" t="s">
        <v>64</v>
      </c>
      <c r="D4048" s="16" t="s">
        <v>64</v>
      </c>
      <c r="E4048" s="16">
        <v>0</v>
      </c>
      <c r="F4048" s="16" t="s">
        <v>64</v>
      </c>
      <c r="G4048" s="16" t="s">
        <v>64</v>
      </c>
    </row>
    <row r="4049" spans="1:7" x14ac:dyDescent="0.2">
      <c r="A4049" t="s">
        <v>64</v>
      </c>
      <c r="B4049" t="s">
        <v>64</v>
      </c>
      <c r="C4049" s="3" t="s">
        <v>64</v>
      </c>
      <c r="D4049" s="16" t="s">
        <v>64</v>
      </c>
      <c r="E4049" s="16">
        <v>0</v>
      </c>
      <c r="F4049" s="16" t="s">
        <v>64</v>
      </c>
      <c r="G4049" s="16" t="s">
        <v>64</v>
      </c>
    </row>
    <row r="4050" spans="1:7" x14ac:dyDescent="0.2">
      <c r="A4050" t="s">
        <v>64</v>
      </c>
      <c r="B4050" t="s">
        <v>64</v>
      </c>
      <c r="C4050" s="3" t="s">
        <v>64</v>
      </c>
      <c r="D4050" s="16" t="s">
        <v>64</v>
      </c>
      <c r="E4050" s="16">
        <v>0</v>
      </c>
      <c r="F4050" s="16" t="s">
        <v>64</v>
      </c>
      <c r="G4050" s="16" t="s">
        <v>64</v>
      </c>
    </row>
    <row r="4051" spans="1:7" x14ac:dyDescent="0.2">
      <c r="A4051" t="s">
        <v>64</v>
      </c>
      <c r="B4051" t="s">
        <v>64</v>
      </c>
      <c r="C4051" s="3" t="s">
        <v>64</v>
      </c>
      <c r="D4051" s="16" t="s">
        <v>64</v>
      </c>
      <c r="E4051" s="16">
        <v>0</v>
      </c>
      <c r="F4051" s="16" t="s">
        <v>64</v>
      </c>
      <c r="G4051" s="16" t="s">
        <v>64</v>
      </c>
    </row>
    <row r="4052" spans="1:7" x14ac:dyDescent="0.2">
      <c r="A4052" t="s">
        <v>64</v>
      </c>
      <c r="B4052" t="s">
        <v>64</v>
      </c>
      <c r="C4052" s="3" t="s">
        <v>64</v>
      </c>
      <c r="D4052" s="16" t="s">
        <v>64</v>
      </c>
      <c r="E4052" s="16">
        <v>0</v>
      </c>
      <c r="F4052" s="16" t="s">
        <v>64</v>
      </c>
      <c r="G4052" s="16" t="s">
        <v>64</v>
      </c>
    </row>
    <row r="4053" spans="1:7" x14ac:dyDescent="0.2">
      <c r="A4053" t="s">
        <v>64</v>
      </c>
      <c r="B4053" t="s">
        <v>64</v>
      </c>
      <c r="C4053" s="3" t="s">
        <v>64</v>
      </c>
      <c r="D4053" s="16" t="s">
        <v>64</v>
      </c>
      <c r="E4053" s="16">
        <v>0</v>
      </c>
      <c r="F4053" s="16" t="s">
        <v>64</v>
      </c>
      <c r="G4053" s="16" t="s">
        <v>64</v>
      </c>
    </row>
    <row r="4054" spans="1:7" x14ac:dyDescent="0.2">
      <c r="A4054" t="s">
        <v>64</v>
      </c>
      <c r="B4054" t="s">
        <v>64</v>
      </c>
      <c r="C4054" s="3" t="s">
        <v>64</v>
      </c>
      <c r="D4054" s="16" t="s">
        <v>64</v>
      </c>
      <c r="E4054" s="16">
        <v>0</v>
      </c>
      <c r="F4054" s="16" t="s">
        <v>64</v>
      </c>
      <c r="G4054" s="16" t="s">
        <v>64</v>
      </c>
    </row>
    <row r="4055" spans="1:7" x14ac:dyDescent="0.2">
      <c r="A4055" t="s">
        <v>64</v>
      </c>
      <c r="B4055" t="s">
        <v>64</v>
      </c>
      <c r="C4055" s="3" t="s">
        <v>64</v>
      </c>
      <c r="D4055" s="16" t="s">
        <v>64</v>
      </c>
      <c r="E4055" s="16">
        <v>0</v>
      </c>
      <c r="F4055" s="16" t="s">
        <v>64</v>
      </c>
      <c r="G4055" s="16" t="s">
        <v>64</v>
      </c>
    </row>
    <row r="4056" spans="1:7" x14ac:dyDescent="0.2">
      <c r="A4056" t="s">
        <v>64</v>
      </c>
      <c r="B4056" t="s">
        <v>64</v>
      </c>
      <c r="C4056" s="3" t="s">
        <v>64</v>
      </c>
      <c r="D4056" s="16" t="s">
        <v>64</v>
      </c>
      <c r="E4056" s="16">
        <v>0</v>
      </c>
      <c r="F4056" s="16" t="s">
        <v>64</v>
      </c>
      <c r="G4056" s="16" t="s">
        <v>64</v>
      </c>
    </row>
    <row r="4057" spans="1:7" x14ac:dyDescent="0.2">
      <c r="A4057" t="s">
        <v>64</v>
      </c>
      <c r="B4057" t="s">
        <v>64</v>
      </c>
      <c r="C4057" s="3" t="s">
        <v>64</v>
      </c>
      <c r="D4057" s="16" t="s">
        <v>64</v>
      </c>
      <c r="E4057" s="16">
        <v>0</v>
      </c>
      <c r="F4057" s="16" t="s">
        <v>64</v>
      </c>
      <c r="G4057" s="16" t="s">
        <v>64</v>
      </c>
    </row>
    <row r="4058" spans="1:7" x14ac:dyDescent="0.2">
      <c r="A4058" t="s">
        <v>64</v>
      </c>
      <c r="B4058" t="s">
        <v>64</v>
      </c>
      <c r="C4058" s="3" t="s">
        <v>64</v>
      </c>
      <c r="D4058" s="16" t="s">
        <v>64</v>
      </c>
      <c r="E4058" s="16">
        <v>0</v>
      </c>
      <c r="F4058" s="16" t="s">
        <v>64</v>
      </c>
      <c r="G4058" s="16" t="s">
        <v>64</v>
      </c>
    </row>
    <row r="4059" spans="1:7" x14ac:dyDescent="0.2">
      <c r="A4059" t="s">
        <v>64</v>
      </c>
      <c r="B4059" t="s">
        <v>64</v>
      </c>
      <c r="C4059" s="3" t="s">
        <v>64</v>
      </c>
      <c r="D4059" s="16" t="s">
        <v>64</v>
      </c>
      <c r="E4059" s="16">
        <v>0</v>
      </c>
      <c r="F4059" s="16" t="s">
        <v>64</v>
      </c>
      <c r="G4059" s="16" t="s">
        <v>64</v>
      </c>
    </row>
    <row r="4060" spans="1:7" x14ac:dyDescent="0.2">
      <c r="A4060" t="s">
        <v>64</v>
      </c>
      <c r="B4060" t="s">
        <v>64</v>
      </c>
      <c r="C4060" s="3" t="s">
        <v>64</v>
      </c>
      <c r="D4060" s="16" t="s">
        <v>64</v>
      </c>
      <c r="E4060" s="16">
        <v>0</v>
      </c>
      <c r="F4060" s="16" t="s">
        <v>64</v>
      </c>
      <c r="G4060" s="16" t="s">
        <v>64</v>
      </c>
    </row>
    <row r="4061" spans="1:7" x14ac:dyDescent="0.2">
      <c r="A4061" t="s">
        <v>64</v>
      </c>
      <c r="B4061" t="s">
        <v>64</v>
      </c>
      <c r="C4061" s="3" t="s">
        <v>64</v>
      </c>
      <c r="D4061" s="16" t="s">
        <v>64</v>
      </c>
      <c r="E4061" s="16">
        <v>0</v>
      </c>
      <c r="F4061" s="16" t="s">
        <v>64</v>
      </c>
      <c r="G4061" s="16" t="s">
        <v>64</v>
      </c>
    </row>
    <row r="4062" spans="1:7" x14ac:dyDescent="0.2">
      <c r="A4062" t="s">
        <v>64</v>
      </c>
      <c r="B4062" t="s">
        <v>64</v>
      </c>
      <c r="C4062" s="3" t="s">
        <v>64</v>
      </c>
      <c r="D4062" s="16" t="s">
        <v>64</v>
      </c>
      <c r="E4062" s="16">
        <v>0</v>
      </c>
      <c r="F4062" s="16" t="s">
        <v>64</v>
      </c>
      <c r="G4062" s="16" t="s">
        <v>64</v>
      </c>
    </row>
    <row r="4063" spans="1:7" x14ac:dyDescent="0.2">
      <c r="A4063" t="s">
        <v>64</v>
      </c>
      <c r="B4063" t="s">
        <v>64</v>
      </c>
      <c r="C4063" s="3" t="s">
        <v>64</v>
      </c>
      <c r="D4063" s="16" t="s">
        <v>64</v>
      </c>
      <c r="E4063" s="16">
        <v>0</v>
      </c>
      <c r="F4063" s="16" t="s">
        <v>64</v>
      </c>
      <c r="G4063" s="16" t="s">
        <v>64</v>
      </c>
    </row>
    <row r="4064" spans="1:7" x14ac:dyDescent="0.2">
      <c r="A4064" t="s">
        <v>64</v>
      </c>
      <c r="B4064" t="s">
        <v>64</v>
      </c>
      <c r="C4064" s="3" t="s">
        <v>64</v>
      </c>
      <c r="D4064" s="16" t="s">
        <v>64</v>
      </c>
      <c r="E4064" s="16">
        <v>0</v>
      </c>
      <c r="F4064" s="16" t="s">
        <v>64</v>
      </c>
      <c r="G4064" s="16" t="s">
        <v>64</v>
      </c>
    </row>
    <row r="4065" spans="1:7" x14ac:dyDescent="0.2">
      <c r="A4065" t="s">
        <v>64</v>
      </c>
      <c r="B4065" t="s">
        <v>64</v>
      </c>
      <c r="C4065" s="3" t="s">
        <v>64</v>
      </c>
      <c r="D4065" s="16" t="s">
        <v>64</v>
      </c>
      <c r="E4065" s="16">
        <v>0</v>
      </c>
      <c r="F4065" s="16" t="s">
        <v>64</v>
      </c>
      <c r="G4065" s="16" t="s">
        <v>64</v>
      </c>
    </row>
    <row r="4066" spans="1:7" x14ac:dyDescent="0.2">
      <c r="A4066" t="s">
        <v>64</v>
      </c>
      <c r="B4066" t="s">
        <v>64</v>
      </c>
      <c r="C4066" s="3" t="s">
        <v>64</v>
      </c>
      <c r="D4066" s="16" t="s">
        <v>64</v>
      </c>
      <c r="E4066" s="16">
        <v>0</v>
      </c>
      <c r="F4066" s="16" t="s">
        <v>64</v>
      </c>
      <c r="G4066" s="16" t="s">
        <v>64</v>
      </c>
    </row>
    <row r="4067" spans="1:7" x14ac:dyDescent="0.2">
      <c r="A4067" t="s">
        <v>64</v>
      </c>
      <c r="B4067" t="s">
        <v>64</v>
      </c>
      <c r="C4067" s="3" t="s">
        <v>64</v>
      </c>
      <c r="D4067" s="16" t="s">
        <v>64</v>
      </c>
      <c r="E4067" s="16">
        <v>0</v>
      </c>
      <c r="F4067" s="16" t="s">
        <v>64</v>
      </c>
      <c r="G4067" s="16" t="s">
        <v>64</v>
      </c>
    </row>
    <row r="4068" spans="1:7" x14ac:dyDescent="0.2">
      <c r="A4068" t="s">
        <v>64</v>
      </c>
      <c r="B4068" t="s">
        <v>64</v>
      </c>
      <c r="C4068" s="3" t="s">
        <v>64</v>
      </c>
      <c r="D4068" s="16" t="s">
        <v>64</v>
      </c>
      <c r="E4068" s="16">
        <v>0</v>
      </c>
      <c r="F4068" s="16" t="s">
        <v>64</v>
      </c>
      <c r="G4068" s="16" t="s">
        <v>64</v>
      </c>
    </row>
    <row r="4069" spans="1:7" x14ac:dyDescent="0.2">
      <c r="A4069" t="s">
        <v>64</v>
      </c>
      <c r="B4069" t="s">
        <v>64</v>
      </c>
      <c r="C4069" s="3" t="s">
        <v>64</v>
      </c>
      <c r="D4069" s="16" t="s">
        <v>64</v>
      </c>
      <c r="E4069" s="16">
        <v>0</v>
      </c>
      <c r="F4069" s="16" t="s">
        <v>64</v>
      </c>
      <c r="G4069" s="16" t="s">
        <v>64</v>
      </c>
    </row>
    <row r="4070" spans="1:7" x14ac:dyDescent="0.2">
      <c r="A4070" t="s">
        <v>64</v>
      </c>
      <c r="B4070" t="s">
        <v>64</v>
      </c>
      <c r="C4070" s="3" t="s">
        <v>64</v>
      </c>
      <c r="D4070" s="16" t="s">
        <v>64</v>
      </c>
      <c r="E4070" s="16">
        <v>0</v>
      </c>
      <c r="F4070" s="16" t="s">
        <v>64</v>
      </c>
      <c r="G4070" s="16" t="s">
        <v>64</v>
      </c>
    </row>
    <row r="4071" spans="1:7" x14ac:dyDescent="0.2">
      <c r="A4071" t="s">
        <v>64</v>
      </c>
      <c r="B4071" t="s">
        <v>64</v>
      </c>
      <c r="C4071" s="3" t="s">
        <v>64</v>
      </c>
      <c r="D4071" s="16" t="s">
        <v>64</v>
      </c>
      <c r="E4071" s="16">
        <v>0</v>
      </c>
      <c r="F4071" s="16" t="s">
        <v>64</v>
      </c>
      <c r="G4071" s="16" t="s">
        <v>64</v>
      </c>
    </row>
    <row r="4072" spans="1:7" x14ac:dyDescent="0.2">
      <c r="A4072" t="s">
        <v>64</v>
      </c>
      <c r="B4072" t="s">
        <v>64</v>
      </c>
      <c r="C4072" s="3" t="s">
        <v>64</v>
      </c>
      <c r="D4072" s="16" t="s">
        <v>64</v>
      </c>
      <c r="E4072" s="16">
        <v>0</v>
      </c>
      <c r="F4072" s="16" t="s">
        <v>64</v>
      </c>
      <c r="G4072" s="16" t="s">
        <v>64</v>
      </c>
    </row>
    <row r="4073" spans="1:7" x14ac:dyDescent="0.2">
      <c r="A4073" t="s">
        <v>64</v>
      </c>
      <c r="B4073" t="s">
        <v>64</v>
      </c>
      <c r="C4073" s="3" t="s">
        <v>64</v>
      </c>
      <c r="D4073" s="16" t="s">
        <v>64</v>
      </c>
      <c r="E4073" s="16">
        <v>0</v>
      </c>
      <c r="F4073" s="16" t="s">
        <v>64</v>
      </c>
      <c r="G4073" s="16" t="s">
        <v>64</v>
      </c>
    </row>
    <row r="4074" spans="1:7" x14ac:dyDescent="0.2">
      <c r="A4074" t="s">
        <v>64</v>
      </c>
      <c r="B4074" t="s">
        <v>64</v>
      </c>
      <c r="C4074" s="3" t="s">
        <v>64</v>
      </c>
      <c r="D4074" s="16" t="s">
        <v>64</v>
      </c>
      <c r="E4074" s="16">
        <v>0</v>
      </c>
      <c r="F4074" s="16" t="s">
        <v>64</v>
      </c>
      <c r="G4074" s="16" t="s">
        <v>64</v>
      </c>
    </row>
    <row r="4075" spans="1:7" x14ac:dyDescent="0.2">
      <c r="A4075" t="s">
        <v>64</v>
      </c>
      <c r="B4075" t="s">
        <v>64</v>
      </c>
      <c r="C4075" s="3" t="s">
        <v>64</v>
      </c>
      <c r="D4075" s="16" t="s">
        <v>64</v>
      </c>
      <c r="E4075" s="16">
        <v>0</v>
      </c>
      <c r="F4075" s="16" t="s">
        <v>64</v>
      </c>
      <c r="G4075" s="16" t="s">
        <v>64</v>
      </c>
    </row>
    <row r="4076" spans="1:7" x14ac:dyDescent="0.2">
      <c r="A4076" t="s">
        <v>64</v>
      </c>
      <c r="B4076" t="s">
        <v>64</v>
      </c>
      <c r="C4076" s="3" t="s">
        <v>64</v>
      </c>
      <c r="D4076" s="16" t="s">
        <v>64</v>
      </c>
      <c r="E4076" s="16">
        <v>0</v>
      </c>
      <c r="F4076" s="16" t="s">
        <v>64</v>
      </c>
      <c r="G4076" s="16" t="s">
        <v>64</v>
      </c>
    </row>
    <row r="4077" spans="1:7" x14ac:dyDescent="0.2">
      <c r="A4077" t="s">
        <v>64</v>
      </c>
      <c r="B4077" t="s">
        <v>64</v>
      </c>
      <c r="C4077" s="3" t="s">
        <v>64</v>
      </c>
      <c r="D4077" s="16" t="s">
        <v>64</v>
      </c>
      <c r="E4077" s="16">
        <v>0</v>
      </c>
      <c r="F4077" s="16" t="s">
        <v>64</v>
      </c>
      <c r="G4077" s="16" t="s">
        <v>64</v>
      </c>
    </row>
    <row r="4078" spans="1:7" x14ac:dyDescent="0.2">
      <c r="A4078" t="s">
        <v>64</v>
      </c>
      <c r="B4078" t="s">
        <v>64</v>
      </c>
      <c r="C4078" s="3" t="s">
        <v>64</v>
      </c>
      <c r="D4078" s="16" t="s">
        <v>64</v>
      </c>
      <c r="E4078" s="16">
        <v>0</v>
      </c>
      <c r="F4078" s="16" t="s">
        <v>64</v>
      </c>
      <c r="G4078" s="16" t="s">
        <v>64</v>
      </c>
    </row>
    <row r="4079" spans="1:7" x14ac:dyDescent="0.2">
      <c r="A4079" t="s">
        <v>64</v>
      </c>
      <c r="B4079" t="s">
        <v>64</v>
      </c>
      <c r="C4079" s="3" t="s">
        <v>64</v>
      </c>
      <c r="D4079" s="16" t="s">
        <v>64</v>
      </c>
      <c r="E4079" s="16">
        <v>0</v>
      </c>
      <c r="F4079" s="16" t="s">
        <v>64</v>
      </c>
      <c r="G4079" s="16" t="s">
        <v>64</v>
      </c>
    </row>
    <row r="4080" spans="1:7" x14ac:dyDescent="0.2">
      <c r="A4080" t="s">
        <v>64</v>
      </c>
      <c r="B4080" t="s">
        <v>64</v>
      </c>
      <c r="C4080" s="3" t="s">
        <v>64</v>
      </c>
      <c r="D4080" s="16" t="s">
        <v>64</v>
      </c>
      <c r="E4080" s="16">
        <v>0</v>
      </c>
      <c r="F4080" s="16" t="s">
        <v>64</v>
      </c>
      <c r="G4080" s="16" t="s">
        <v>64</v>
      </c>
    </row>
    <row r="4081" spans="1:7" x14ac:dyDescent="0.2">
      <c r="A4081" t="s">
        <v>64</v>
      </c>
      <c r="B4081" t="s">
        <v>64</v>
      </c>
      <c r="C4081" s="3" t="s">
        <v>64</v>
      </c>
      <c r="D4081" s="16" t="s">
        <v>64</v>
      </c>
      <c r="E4081" s="16">
        <v>0</v>
      </c>
      <c r="F4081" s="16" t="s">
        <v>64</v>
      </c>
      <c r="G4081" s="16" t="s">
        <v>64</v>
      </c>
    </row>
    <row r="4082" spans="1:7" x14ac:dyDescent="0.2">
      <c r="A4082" t="s">
        <v>64</v>
      </c>
      <c r="B4082" t="s">
        <v>64</v>
      </c>
      <c r="C4082" s="3" t="s">
        <v>64</v>
      </c>
      <c r="D4082" s="16" t="s">
        <v>64</v>
      </c>
      <c r="E4082" s="16">
        <v>0</v>
      </c>
      <c r="F4082" s="16" t="s">
        <v>64</v>
      </c>
      <c r="G4082" s="16" t="s">
        <v>64</v>
      </c>
    </row>
    <row r="4083" spans="1:7" x14ac:dyDescent="0.2">
      <c r="A4083" t="s">
        <v>64</v>
      </c>
      <c r="B4083" t="s">
        <v>64</v>
      </c>
      <c r="C4083" s="3" t="s">
        <v>64</v>
      </c>
      <c r="D4083" s="16" t="s">
        <v>64</v>
      </c>
      <c r="E4083" s="16">
        <v>0</v>
      </c>
      <c r="F4083" s="16" t="s">
        <v>64</v>
      </c>
      <c r="G4083" s="16" t="s">
        <v>64</v>
      </c>
    </row>
    <row r="4084" spans="1:7" x14ac:dyDescent="0.2">
      <c r="A4084" t="s">
        <v>64</v>
      </c>
      <c r="B4084" t="s">
        <v>64</v>
      </c>
      <c r="C4084" s="3" t="s">
        <v>64</v>
      </c>
      <c r="D4084" s="16" t="s">
        <v>64</v>
      </c>
      <c r="E4084" s="16">
        <v>0</v>
      </c>
      <c r="F4084" s="16" t="s">
        <v>64</v>
      </c>
      <c r="G4084" s="16" t="s">
        <v>64</v>
      </c>
    </row>
    <row r="4085" spans="1:7" x14ac:dyDescent="0.2">
      <c r="A4085" t="s">
        <v>64</v>
      </c>
      <c r="B4085" t="s">
        <v>64</v>
      </c>
      <c r="C4085" s="3" t="s">
        <v>64</v>
      </c>
      <c r="D4085" s="16" t="s">
        <v>64</v>
      </c>
      <c r="E4085" s="16">
        <v>0</v>
      </c>
      <c r="F4085" s="16" t="s">
        <v>64</v>
      </c>
      <c r="G4085" s="16" t="s">
        <v>64</v>
      </c>
    </row>
    <row r="4086" spans="1:7" x14ac:dyDescent="0.2">
      <c r="A4086" t="s">
        <v>64</v>
      </c>
      <c r="B4086" t="s">
        <v>64</v>
      </c>
      <c r="C4086" s="3" t="s">
        <v>64</v>
      </c>
      <c r="D4086" s="16" t="s">
        <v>64</v>
      </c>
      <c r="E4086" s="16">
        <v>0</v>
      </c>
      <c r="F4086" s="16" t="s">
        <v>64</v>
      </c>
      <c r="G4086" s="16" t="s">
        <v>64</v>
      </c>
    </row>
    <row r="4087" spans="1:7" x14ac:dyDescent="0.2">
      <c r="A4087" t="s">
        <v>64</v>
      </c>
      <c r="B4087" t="s">
        <v>64</v>
      </c>
      <c r="C4087" s="3" t="s">
        <v>64</v>
      </c>
      <c r="D4087" s="16" t="s">
        <v>64</v>
      </c>
      <c r="E4087" s="16">
        <v>0</v>
      </c>
      <c r="F4087" s="16" t="s">
        <v>64</v>
      </c>
      <c r="G4087" s="16" t="s">
        <v>64</v>
      </c>
    </row>
    <row r="4088" spans="1:7" x14ac:dyDescent="0.2">
      <c r="A4088" t="s">
        <v>64</v>
      </c>
      <c r="B4088" t="s">
        <v>64</v>
      </c>
      <c r="C4088" s="3" t="s">
        <v>64</v>
      </c>
      <c r="D4088" s="16" t="s">
        <v>64</v>
      </c>
      <c r="E4088" s="16">
        <v>0</v>
      </c>
      <c r="F4088" s="16" t="s">
        <v>64</v>
      </c>
      <c r="G4088" s="16" t="s">
        <v>64</v>
      </c>
    </row>
    <row r="4089" spans="1:7" x14ac:dyDescent="0.2">
      <c r="A4089" t="s">
        <v>64</v>
      </c>
      <c r="B4089" t="s">
        <v>64</v>
      </c>
      <c r="C4089" s="3" t="s">
        <v>64</v>
      </c>
      <c r="D4089" s="16" t="s">
        <v>64</v>
      </c>
      <c r="E4089" s="16">
        <v>0</v>
      </c>
      <c r="F4089" s="16" t="s">
        <v>64</v>
      </c>
      <c r="G4089" s="16" t="s">
        <v>64</v>
      </c>
    </row>
    <row r="4090" spans="1:7" x14ac:dyDescent="0.2">
      <c r="A4090" t="s">
        <v>64</v>
      </c>
      <c r="B4090" t="s">
        <v>64</v>
      </c>
      <c r="C4090" s="3" t="s">
        <v>64</v>
      </c>
      <c r="D4090" s="16" t="s">
        <v>64</v>
      </c>
      <c r="E4090" s="16">
        <v>0</v>
      </c>
      <c r="F4090" s="16" t="s">
        <v>64</v>
      </c>
      <c r="G4090" s="16" t="s">
        <v>64</v>
      </c>
    </row>
    <row r="4091" spans="1:7" x14ac:dyDescent="0.2">
      <c r="A4091" t="s">
        <v>64</v>
      </c>
      <c r="B4091" t="s">
        <v>64</v>
      </c>
      <c r="C4091" s="3" t="s">
        <v>64</v>
      </c>
      <c r="D4091" s="16" t="s">
        <v>64</v>
      </c>
      <c r="E4091" s="16">
        <v>0</v>
      </c>
      <c r="F4091" s="16" t="s">
        <v>64</v>
      </c>
      <c r="G4091" s="16" t="s">
        <v>64</v>
      </c>
    </row>
    <row r="4092" spans="1:7" x14ac:dyDescent="0.2">
      <c r="A4092" t="s">
        <v>64</v>
      </c>
      <c r="B4092" t="s">
        <v>64</v>
      </c>
      <c r="C4092" s="3" t="s">
        <v>64</v>
      </c>
      <c r="D4092" s="16" t="s">
        <v>64</v>
      </c>
      <c r="E4092" s="16">
        <v>0</v>
      </c>
      <c r="F4092" s="16" t="s">
        <v>64</v>
      </c>
      <c r="G4092" s="16" t="s">
        <v>64</v>
      </c>
    </row>
    <row r="4093" spans="1:7" x14ac:dyDescent="0.2">
      <c r="A4093" t="s">
        <v>64</v>
      </c>
      <c r="B4093" t="s">
        <v>64</v>
      </c>
      <c r="C4093" s="3" t="s">
        <v>64</v>
      </c>
      <c r="D4093" s="16" t="s">
        <v>64</v>
      </c>
      <c r="E4093" s="16">
        <v>0</v>
      </c>
      <c r="F4093" s="16" t="s">
        <v>64</v>
      </c>
      <c r="G4093" s="16" t="s">
        <v>64</v>
      </c>
    </row>
    <row r="4094" spans="1:7" x14ac:dyDescent="0.2">
      <c r="A4094" t="s">
        <v>64</v>
      </c>
      <c r="B4094" t="s">
        <v>64</v>
      </c>
      <c r="C4094" s="3" t="s">
        <v>64</v>
      </c>
      <c r="D4094" s="16" t="s">
        <v>64</v>
      </c>
      <c r="E4094" s="16">
        <v>0</v>
      </c>
      <c r="F4094" s="16" t="s">
        <v>64</v>
      </c>
      <c r="G4094" s="16" t="s">
        <v>64</v>
      </c>
    </row>
    <row r="4095" spans="1:7" x14ac:dyDescent="0.2">
      <c r="A4095" t="s">
        <v>64</v>
      </c>
      <c r="B4095" t="s">
        <v>64</v>
      </c>
      <c r="C4095" s="3" t="s">
        <v>64</v>
      </c>
      <c r="D4095" s="16" t="s">
        <v>64</v>
      </c>
      <c r="E4095" s="16">
        <v>0</v>
      </c>
      <c r="F4095" s="16" t="s">
        <v>64</v>
      </c>
      <c r="G4095" s="16" t="s">
        <v>64</v>
      </c>
    </row>
    <row r="4096" spans="1:7" x14ac:dyDescent="0.2">
      <c r="A4096" t="s">
        <v>64</v>
      </c>
      <c r="B4096" t="s">
        <v>64</v>
      </c>
      <c r="C4096" s="3" t="s">
        <v>64</v>
      </c>
      <c r="D4096" s="16" t="s">
        <v>64</v>
      </c>
      <c r="E4096" s="16">
        <v>0</v>
      </c>
      <c r="F4096" s="16" t="s">
        <v>64</v>
      </c>
      <c r="G4096" s="16" t="s">
        <v>64</v>
      </c>
    </row>
    <row r="4097" spans="1:7" x14ac:dyDescent="0.2">
      <c r="A4097" t="s">
        <v>64</v>
      </c>
      <c r="B4097" t="s">
        <v>64</v>
      </c>
      <c r="C4097" s="3" t="s">
        <v>64</v>
      </c>
      <c r="D4097" s="16" t="s">
        <v>64</v>
      </c>
      <c r="E4097" s="16">
        <v>0</v>
      </c>
      <c r="F4097" s="16" t="s">
        <v>64</v>
      </c>
      <c r="G4097" s="16" t="s">
        <v>64</v>
      </c>
    </row>
    <row r="4098" spans="1:7" x14ac:dyDescent="0.2">
      <c r="A4098" t="s">
        <v>64</v>
      </c>
      <c r="B4098" t="s">
        <v>64</v>
      </c>
      <c r="C4098" s="3" t="s">
        <v>64</v>
      </c>
      <c r="D4098" s="16" t="s">
        <v>64</v>
      </c>
      <c r="E4098" s="16">
        <v>0</v>
      </c>
      <c r="F4098" s="16" t="s">
        <v>64</v>
      </c>
      <c r="G4098" s="16" t="s">
        <v>64</v>
      </c>
    </row>
    <row r="4099" spans="1:7" x14ac:dyDescent="0.2">
      <c r="A4099" t="s">
        <v>64</v>
      </c>
      <c r="B4099" t="s">
        <v>64</v>
      </c>
      <c r="C4099" s="3" t="s">
        <v>64</v>
      </c>
      <c r="D4099" s="16" t="s">
        <v>64</v>
      </c>
      <c r="E4099" s="16">
        <v>0</v>
      </c>
      <c r="F4099" s="16" t="s">
        <v>64</v>
      </c>
      <c r="G4099" s="16" t="s">
        <v>64</v>
      </c>
    </row>
    <row r="4100" spans="1:7" x14ac:dyDescent="0.2">
      <c r="A4100" t="s">
        <v>64</v>
      </c>
      <c r="B4100" t="s">
        <v>64</v>
      </c>
      <c r="C4100" s="3" t="s">
        <v>64</v>
      </c>
      <c r="D4100" s="16" t="s">
        <v>64</v>
      </c>
      <c r="E4100" s="16">
        <v>0</v>
      </c>
      <c r="F4100" s="16" t="s">
        <v>64</v>
      </c>
      <c r="G4100" s="16" t="s">
        <v>64</v>
      </c>
    </row>
    <row r="4101" spans="1:7" x14ac:dyDescent="0.2">
      <c r="A4101" t="s">
        <v>64</v>
      </c>
      <c r="B4101" t="s">
        <v>64</v>
      </c>
      <c r="C4101" s="3" t="s">
        <v>64</v>
      </c>
      <c r="D4101" s="16" t="s">
        <v>64</v>
      </c>
      <c r="E4101" s="16">
        <v>0</v>
      </c>
      <c r="F4101" s="16" t="s">
        <v>64</v>
      </c>
      <c r="G4101" s="16" t="s">
        <v>64</v>
      </c>
    </row>
    <row r="4102" spans="1:7" x14ac:dyDescent="0.2">
      <c r="A4102" t="s">
        <v>64</v>
      </c>
      <c r="B4102" t="s">
        <v>64</v>
      </c>
      <c r="C4102" s="3" t="s">
        <v>64</v>
      </c>
      <c r="D4102" s="16" t="s">
        <v>64</v>
      </c>
      <c r="E4102" s="16">
        <v>0</v>
      </c>
      <c r="F4102" s="16" t="s">
        <v>64</v>
      </c>
      <c r="G4102" s="16" t="s">
        <v>64</v>
      </c>
    </row>
    <row r="4103" spans="1:7" x14ac:dyDescent="0.2">
      <c r="A4103" t="s">
        <v>64</v>
      </c>
      <c r="B4103" t="s">
        <v>64</v>
      </c>
      <c r="C4103" s="3" t="s">
        <v>64</v>
      </c>
      <c r="D4103" s="16" t="s">
        <v>64</v>
      </c>
      <c r="E4103" s="16">
        <v>0</v>
      </c>
      <c r="F4103" s="16" t="s">
        <v>64</v>
      </c>
      <c r="G4103" s="16" t="s">
        <v>64</v>
      </c>
    </row>
    <row r="4104" spans="1:7" x14ac:dyDescent="0.2">
      <c r="A4104" t="s">
        <v>64</v>
      </c>
      <c r="B4104" t="s">
        <v>64</v>
      </c>
      <c r="C4104" s="3" t="s">
        <v>64</v>
      </c>
      <c r="D4104" s="16" t="s">
        <v>64</v>
      </c>
      <c r="E4104" s="16">
        <v>0</v>
      </c>
      <c r="F4104" s="16" t="s">
        <v>64</v>
      </c>
      <c r="G4104" s="16" t="s">
        <v>64</v>
      </c>
    </row>
    <row r="4105" spans="1:7" x14ac:dyDescent="0.2">
      <c r="A4105" t="s">
        <v>64</v>
      </c>
      <c r="B4105" t="s">
        <v>64</v>
      </c>
      <c r="C4105" s="3" t="s">
        <v>64</v>
      </c>
      <c r="D4105" s="16" t="s">
        <v>64</v>
      </c>
      <c r="E4105" s="16">
        <v>0</v>
      </c>
      <c r="F4105" s="16" t="s">
        <v>64</v>
      </c>
      <c r="G4105" s="16" t="s">
        <v>64</v>
      </c>
    </row>
    <row r="4106" spans="1:7" x14ac:dyDescent="0.2">
      <c r="A4106" t="s">
        <v>64</v>
      </c>
      <c r="B4106" t="s">
        <v>64</v>
      </c>
      <c r="C4106" s="3" t="s">
        <v>64</v>
      </c>
      <c r="D4106" s="16" t="s">
        <v>64</v>
      </c>
      <c r="E4106" s="16">
        <v>0</v>
      </c>
      <c r="F4106" s="16" t="s">
        <v>64</v>
      </c>
      <c r="G4106" s="16" t="s">
        <v>64</v>
      </c>
    </row>
    <row r="4107" spans="1:7" x14ac:dyDescent="0.2">
      <c r="A4107" t="s">
        <v>64</v>
      </c>
      <c r="B4107" t="s">
        <v>64</v>
      </c>
      <c r="C4107" s="3" t="s">
        <v>64</v>
      </c>
      <c r="D4107" s="16" t="s">
        <v>64</v>
      </c>
      <c r="E4107" s="16">
        <v>0</v>
      </c>
      <c r="F4107" s="16" t="s">
        <v>64</v>
      </c>
      <c r="G4107" s="16" t="s">
        <v>64</v>
      </c>
    </row>
    <row r="4108" spans="1:7" x14ac:dyDescent="0.2">
      <c r="A4108" t="s">
        <v>64</v>
      </c>
      <c r="B4108" t="s">
        <v>64</v>
      </c>
      <c r="C4108" s="3" t="s">
        <v>64</v>
      </c>
      <c r="D4108" s="16" t="s">
        <v>64</v>
      </c>
      <c r="E4108" s="16">
        <v>0</v>
      </c>
      <c r="F4108" s="16" t="s">
        <v>64</v>
      </c>
      <c r="G4108" s="16" t="s">
        <v>64</v>
      </c>
    </row>
    <row r="4109" spans="1:7" x14ac:dyDescent="0.2">
      <c r="A4109" t="s">
        <v>64</v>
      </c>
      <c r="B4109" t="s">
        <v>64</v>
      </c>
      <c r="C4109" s="3" t="s">
        <v>64</v>
      </c>
      <c r="D4109" s="16" t="s">
        <v>64</v>
      </c>
      <c r="E4109" s="16">
        <v>0</v>
      </c>
      <c r="F4109" s="16" t="s">
        <v>64</v>
      </c>
      <c r="G4109" s="16" t="s">
        <v>64</v>
      </c>
    </row>
    <row r="4110" spans="1:7" x14ac:dyDescent="0.2">
      <c r="A4110" t="s">
        <v>64</v>
      </c>
      <c r="B4110" t="s">
        <v>64</v>
      </c>
      <c r="C4110" s="3" t="s">
        <v>64</v>
      </c>
      <c r="D4110" s="16" t="s">
        <v>64</v>
      </c>
      <c r="E4110" s="16">
        <v>0</v>
      </c>
      <c r="F4110" s="16" t="s">
        <v>64</v>
      </c>
      <c r="G4110" s="16" t="s">
        <v>64</v>
      </c>
    </row>
    <row r="4111" spans="1:7" x14ac:dyDescent="0.2">
      <c r="A4111" t="s">
        <v>64</v>
      </c>
      <c r="B4111" t="s">
        <v>64</v>
      </c>
      <c r="C4111" s="3" t="s">
        <v>64</v>
      </c>
      <c r="D4111" s="16" t="s">
        <v>64</v>
      </c>
      <c r="E4111" s="16">
        <v>0</v>
      </c>
      <c r="F4111" s="16" t="s">
        <v>64</v>
      </c>
      <c r="G4111" s="16" t="s">
        <v>64</v>
      </c>
    </row>
    <row r="4112" spans="1:7" x14ac:dyDescent="0.2">
      <c r="A4112" t="s">
        <v>64</v>
      </c>
      <c r="B4112" t="s">
        <v>64</v>
      </c>
      <c r="C4112" s="3" t="s">
        <v>64</v>
      </c>
      <c r="D4112" s="16" t="s">
        <v>64</v>
      </c>
      <c r="E4112" s="16">
        <v>0</v>
      </c>
      <c r="F4112" s="16" t="s">
        <v>64</v>
      </c>
      <c r="G4112" s="16" t="s">
        <v>64</v>
      </c>
    </row>
    <row r="4113" spans="1:7" x14ac:dyDescent="0.2">
      <c r="A4113" t="s">
        <v>64</v>
      </c>
      <c r="B4113" t="s">
        <v>64</v>
      </c>
      <c r="C4113" s="3" t="s">
        <v>64</v>
      </c>
      <c r="D4113" s="16" t="s">
        <v>64</v>
      </c>
      <c r="E4113" s="16">
        <v>0</v>
      </c>
      <c r="F4113" s="16" t="s">
        <v>64</v>
      </c>
      <c r="G4113" s="16" t="s">
        <v>64</v>
      </c>
    </row>
    <row r="4114" spans="1:7" x14ac:dyDescent="0.2">
      <c r="A4114" t="s">
        <v>64</v>
      </c>
      <c r="B4114" t="s">
        <v>64</v>
      </c>
      <c r="C4114" s="3" t="s">
        <v>64</v>
      </c>
      <c r="D4114" s="16" t="s">
        <v>64</v>
      </c>
      <c r="E4114" s="16">
        <v>0</v>
      </c>
      <c r="F4114" s="16" t="s">
        <v>64</v>
      </c>
      <c r="G4114" s="16" t="s">
        <v>64</v>
      </c>
    </row>
    <row r="4115" spans="1:7" x14ac:dyDescent="0.2">
      <c r="A4115" t="s">
        <v>64</v>
      </c>
      <c r="B4115" t="s">
        <v>64</v>
      </c>
      <c r="C4115" s="3" t="s">
        <v>64</v>
      </c>
      <c r="D4115" s="16" t="s">
        <v>64</v>
      </c>
      <c r="E4115" s="16">
        <v>0</v>
      </c>
      <c r="F4115" s="16" t="s">
        <v>64</v>
      </c>
      <c r="G4115" s="16" t="s">
        <v>64</v>
      </c>
    </row>
    <row r="4116" spans="1:7" x14ac:dyDescent="0.2">
      <c r="A4116" t="s">
        <v>64</v>
      </c>
      <c r="B4116" t="s">
        <v>64</v>
      </c>
      <c r="C4116" s="3" t="s">
        <v>64</v>
      </c>
      <c r="D4116" s="16" t="s">
        <v>64</v>
      </c>
      <c r="E4116" s="16">
        <v>0</v>
      </c>
      <c r="F4116" s="16" t="s">
        <v>64</v>
      </c>
      <c r="G4116" s="16" t="s">
        <v>64</v>
      </c>
    </row>
    <row r="4117" spans="1:7" x14ac:dyDescent="0.2">
      <c r="A4117" t="s">
        <v>64</v>
      </c>
      <c r="B4117" t="s">
        <v>64</v>
      </c>
      <c r="C4117" s="3" t="s">
        <v>64</v>
      </c>
      <c r="D4117" s="16" t="s">
        <v>64</v>
      </c>
      <c r="E4117" s="16">
        <v>0</v>
      </c>
      <c r="F4117" s="16" t="s">
        <v>64</v>
      </c>
      <c r="G4117" s="16" t="s">
        <v>64</v>
      </c>
    </row>
    <row r="4118" spans="1:7" x14ac:dyDescent="0.2">
      <c r="A4118" t="s">
        <v>64</v>
      </c>
      <c r="B4118" t="s">
        <v>64</v>
      </c>
      <c r="C4118" s="3" t="s">
        <v>64</v>
      </c>
      <c r="D4118" s="16" t="s">
        <v>64</v>
      </c>
      <c r="E4118" s="16">
        <v>0</v>
      </c>
      <c r="F4118" s="16" t="s">
        <v>64</v>
      </c>
      <c r="G4118" s="16" t="s">
        <v>64</v>
      </c>
    </row>
    <row r="4119" spans="1:7" x14ac:dyDescent="0.2">
      <c r="A4119" t="s">
        <v>64</v>
      </c>
      <c r="B4119" t="s">
        <v>64</v>
      </c>
      <c r="C4119" s="3" t="s">
        <v>64</v>
      </c>
      <c r="D4119" s="16" t="s">
        <v>64</v>
      </c>
      <c r="E4119" s="16">
        <v>0</v>
      </c>
      <c r="F4119" s="16" t="s">
        <v>64</v>
      </c>
      <c r="G4119" s="16" t="s">
        <v>64</v>
      </c>
    </row>
    <row r="4120" spans="1:7" x14ac:dyDescent="0.2">
      <c r="A4120" t="s">
        <v>64</v>
      </c>
      <c r="B4120" t="s">
        <v>64</v>
      </c>
      <c r="C4120" s="3" t="s">
        <v>64</v>
      </c>
      <c r="D4120" s="16" t="s">
        <v>64</v>
      </c>
      <c r="E4120" s="16">
        <v>0</v>
      </c>
      <c r="F4120" s="16" t="s">
        <v>64</v>
      </c>
      <c r="G4120" s="16" t="s">
        <v>64</v>
      </c>
    </row>
    <row r="4121" spans="1:7" x14ac:dyDescent="0.2">
      <c r="A4121" t="s">
        <v>64</v>
      </c>
      <c r="B4121" t="s">
        <v>64</v>
      </c>
      <c r="C4121" s="3" t="s">
        <v>64</v>
      </c>
      <c r="D4121" s="16" t="s">
        <v>64</v>
      </c>
      <c r="E4121" s="16">
        <v>0</v>
      </c>
      <c r="F4121" s="16" t="s">
        <v>64</v>
      </c>
      <c r="G4121" s="16" t="s">
        <v>64</v>
      </c>
    </row>
    <row r="4122" spans="1:7" x14ac:dyDescent="0.2">
      <c r="A4122" t="s">
        <v>64</v>
      </c>
      <c r="B4122" t="s">
        <v>64</v>
      </c>
      <c r="C4122" s="3" t="s">
        <v>64</v>
      </c>
      <c r="D4122" s="16" t="s">
        <v>64</v>
      </c>
      <c r="E4122" s="16">
        <v>0</v>
      </c>
      <c r="F4122" s="16" t="s">
        <v>64</v>
      </c>
      <c r="G4122" s="16" t="s">
        <v>64</v>
      </c>
    </row>
    <row r="4123" spans="1:7" x14ac:dyDescent="0.2">
      <c r="A4123" t="s">
        <v>64</v>
      </c>
      <c r="B4123" t="s">
        <v>64</v>
      </c>
      <c r="C4123" s="3" t="s">
        <v>64</v>
      </c>
      <c r="D4123" s="16" t="s">
        <v>64</v>
      </c>
      <c r="E4123" s="16">
        <v>0</v>
      </c>
      <c r="F4123" s="16" t="s">
        <v>64</v>
      </c>
      <c r="G4123" s="16" t="s">
        <v>64</v>
      </c>
    </row>
    <row r="4124" spans="1:7" x14ac:dyDescent="0.2">
      <c r="A4124" t="s">
        <v>64</v>
      </c>
      <c r="B4124" t="s">
        <v>64</v>
      </c>
      <c r="C4124" s="3" t="s">
        <v>64</v>
      </c>
      <c r="D4124" s="16" t="s">
        <v>64</v>
      </c>
      <c r="E4124" s="16">
        <v>0</v>
      </c>
      <c r="F4124" s="16" t="s">
        <v>64</v>
      </c>
      <c r="G4124" s="16" t="s">
        <v>64</v>
      </c>
    </row>
    <row r="4125" spans="1:7" x14ac:dyDescent="0.2">
      <c r="A4125" t="s">
        <v>64</v>
      </c>
      <c r="B4125" t="s">
        <v>64</v>
      </c>
      <c r="C4125" s="3" t="s">
        <v>64</v>
      </c>
      <c r="D4125" s="16" t="s">
        <v>64</v>
      </c>
      <c r="E4125" s="16">
        <v>0</v>
      </c>
      <c r="F4125" s="16" t="s">
        <v>64</v>
      </c>
      <c r="G4125" s="16" t="s">
        <v>64</v>
      </c>
    </row>
    <row r="4126" spans="1:7" x14ac:dyDescent="0.2">
      <c r="A4126" t="s">
        <v>64</v>
      </c>
      <c r="B4126" t="s">
        <v>64</v>
      </c>
      <c r="C4126" s="3" t="s">
        <v>64</v>
      </c>
      <c r="D4126" s="16" t="s">
        <v>64</v>
      </c>
      <c r="E4126" s="16">
        <v>0</v>
      </c>
      <c r="F4126" s="16" t="s">
        <v>64</v>
      </c>
      <c r="G4126" s="16" t="s">
        <v>64</v>
      </c>
    </row>
    <row r="4127" spans="1:7" x14ac:dyDescent="0.2">
      <c r="A4127" t="s">
        <v>64</v>
      </c>
      <c r="B4127" t="s">
        <v>64</v>
      </c>
      <c r="C4127" s="3" t="s">
        <v>64</v>
      </c>
      <c r="D4127" s="16" t="s">
        <v>64</v>
      </c>
      <c r="E4127" s="16">
        <v>0</v>
      </c>
      <c r="F4127" s="16" t="s">
        <v>64</v>
      </c>
      <c r="G4127" s="16" t="s">
        <v>64</v>
      </c>
    </row>
    <row r="4128" spans="1:7" x14ac:dyDescent="0.2">
      <c r="A4128" t="s">
        <v>64</v>
      </c>
      <c r="B4128" t="s">
        <v>64</v>
      </c>
      <c r="C4128" s="3" t="s">
        <v>64</v>
      </c>
      <c r="D4128" s="16" t="s">
        <v>64</v>
      </c>
      <c r="E4128" s="16">
        <v>0</v>
      </c>
      <c r="F4128" s="16" t="s">
        <v>64</v>
      </c>
      <c r="G4128" s="16" t="s">
        <v>64</v>
      </c>
    </row>
    <row r="4129" spans="1:7" x14ac:dyDescent="0.2">
      <c r="A4129" t="s">
        <v>64</v>
      </c>
      <c r="B4129" t="s">
        <v>64</v>
      </c>
      <c r="C4129" s="3" t="s">
        <v>64</v>
      </c>
      <c r="D4129" s="16" t="s">
        <v>64</v>
      </c>
      <c r="E4129" s="16">
        <v>0</v>
      </c>
      <c r="F4129" s="16" t="s">
        <v>64</v>
      </c>
      <c r="G4129" s="16" t="s">
        <v>64</v>
      </c>
    </row>
    <row r="4130" spans="1:7" x14ac:dyDescent="0.2">
      <c r="A4130" t="s">
        <v>64</v>
      </c>
      <c r="B4130" t="s">
        <v>64</v>
      </c>
      <c r="C4130" s="3" t="s">
        <v>64</v>
      </c>
      <c r="D4130" s="16" t="s">
        <v>64</v>
      </c>
      <c r="E4130" s="16">
        <v>0</v>
      </c>
      <c r="F4130" s="16" t="s">
        <v>64</v>
      </c>
      <c r="G4130" s="16" t="s">
        <v>64</v>
      </c>
    </row>
    <row r="4131" spans="1:7" x14ac:dyDescent="0.2">
      <c r="A4131" t="s">
        <v>64</v>
      </c>
      <c r="B4131" t="s">
        <v>64</v>
      </c>
      <c r="C4131" s="3" t="s">
        <v>64</v>
      </c>
      <c r="D4131" s="16" t="s">
        <v>64</v>
      </c>
      <c r="E4131" s="16">
        <v>0</v>
      </c>
      <c r="F4131" s="16" t="s">
        <v>64</v>
      </c>
      <c r="G4131" s="16" t="s">
        <v>64</v>
      </c>
    </row>
    <row r="4132" spans="1:7" x14ac:dyDescent="0.2">
      <c r="A4132" t="s">
        <v>64</v>
      </c>
      <c r="B4132" t="s">
        <v>64</v>
      </c>
      <c r="C4132" s="3" t="s">
        <v>64</v>
      </c>
      <c r="D4132" s="16" t="s">
        <v>64</v>
      </c>
      <c r="E4132" s="16">
        <v>0</v>
      </c>
      <c r="F4132" s="16" t="s">
        <v>64</v>
      </c>
      <c r="G4132" s="16" t="s">
        <v>64</v>
      </c>
    </row>
    <row r="4133" spans="1:7" x14ac:dyDescent="0.2">
      <c r="A4133" t="s">
        <v>64</v>
      </c>
      <c r="B4133" t="s">
        <v>64</v>
      </c>
      <c r="C4133" s="3" t="s">
        <v>64</v>
      </c>
      <c r="D4133" s="16" t="s">
        <v>64</v>
      </c>
      <c r="E4133" s="16">
        <v>0</v>
      </c>
      <c r="F4133" s="16" t="s">
        <v>64</v>
      </c>
      <c r="G4133" s="16" t="s">
        <v>64</v>
      </c>
    </row>
    <row r="4134" spans="1:7" x14ac:dyDescent="0.2">
      <c r="A4134" t="s">
        <v>64</v>
      </c>
      <c r="B4134" t="s">
        <v>64</v>
      </c>
      <c r="C4134" s="3" t="s">
        <v>64</v>
      </c>
      <c r="D4134" s="16" t="s">
        <v>64</v>
      </c>
      <c r="E4134" s="16">
        <v>0</v>
      </c>
      <c r="F4134" s="16" t="s">
        <v>64</v>
      </c>
      <c r="G4134" s="16" t="s">
        <v>64</v>
      </c>
    </row>
    <row r="4135" spans="1:7" x14ac:dyDescent="0.2">
      <c r="A4135" t="s">
        <v>64</v>
      </c>
      <c r="B4135" t="s">
        <v>64</v>
      </c>
      <c r="C4135" s="3" t="s">
        <v>64</v>
      </c>
      <c r="D4135" s="16" t="s">
        <v>64</v>
      </c>
      <c r="E4135" s="16">
        <v>0</v>
      </c>
      <c r="F4135" s="16" t="s">
        <v>64</v>
      </c>
      <c r="G4135" s="16" t="s">
        <v>64</v>
      </c>
    </row>
    <row r="4136" spans="1:7" x14ac:dyDescent="0.2">
      <c r="A4136" t="s">
        <v>64</v>
      </c>
      <c r="B4136" t="s">
        <v>64</v>
      </c>
      <c r="C4136" s="3" t="s">
        <v>64</v>
      </c>
      <c r="D4136" s="16" t="s">
        <v>64</v>
      </c>
      <c r="E4136" s="16">
        <v>0</v>
      </c>
      <c r="F4136" s="16" t="s">
        <v>64</v>
      </c>
      <c r="G4136" s="16" t="s">
        <v>64</v>
      </c>
    </row>
    <row r="4137" spans="1:7" x14ac:dyDescent="0.2">
      <c r="A4137" t="s">
        <v>64</v>
      </c>
      <c r="B4137" t="s">
        <v>64</v>
      </c>
      <c r="C4137" s="3" t="s">
        <v>64</v>
      </c>
      <c r="D4137" s="16" t="s">
        <v>64</v>
      </c>
      <c r="E4137" s="16">
        <v>0</v>
      </c>
      <c r="F4137" s="16" t="s">
        <v>64</v>
      </c>
      <c r="G4137" s="16" t="s">
        <v>64</v>
      </c>
    </row>
    <row r="4138" spans="1:7" x14ac:dyDescent="0.2">
      <c r="A4138" t="s">
        <v>64</v>
      </c>
      <c r="B4138" t="s">
        <v>64</v>
      </c>
      <c r="C4138" s="3" t="s">
        <v>64</v>
      </c>
      <c r="D4138" s="16" t="s">
        <v>64</v>
      </c>
      <c r="E4138" s="16">
        <v>0</v>
      </c>
      <c r="F4138" s="16" t="s">
        <v>64</v>
      </c>
      <c r="G4138" s="16" t="s">
        <v>64</v>
      </c>
    </row>
    <row r="4139" spans="1:7" x14ac:dyDescent="0.2">
      <c r="A4139" t="s">
        <v>64</v>
      </c>
      <c r="B4139" t="s">
        <v>64</v>
      </c>
      <c r="C4139" s="3" t="s">
        <v>64</v>
      </c>
      <c r="D4139" s="16" t="s">
        <v>64</v>
      </c>
      <c r="E4139" s="16">
        <v>0</v>
      </c>
      <c r="F4139" s="16" t="s">
        <v>64</v>
      </c>
      <c r="G4139" s="16" t="s">
        <v>64</v>
      </c>
    </row>
    <row r="4140" spans="1:7" x14ac:dyDescent="0.2">
      <c r="A4140" t="s">
        <v>64</v>
      </c>
      <c r="B4140" t="s">
        <v>64</v>
      </c>
      <c r="C4140" s="3" t="s">
        <v>64</v>
      </c>
      <c r="D4140" s="16" t="s">
        <v>64</v>
      </c>
      <c r="E4140" s="16">
        <v>0</v>
      </c>
      <c r="F4140" s="16" t="s">
        <v>64</v>
      </c>
      <c r="G4140" s="16" t="s">
        <v>64</v>
      </c>
    </row>
    <row r="4141" spans="1:7" x14ac:dyDescent="0.2">
      <c r="A4141" t="s">
        <v>64</v>
      </c>
      <c r="B4141" t="s">
        <v>64</v>
      </c>
      <c r="C4141" s="3" t="s">
        <v>64</v>
      </c>
      <c r="D4141" s="16" t="s">
        <v>64</v>
      </c>
      <c r="E4141" s="16">
        <v>0</v>
      </c>
      <c r="F4141" s="16" t="s">
        <v>64</v>
      </c>
      <c r="G4141" s="16" t="s">
        <v>64</v>
      </c>
    </row>
    <row r="4142" spans="1:7" x14ac:dyDescent="0.2">
      <c r="A4142" t="s">
        <v>64</v>
      </c>
      <c r="B4142" t="s">
        <v>64</v>
      </c>
      <c r="C4142" s="3" t="s">
        <v>64</v>
      </c>
      <c r="D4142" s="16" t="s">
        <v>64</v>
      </c>
      <c r="E4142" s="16">
        <v>0</v>
      </c>
      <c r="F4142" s="16" t="s">
        <v>64</v>
      </c>
      <c r="G4142" s="16" t="s">
        <v>64</v>
      </c>
    </row>
    <row r="4143" spans="1:7" x14ac:dyDescent="0.2">
      <c r="A4143" t="s">
        <v>64</v>
      </c>
      <c r="B4143" t="s">
        <v>64</v>
      </c>
      <c r="C4143" s="3" t="s">
        <v>64</v>
      </c>
      <c r="D4143" s="16" t="s">
        <v>64</v>
      </c>
      <c r="E4143" s="16">
        <v>0</v>
      </c>
      <c r="F4143" s="16" t="s">
        <v>64</v>
      </c>
      <c r="G4143" s="16" t="s">
        <v>64</v>
      </c>
    </row>
    <row r="4144" spans="1:7" x14ac:dyDescent="0.2">
      <c r="A4144" t="s">
        <v>64</v>
      </c>
      <c r="B4144" t="s">
        <v>64</v>
      </c>
      <c r="C4144" s="3" t="s">
        <v>64</v>
      </c>
      <c r="D4144" s="16" t="s">
        <v>64</v>
      </c>
      <c r="E4144" s="16">
        <v>0</v>
      </c>
      <c r="F4144" s="16" t="s">
        <v>64</v>
      </c>
      <c r="G4144" s="16" t="s">
        <v>64</v>
      </c>
    </row>
    <row r="4145" spans="1:7" x14ac:dyDescent="0.2">
      <c r="A4145" t="s">
        <v>64</v>
      </c>
      <c r="B4145" t="s">
        <v>64</v>
      </c>
      <c r="C4145" s="3" t="s">
        <v>64</v>
      </c>
      <c r="D4145" s="16" t="s">
        <v>64</v>
      </c>
      <c r="E4145" s="16">
        <v>0</v>
      </c>
      <c r="F4145" s="16" t="s">
        <v>64</v>
      </c>
      <c r="G4145" s="16" t="s">
        <v>64</v>
      </c>
    </row>
    <row r="4146" spans="1:7" x14ac:dyDescent="0.2">
      <c r="A4146" t="s">
        <v>64</v>
      </c>
      <c r="B4146" t="s">
        <v>64</v>
      </c>
      <c r="C4146" s="3" t="s">
        <v>64</v>
      </c>
      <c r="D4146" s="16" t="s">
        <v>64</v>
      </c>
      <c r="E4146" s="16">
        <v>0</v>
      </c>
      <c r="F4146" s="16" t="s">
        <v>64</v>
      </c>
      <c r="G4146" s="16" t="s">
        <v>64</v>
      </c>
    </row>
    <row r="4147" spans="1:7" x14ac:dyDescent="0.2">
      <c r="A4147" t="s">
        <v>64</v>
      </c>
      <c r="B4147" t="s">
        <v>64</v>
      </c>
      <c r="C4147" s="3" t="s">
        <v>64</v>
      </c>
      <c r="D4147" s="16" t="s">
        <v>64</v>
      </c>
      <c r="E4147" s="16">
        <v>0</v>
      </c>
      <c r="F4147" s="16" t="s">
        <v>64</v>
      </c>
      <c r="G4147" s="16" t="s">
        <v>64</v>
      </c>
    </row>
    <row r="4148" spans="1:7" x14ac:dyDescent="0.2">
      <c r="A4148" t="s">
        <v>64</v>
      </c>
      <c r="B4148" t="s">
        <v>64</v>
      </c>
      <c r="C4148" s="3" t="s">
        <v>64</v>
      </c>
      <c r="D4148" s="16" t="s">
        <v>64</v>
      </c>
      <c r="E4148" s="16">
        <v>0</v>
      </c>
      <c r="F4148" s="16" t="s">
        <v>64</v>
      </c>
      <c r="G4148" s="16" t="s">
        <v>64</v>
      </c>
    </row>
    <row r="4149" spans="1:7" x14ac:dyDescent="0.2">
      <c r="A4149" t="s">
        <v>64</v>
      </c>
      <c r="B4149" t="s">
        <v>64</v>
      </c>
      <c r="C4149" s="3" t="s">
        <v>64</v>
      </c>
      <c r="D4149" s="16" t="s">
        <v>64</v>
      </c>
      <c r="E4149" s="16">
        <v>0</v>
      </c>
      <c r="F4149" s="16" t="s">
        <v>64</v>
      </c>
      <c r="G4149" s="16" t="s">
        <v>64</v>
      </c>
    </row>
    <row r="4150" spans="1:7" x14ac:dyDescent="0.2">
      <c r="A4150" t="s">
        <v>64</v>
      </c>
      <c r="B4150" t="s">
        <v>64</v>
      </c>
      <c r="C4150" s="3" t="s">
        <v>64</v>
      </c>
      <c r="D4150" s="16" t="s">
        <v>64</v>
      </c>
      <c r="E4150" s="16">
        <v>0</v>
      </c>
      <c r="F4150" s="16" t="s">
        <v>64</v>
      </c>
      <c r="G4150" s="16" t="s">
        <v>64</v>
      </c>
    </row>
    <row r="4151" spans="1:7" x14ac:dyDescent="0.2">
      <c r="A4151" t="s">
        <v>64</v>
      </c>
      <c r="B4151" t="s">
        <v>64</v>
      </c>
      <c r="C4151" s="3" t="s">
        <v>64</v>
      </c>
      <c r="D4151" s="16" t="s">
        <v>64</v>
      </c>
      <c r="E4151" s="16">
        <v>0</v>
      </c>
      <c r="F4151" s="16" t="s">
        <v>64</v>
      </c>
      <c r="G4151" s="16" t="s">
        <v>64</v>
      </c>
    </row>
    <row r="4152" spans="1:7" x14ac:dyDescent="0.2">
      <c r="A4152" t="s">
        <v>64</v>
      </c>
      <c r="B4152" t="s">
        <v>64</v>
      </c>
      <c r="C4152" s="3" t="s">
        <v>64</v>
      </c>
      <c r="D4152" s="16" t="s">
        <v>64</v>
      </c>
      <c r="E4152" s="16">
        <v>0</v>
      </c>
      <c r="F4152" s="16" t="s">
        <v>64</v>
      </c>
      <c r="G4152" s="16" t="s">
        <v>64</v>
      </c>
    </row>
    <row r="4153" spans="1:7" x14ac:dyDescent="0.2">
      <c r="A4153" t="s">
        <v>64</v>
      </c>
      <c r="B4153" t="s">
        <v>64</v>
      </c>
      <c r="C4153" s="3" t="s">
        <v>64</v>
      </c>
      <c r="D4153" s="16" t="s">
        <v>64</v>
      </c>
      <c r="E4153" s="16">
        <v>0</v>
      </c>
      <c r="F4153" s="16" t="s">
        <v>64</v>
      </c>
      <c r="G4153" s="16" t="s">
        <v>64</v>
      </c>
    </row>
    <row r="4154" spans="1:7" x14ac:dyDescent="0.2">
      <c r="A4154" t="s">
        <v>64</v>
      </c>
      <c r="B4154" t="s">
        <v>64</v>
      </c>
      <c r="C4154" s="3" t="s">
        <v>64</v>
      </c>
      <c r="D4154" s="16" t="s">
        <v>64</v>
      </c>
      <c r="E4154" s="16">
        <v>0</v>
      </c>
      <c r="F4154" s="16" t="s">
        <v>64</v>
      </c>
      <c r="G4154" s="16" t="s">
        <v>64</v>
      </c>
    </row>
    <row r="4155" spans="1:7" x14ac:dyDescent="0.2">
      <c r="A4155" t="s">
        <v>64</v>
      </c>
      <c r="B4155" t="s">
        <v>64</v>
      </c>
      <c r="C4155" s="3" t="s">
        <v>64</v>
      </c>
      <c r="D4155" s="16" t="s">
        <v>64</v>
      </c>
      <c r="E4155" s="16">
        <v>0</v>
      </c>
      <c r="F4155" s="16" t="s">
        <v>64</v>
      </c>
      <c r="G4155" s="16" t="s">
        <v>64</v>
      </c>
    </row>
    <row r="4156" spans="1:7" x14ac:dyDescent="0.2">
      <c r="A4156" t="s">
        <v>64</v>
      </c>
      <c r="B4156" t="s">
        <v>64</v>
      </c>
      <c r="C4156" s="3" t="s">
        <v>64</v>
      </c>
      <c r="D4156" s="16" t="s">
        <v>64</v>
      </c>
      <c r="E4156" s="16">
        <v>0</v>
      </c>
      <c r="F4156" s="16" t="s">
        <v>64</v>
      </c>
      <c r="G4156" s="16" t="s">
        <v>64</v>
      </c>
    </row>
    <row r="4157" spans="1:7" x14ac:dyDescent="0.2">
      <c r="A4157" t="s">
        <v>64</v>
      </c>
      <c r="B4157" t="s">
        <v>64</v>
      </c>
      <c r="C4157" s="3" t="s">
        <v>64</v>
      </c>
      <c r="D4157" s="16" t="s">
        <v>64</v>
      </c>
      <c r="E4157" s="16">
        <v>0</v>
      </c>
      <c r="F4157" s="16" t="s">
        <v>64</v>
      </c>
      <c r="G4157" s="16" t="s">
        <v>64</v>
      </c>
    </row>
    <row r="4158" spans="1:7" x14ac:dyDescent="0.2">
      <c r="A4158" t="s">
        <v>64</v>
      </c>
      <c r="B4158" t="s">
        <v>64</v>
      </c>
      <c r="C4158" s="3" t="s">
        <v>64</v>
      </c>
      <c r="D4158" s="16" t="s">
        <v>64</v>
      </c>
      <c r="E4158" s="16">
        <v>0</v>
      </c>
      <c r="F4158" s="16" t="s">
        <v>64</v>
      </c>
      <c r="G4158" s="16" t="s">
        <v>64</v>
      </c>
    </row>
    <row r="4159" spans="1:7" x14ac:dyDescent="0.2">
      <c r="A4159" t="s">
        <v>64</v>
      </c>
      <c r="B4159" t="s">
        <v>64</v>
      </c>
      <c r="C4159" s="3" t="s">
        <v>64</v>
      </c>
      <c r="D4159" s="16" t="s">
        <v>64</v>
      </c>
      <c r="E4159" s="16">
        <v>0</v>
      </c>
      <c r="F4159" s="16" t="s">
        <v>64</v>
      </c>
      <c r="G4159" s="16" t="s">
        <v>64</v>
      </c>
    </row>
    <row r="4160" spans="1:7" x14ac:dyDescent="0.2">
      <c r="A4160" t="s">
        <v>64</v>
      </c>
      <c r="B4160" t="s">
        <v>64</v>
      </c>
      <c r="C4160" s="3" t="s">
        <v>64</v>
      </c>
      <c r="D4160" s="16" t="s">
        <v>64</v>
      </c>
      <c r="E4160" s="16">
        <v>0</v>
      </c>
      <c r="F4160" s="16" t="s">
        <v>64</v>
      </c>
      <c r="G4160" s="16" t="s">
        <v>64</v>
      </c>
    </row>
    <row r="4161" spans="1:7" x14ac:dyDescent="0.2">
      <c r="A4161" t="s">
        <v>64</v>
      </c>
      <c r="B4161" t="s">
        <v>64</v>
      </c>
      <c r="C4161" s="3" t="s">
        <v>64</v>
      </c>
      <c r="D4161" s="16" t="s">
        <v>64</v>
      </c>
      <c r="E4161" s="16">
        <v>0</v>
      </c>
      <c r="F4161" s="16" t="s">
        <v>64</v>
      </c>
      <c r="G4161" s="16" t="s">
        <v>64</v>
      </c>
    </row>
    <row r="4162" spans="1:7" x14ac:dyDescent="0.2">
      <c r="A4162" t="s">
        <v>64</v>
      </c>
      <c r="B4162" t="s">
        <v>64</v>
      </c>
      <c r="C4162" s="3" t="s">
        <v>64</v>
      </c>
      <c r="D4162" s="16" t="s">
        <v>64</v>
      </c>
      <c r="E4162" s="16">
        <v>0</v>
      </c>
      <c r="F4162" s="16" t="s">
        <v>64</v>
      </c>
      <c r="G4162" s="16" t="s">
        <v>64</v>
      </c>
    </row>
    <row r="4163" spans="1:7" x14ac:dyDescent="0.2">
      <c r="A4163" t="s">
        <v>64</v>
      </c>
      <c r="B4163" t="s">
        <v>64</v>
      </c>
      <c r="C4163" s="3" t="s">
        <v>64</v>
      </c>
      <c r="D4163" s="16" t="s">
        <v>64</v>
      </c>
      <c r="E4163" s="16">
        <v>0</v>
      </c>
      <c r="F4163" s="16" t="s">
        <v>64</v>
      </c>
      <c r="G4163" s="16" t="s">
        <v>64</v>
      </c>
    </row>
    <row r="4164" spans="1:7" x14ac:dyDescent="0.2">
      <c r="A4164" t="s">
        <v>64</v>
      </c>
      <c r="B4164" t="s">
        <v>64</v>
      </c>
      <c r="C4164" s="3" t="s">
        <v>64</v>
      </c>
      <c r="D4164" s="16" t="s">
        <v>64</v>
      </c>
      <c r="E4164" s="16">
        <v>0</v>
      </c>
      <c r="F4164" s="16" t="s">
        <v>64</v>
      </c>
      <c r="G4164" s="16" t="s">
        <v>64</v>
      </c>
    </row>
    <row r="4165" spans="1:7" x14ac:dyDescent="0.2">
      <c r="A4165" t="s">
        <v>64</v>
      </c>
      <c r="B4165" t="s">
        <v>64</v>
      </c>
      <c r="C4165" s="3" t="s">
        <v>64</v>
      </c>
      <c r="D4165" s="16" t="s">
        <v>64</v>
      </c>
      <c r="E4165" s="16">
        <v>0</v>
      </c>
      <c r="F4165" s="16" t="s">
        <v>64</v>
      </c>
      <c r="G4165" s="16" t="s">
        <v>64</v>
      </c>
    </row>
    <row r="4166" spans="1:7" x14ac:dyDescent="0.2">
      <c r="A4166" t="s">
        <v>64</v>
      </c>
      <c r="B4166" t="s">
        <v>64</v>
      </c>
      <c r="C4166" s="3" t="s">
        <v>64</v>
      </c>
      <c r="D4166" s="16" t="s">
        <v>64</v>
      </c>
      <c r="E4166" s="16">
        <v>0</v>
      </c>
      <c r="F4166" s="16" t="s">
        <v>64</v>
      </c>
      <c r="G4166" s="16" t="s">
        <v>64</v>
      </c>
    </row>
    <row r="4167" spans="1:7" x14ac:dyDescent="0.2">
      <c r="A4167" t="s">
        <v>64</v>
      </c>
      <c r="B4167" t="s">
        <v>64</v>
      </c>
      <c r="C4167" s="3" t="s">
        <v>64</v>
      </c>
      <c r="D4167" s="16" t="s">
        <v>64</v>
      </c>
      <c r="E4167" s="16">
        <v>0</v>
      </c>
      <c r="F4167" s="16" t="s">
        <v>64</v>
      </c>
      <c r="G4167" s="16" t="s">
        <v>64</v>
      </c>
    </row>
    <row r="4168" spans="1:7" x14ac:dyDescent="0.2">
      <c r="A4168" t="s">
        <v>64</v>
      </c>
      <c r="B4168" t="s">
        <v>64</v>
      </c>
      <c r="C4168" s="3" t="s">
        <v>64</v>
      </c>
      <c r="D4168" s="16" t="s">
        <v>64</v>
      </c>
      <c r="E4168" s="16">
        <v>0</v>
      </c>
      <c r="F4168" s="16" t="s">
        <v>64</v>
      </c>
      <c r="G4168" s="16" t="s">
        <v>64</v>
      </c>
    </row>
    <row r="4169" spans="1:7" x14ac:dyDescent="0.2">
      <c r="A4169" t="s">
        <v>64</v>
      </c>
      <c r="B4169" t="s">
        <v>64</v>
      </c>
      <c r="C4169" s="3" t="s">
        <v>64</v>
      </c>
      <c r="D4169" s="16" t="s">
        <v>64</v>
      </c>
      <c r="E4169" s="16">
        <v>0</v>
      </c>
      <c r="F4169" s="16" t="s">
        <v>64</v>
      </c>
      <c r="G4169" s="16" t="s">
        <v>64</v>
      </c>
    </row>
    <row r="4170" spans="1:7" x14ac:dyDescent="0.2">
      <c r="A4170" t="s">
        <v>64</v>
      </c>
      <c r="B4170" t="s">
        <v>64</v>
      </c>
      <c r="C4170" s="3" t="s">
        <v>64</v>
      </c>
      <c r="D4170" s="16" t="s">
        <v>64</v>
      </c>
      <c r="E4170" s="16">
        <v>0</v>
      </c>
      <c r="F4170" s="16" t="s">
        <v>64</v>
      </c>
      <c r="G4170" s="16" t="s">
        <v>64</v>
      </c>
    </row>
    <row r="4171" spans="1:7" x14ac:dyDescent="0.2">
      <c r="A4171" t="s">
        <v>64</v>
      </c>
      <c r="B4171" t="s">
        <v>64</v>
      </c>
      <c r="C4171" s="3" t="s">
        <v>64</v>
      </c>
      <c r="D4171" s="16" t="s">
        <v>64</v>
      </c>
      <c r="E4171" s="16">
        <v>0</v>
      </c>
      <c r="F4171" s="16" t="s">
        <v>64</v>
      </c>
      <c r="G4171" s="16" t="s">
        <v>64</v>
      </c>
    </row>
    <row r="4172" spans="1:7" x14ac:dyDescent="0.2">
      <c r="A4172" t="s">
        <v>64</v>
      </c>
      <c r="B4172" t="s">
        <v>64</v>
      </c>
      <c r="C4172" s="3" t="s">
        <v>64</v>
      </c>
      <c r="D4172" s="16" t="s">
        <v>64</v>
      </c>
      <c r="E4172" s="16">
        <v>0</v>
      </c>
      <c r="F4172" s="16" t="s">
        <v>64</v>
      </c>
      <c r="G4172" s="16" t="s">
        <v>64</v>
      </c>
    </row>
    <row r="4173" spans="1:7" x14ac:dyDescent="0.2">
      <c r="A4173" t="s">
        <v>64</v>
      </c>
      <c r="B4173" t="s">
        <v>64</v>
      </c>
      <c r="C4173" s="3" t="s">
        <v>64</v>
      </c>
      <c r="D4173" s="16" t="s">
        <v>64</v>
      </c>
      <c r="E4173" s="16">
        <v>0</v>
      </c>
      <c r="F4173" s="16" t="s">
        <v>64</v>
      </c>
      <c r="G4173" s="16" t="s">
        <v>64</v>
      </c>
    </row>
    <row r="4174" spans="1:7" x14ac:dyDescent="0.2">
      <c r="A4174" t="s">
        <v>64</v>
      </c>
      <c r="B4174" t="s">
        <v>64</v>
      </c>
      <c r="C4174" s="3" t="s">
        <v>64</v>
      </c>
      <c r="D4174" s="16" t="s">
        <v>64</v>
      </c>
      <c r="E4174" s="16">
        <v>0</v>
      </c>
      <c r="F4174" s="16" t="s">
        <v>64</v>
      </c>
      <c r="G4174" s="16" t="s">
        <v>64</v>
      </c>
    </row>
    <row r="4175" spans="1:7" x14ac:dyDescent="0.2">
      <c r="A4175" t="s">
        <v>64</v>
      </c>
      <c r="B4175" t="s">
        <v>64</v>
      </c>
      <c r="C4175" s="3" t="s">
        <v>64</v>
      </c>
      <c r="D4175" s="16" t="s">
        <v>64</v>
      </c>
      <c r="E4175" s="16">
        <v>0</v>
      </c>
      <c r="F4175" s="16" t="s">
        <v>64</v>
      </c>
      <c r="G4175" s="16" t="s">
        <v>64</v>
      </c>
    </row>
    <row r="4176" spans="1:7" x14ac:dyDescent="0.2">
      <c r="A4176" t="s">
        <v>64</v>
      </c>
      <c r="B4176" t="s">
        <v>64</v>
      </c>
      <c r="C4176" s="3" t="s">
        <v>64</v>
      </c>
      <c r="D4176" s="16" t="s">
        <v>64</v>
      </c>
      <c r="E4176" s="16">
        <v>0</v>
      </c>
      <c r="F4176" s="16" t="s">
        <v>64</v>
      </c>
      <c r="G4176" s="16" t="s">
        <v>64</v>
      </c>
    </row>
    <row r="4177" spans="1:7" x14ac:dyDescent="0.2">
      <c r="A4177" t="s">
        <v>64</v>
      </c>
      <c r="B4177" t="s">
        <v>64</v>
      </c>
      <c r="C4177" s="3" t="s">
        <v>64</v>
      </c>
      <c r="D4177" s="16" t="s">
        <v>64</v>
      </c>
      <c r="E4177" s="16">
        <v>0</v>
      </c>
      <c r="F4177" s="16" t="s">
        <v>64</v>
      </c>
      <c r="G4177" s="16" t="s">
        <v>64</v>
      </c>
    </row>
    <row r="4178" spans="1:7" x14ac:dyDescent="0.2">
      <c r="A4178" t="s">
        <v>64</v>
      </c>
      <c r="B4178" t="s">
        <v>64</v>
      </c>
      <c r="C4178" s="3" t="s">
        <v>64</v>
      </c>
      <c r="D4178" s="16" t="s">
        <v>64</v>
      </c>
      <c r="E4178" s="16">
        <v>0</v>
      </c>
      <c r="F4178" s="16" t="s">
        <v>64</v>
      </c>
      <c r="G4178" s="16" t="s">
        <v>64</v>
      </c>
    </row>
    <row r="4179" spans="1:7" x14ac:dyDescent="0.2">
      <c r="A4179" t="s">
        <v>64</v>
      </c>
      <c r="B4179" t="s">
        <v>64</v>
      </c>
      <c r="C4179" s="3" t="s">
        <v>64</v>
      </c>
      <c r="D4179" s="16" t="s">
        <v>64</v>
      </c>
      <c r="E4179" s="16">
        <v>0</v>
      </c>
      <c r="F4179" s="16" t="s">
        <v>64</v>
      </c>
      <c r="G4179" s="16" t="s">
        <v>64</v>
      </c>
    </row>
    <row r="4180" spans="1:7" x14ac:dyDescent="0.2">
      <c r="A4180" t="s">
        <v>64</v>
      </c>
      <c r="B4180" t="s">
        <v>64</v>
      </c>
      <c r="C4180" s="3" t="s">
        <v>64</v>
      </c>
      <c r="D4180" s="16" t="s">
        <v>64</v>
      </c>
      <c r="E4180" s="16">
        <v>0</v>
      </c>
      <c r="F4180" s="16" t="s">
        <v>64</v>
      </c>
      <c r="G4180" s="16" t="s">
        <v>64</v>
      </c>
    </row>
    <row r="4181" spans="1:7" x14ac:dyDescent="0.2">
      <c r="A4181" t="s">
        <v>64</v>
      </c>
      <c r="B4181" t="s">
        <v>64</v>
      </c>
      <c r="C4181" s="3" t="s">
        <v>64</v>
      </c>
      <c r="D4181" s="16" t="s">
        <v>64</v>
      </c>
      <c r="E4181" s="16">
        <v>0</v>
      </c>
      <c r="F4181" s="16" t="s">
        <v>64</v>
      </c>
      <c r="G4181" s="16" t="s">
        <v>64</v>
      </c>
    </row>
    <row r="4182" spans="1:7" x14ac:dyDescent="0.2">
      <c r="A4182" t="s">
        <v>64</v>
      </c>
      <c r="B4182" t="s">
        <v>64</v>
      </c>
      <c r="C4182" s="3" t="s">
        <v>64</v>
      </c>
      <c r="D4182" s="16" t="s">
        <v>64</v>
      </c>
      <c r="E4182" s="16">
        <v>0</v>
      </c>
      <c r="F4182" s="16" t="s">
        <v>64</v>
      </c>
      <c r="G4182" s="16" t="s">
        <v>64</v>
      </c>
    </row>
    <row r="4183" spans="1:7" x14ac:dyDescent="0.2">
      <c r="A4183" t="s">
        <v>64</v>
      </c>
      <c r="B4183" t="s">
        <v>64</v>
      </c>
      <c r="C4183" s="3" t="s">
        <v>64</v>
      </c>
      <c r="D4183" s="16" t="s">
        <v>64</v>
      </c>
      <c r="E4183" s="16">
        <v>0</v>
      </c>
      <c r="F4183" s="16" t="s">
        <v>64</v>
      </c>
      <c r="G4183" s="16" t="s">
        <v>64</v>
      </c>
    </row>
    <row r="4184" spans="1:7" x14ac:dyDescent="0.2">
      <c r="A4184" t="s">
        <v>64</v>
      </c>
      <c r="B4184" t="s">
        <v>64</v>
      </c>
      <c r="C4184" s="3" t="s">
        <v>64</v>
      </c>
      <c r="D4184" s="16" t="s">
        <v>64</v>
      </c>
      <c r="E4184" s="16">
        <v>0</v>
      </c>
      <c r="F4184" s="16" t="s">
        <v>64</v>
      </c>
      <c r="G4184" s="16" t="s">
        <v>64</v>
      </c>
    </row>
    <row r="4185" spans="1:7" x14ac:dyDescent="0.2">
      <c r="A4185" t="s">
        <v>64</v>
      </c>
      <c r="B4185" t="s">
        <v>64</v>
      </c>
      <c r="C4185" s="3" t="s">
        <v>64</v>
      </c>
      <c r="D4185" s="16" t="s">
        <v>64</v>
      </c>
      <c r="E4185" s="16">
        <v>0</v>
      </c>
      <c r="F4185" s="16" t="s">
        <v>64</v>
      </c>
      <c r="G4185" s="16" t="s">
        <v>64</v>
      </c>
    </row>
    <row r="4186" spans="1:7" x14ac:dyDescent="0.2">
      <c r="A4186" t="s">
        <v>64</v>
      </c>
      <c r="B4186" t="s">
        <v>64</v>
      </c>
      <c r="C4186" s="3" t="s">
        <v>64</v>
      </c>
      <c r="D4186" s="16" t="s">
        <v>64</v>
      </c>
      <c r="E4186" s="16">
        <v>0</v>
      </c>
      <c r="F4186" s="16" t="s">
        <v>64</v>
      </c>
      <c r="G4186" s="16" t="s">
        <v>64</v>
      </c>
    </row>
    <row r="4187" spans="1:7" x14ac:dyDescent="0.2">
      <c r="A4187" t="s">
        <v>64</v>
      </c>
      <c r="B4187" t="s">
        <v>64</v>
      </c>
      <c r="C4187" s="3" t="s">
        <v>64</v>
      </c>
      <c r="D4187" s="16" t="s">
        <v>64</v>
      </c>
      <c r="E4187" s="16">
        <v>0</v>
      </c>
      <c r="F4187" s="16" t="s">
        <v>64</v>
      </c>
      <c r="G4187" s="16" t="s">
        <v>64</v>
      </c>
    </row>
    <row r="4188" spans="1:7" x14ac:dyDescent="0.2">
      <c r="A4188" t="s">
        <v>64</v>
      </c>
      <c r="B4188" t="s">
        <v>64</v>
      </c>
      <c r="C4188" s="3" t="s">
        <v>64</v>
      </c>
      <c r="D4188" s="16" t="s">
        <v>64</v>
      </c>
      <c r="E4188" s="16">
        <v>0</v>
      </c>
      <c r="F4188" s="16" t="s">
        <v>64</v>
      </c>
      <c r="G4188" s="16" t="s">
        <v>64</v>
      </c>
    </row>
    <row r="4189" spans="1:7" x14ac:dyDescent="0.2">
      <c r="A4189" t="s">
        <v>64</v>
      </c>
      <c r="B4189" t="s">
        <v>64</v>
      </c>
      <c r="C4189" s="3" t="s">
        <v>64</v>
      </c>
      <c r="D4189" s="16" t="s">
        <v>64</v>
      </c>
      <c r="E4189" s="16">
        <v>0</v>
      </c>
      <c r="F4189" s="16" t="s">
        <v>64</v>
      </c>
      <c r="G4189" s="16" t="s">
        <v>64</v>
      </c>
    </row>
    <row r="4190" spans="1:7" x14ac:dyDescent="0.2">
      <c r="A4190" t="s">
        <v>64</v>
      </c>
      <c r="B4190" t="s">
        <v>64</v>
      </c>
      <c r="C4190" s="3" t="s">
        <v>64</v>
      </c>
      <c r="D4190" s="16" t="s">
        <v>64</v>
      </c>
      <c r="E4190" s="16">
        <v>0</v>
      </c>
      <c r="F4190" s="16" t="s">
        <v>64</v>
      </c>
      <c r="G4190" s="16" t="s">
        <v>64</v>
      </c>
    </row>
    <row r="4191" spans="1:7" x14ac:dyDescent="0.2">
      <c r="A4191" t="s">
        <v>64</v>
      </c>
      <c r="B4191" t="s">
        <v>64</v>
      </c>
      <c r="C4191" s="3" t="s">
        <v>64</v>
      </c>
      <c r="D4191" s="16" t="s">
        <v>64</v>
      </c>
      <c r="E4191" s="16">
        <v>0</v>
      </c>
      <c r="F4191" s="16" t="s">
        <v>64</v>
      </c>
      <c r="G4191" s="16" t="s">
        <v>64</v>
      </c>
    </row>
    <row r="4192" spans="1:7" x14ac:dyDescent="0.2">
      <c r="A4192" t="s">
        <v>64</v>
      </c>
      <c r="B4192" t="s">
        <v>64</v>
      </c>
      <c r="C4192" s="3" t="s">
        <v>64</v>
      </c>
      <c r="D4192" s="16" t="s">
        <v>64</v>
      </c>
      <c r="E4192" s="16">
        <v>0</v>
      </c>
      <c r="F4192" s="16" t="s">
        <v>64</v>
      </c>
      <c r="G4192" s="16" t="s">
        <v>64</v>
      </c>
    </row>
    <row r="4193" spans="1:7" x14ac:dyDescent="0.2">
      <c r="A4193" t="s">
        <v>64</v>
      </c>
      <c r="B4193" t="s">
        <v>64</v>
      </c>
      <c r="C4193" s="3" t="s">
        <v>64</v>
      </c>
      <c r="D4193" s="16" t="s">
        <v>64</v>
      </c>
      <c r="E4193" s="16">
        <v>0</v>
      </c>
      <c r="F4193" s="16" t="s">
        <v>64</v>
      </c>
      <c r="G4193" s="16" t="s">
        <v>64</v>
      </c>
    </row>
    <row r="4194" spans="1:7" x14ac:dyDescent="0.2">
      <c r="A4194" t="s">
        <v>64</v>
      </c>
      <c r="B4194" t="s">
        <v>64</v>
      </c>
      <c r="C4194" s="3" t="s">
        <v>64</v>
      </c>
      <c r="D4194" s="16" t="s">
        <v>64</v>
      </c>
      <c r="E4194" s="16">
        <v>0</v>
      </c>
      <c r="F4194" s="16" t="s">
        <v>64</v>
      </c>
      <c r="G4194" s="16" t="s">
        <v>64</v>
      </c>
    </row>
    <row r="4195" spans="1:7" x14ac:dyDescent="0.2">
      <c r="A4195" t="s">
        <v>64</v>
      </c>
      <c r="B4195" t="s">
        <v>64</v>
      </c>
      <c r="C4195" s="3" t="s">
        <v>64</v>
      </c>
      <c r="D4195" s="16" t="s">
        <v>64</v>
      </c>
      <c r="E4195" s="16">
        <v>0</v>
      </c>
      <c r="F4195" s="16" t="s">
        <v>64</v>
      </c>
      <c r="G4195" s="16" t="s">
        <v>64</v>
      </c>
    </row>
    <row r="4196" spans="1:7" x14ac:dyDescent="0.2">
      <c r="A4196" t="s">
        <v>64</v>
      </c>
      <c r="B4196" t="s">
        <v>64</v>
      </c>
      <c r="C4196" s="3" t="s">
        <v>64</v>
      </c>
      <c r="D4196" s="16" t="s">
        <v>64</v>
      </c>
      <c r="E4196" s="16">
        <v>0</v>
      </c>
      <c r="F4196" s="16" t="s">
        <v>64</v>
      </c>
      <c r="G4196" s="16" t="s">
        <v>64</v>
      </c>
    </row>
    <row r="4197" spans="1:7" x14ac:dyDescent="0.2">
      <c r="A4197" t="s">
        <v>64</v>
      </c>
      <c r="B4197" t="s">
        <v>64</v>
      </c>
      <c r="C4197" s="3" t="s">
        <v>64</v>
      </c>
      <c r="D4197" s="16" t="s">
        <v>64</v>
      </c>
      <c r="E4197" s="16">
        <v>0</v>
      </c>
      <c r="F4197" s="16" t="s">
        <v>64</v>
      </c>
      <c r="G4197" s="16" t="s">
        <v>64</v>
      </c>
    </row>
    <row r="4198" spans="1:7" x14ac:dyDescent="0.2">
      <c r="A4198" t="s">
        <v>64</v>
      </c>
      <c r="B4198" t="s">
        <v>64</v>
      </c>
      <c r="C4198" s="3" t="s">
        <v>64</v>
      </c>
      <c r="D4198" s="16" t="s">
        <v>64</v>
      </c>
      <c r="E4198" s="16">
        <v>0</v>
      </c>
      <c r="F4198" s="16" t="s">
        <v>64</v>
      </c>
      <c r="G4198" s="16" t="s">
        <v>64</v>
      </c>
    </row>
    <row r="4199" spans="1:7" x14ac:dyDescent="0.2">
      <c r="A4199" t="s">
        <v>64</v>
      </c>
      <c r="B4199" t="s">
        <v>64</v>
      </c>
      <c r="C4199" s="3" t="s">
        <v>64</v>
      </c>
      <c r="D4199" s="16" t="s">
        <v>64</v>
      </c>
      <c r="E4199" s="16">
        <v>0</v>
      </c>
      <c r="F4199" s="16" t="s">
        <v>64</v>
      </c>
      <c r="G4199" s="16" t="s">
        <v>64</v>
      </c>
    </row>
    <row r="4200" spans="1:7" x14ac:dyDescent="0.2">
      <c r="A4200" t="s">
        <v>64</v>
      </c>
      <c r="B4200" t="s">
        <v>64</v>
      </c>
      <c r="C4200" s="3" t="s">
        <v>64</v>
      </c>
      <c r="D4200" s="16" t="s">
        <v>64</v>
      </c>
      <c r="E4200" s="16">
        <v>0</v>
      </c>
      <c r="F4200" s="16" t="s">
        <v>64</v>
      </c>
      <c r="G4200" s="16" t="s">
        <v>64</v>
      </c>
    </row>
    <row r="4201" spans="1:7" x14ac:dyDescent="0.2">
      <c r="A4201" t="s">
        <v>64</v>
      </c>
      <c r="B4201" t="s">
        <v>64</v>
      </c>
      <c r="C4201" s="3" t="s">
        <v>64</v>
      </c>
      <c r="D4201" s="16" t="s">
        <v>64</v>
      </c>
      <c r="E4201" s="16">
        <v>0</v>
      </c>
      <c r="F4201" s="16" t="s">
        <v>64</v>
      </c>
      <c r="G4201" s="16" t="s">
        <v>64</v>
      </c>
    </row>
    <row r="4202" spans="1:7" x14ac:dyDescent="0.2">
      <c r="A4202" t="s">
        <v>64</v>
      </c>
      <c r="B4202" t="s">
        <v>64</v>
      </c>
      <c r="C4202" s="3" t="s">
        <v>64</v>
      </c>
      <c r="D4202" s="16" t="s">
        <v>64</v>
      </c>
      <c r="E4202" s="16">
        <v>0</v>
      </c>
      <c r="F4202" s="16" t="s">
        <v>64</v>
      </c>
      <c r="G4202" s="16" t="s">
        <v>64</v>
      </c>
    </row>
    <row r="4203" spans="1:7" x14ac:dyDescent="0.2">
      <c r="A4203" t="s">
        <v>64</v>
      </c>
      <c r="B4203" t="s">
        <v>64</v>
      </c>
      <c r="C4203" s="3" t="s">
        <v>64</v>
      </c>
      <c r="D4203" s="16" t="s">
        <v>64</v>
      </c>
      <c r="E4203" s="16">
        <v>0</v>
      </c>
      <c r="F4203" s="16" t="s">
        <v>64</v>
      </c>
      <c r="G4203" s="16" t="s">
        <v>64</v>
      </c>
    </row>
    <row r="4204" spans="1:7" x14ac:dyDescent="0.2">
      <c r="A4204" t="s">
        <v>64</v>
      </c>
      <c r="B4204" t="s">
        <v>64</v>
      </c>
      <c r="C4204" s="3" t="s">
        <v>64</v>
      </c>
      <c r="D4204" s="16" t="s">
        <v>64</v>
      </c>
      <c r="E4204" s="16">
        <v>0</v>
      </c>
      <c r="F4204" s="16" t="s">
        <v>64</v>
      </c>
      <c r="G4204" s="16" t="s">
        <v>64</v>
      </c>
    </row>
    <row r="4205" spans="1:7" x14ac:dyDescent="0.2">
      <c r="A4205" t="s">
        <v>64</v>
      </c>
      <c r="B4205" t="s">
        <v>64</v>
      </c>
      <c r="C4205" s="3" t="s">
        <v>64</v>
      </c>
      <c r="D4205" s="16" t="s">
        <v>64</v>
      </c>
      <c r="E4205" s="16">
        <v>0</v>
      </c>
      <c r="F4205" s="16" t="s">
        <v>64</v>
      </c>
      <c r="G4205" s="16" t="s">
        <v>64</v>
      </c>
    </row>
    <row r="4206" spans="1:7" x14ac:dyDescent="0.2">
      <c r="A4206" t="s">
        <v>64</v>
      </c>
      <c r="B4206" t="s">
        <v>64</v>
      </c>
      <c r="C4206" s="3" t="s">
        <v>64</v>
      </c>
      <c r="D4206" s="16" t="s">
        <v>64</v>
      </c>
      <c r="E4206" s="16">
        <v>0</v>
      </c>
      <c r="F4206" s="16" t="s">
        <v>64</v>
      </c>
      <c r="G4206" s="16" t="s">
        <v>64</v>
      </c>
    </row>
    <row r="4207" spans="1:7" x14ac:dyDescent="0.2">
      <c r="A4207" t="s">
        <v>64</v>
      </c>
      <c r="B4207" t="s">
        <v>64</v>
      </c>
      <c r="C4207" s="3" t="s">
        <v>64</v>
      </c>
      <c r="D4207" s="16" t="s">
        <v>64</v>
      </c>
      <c r="E4207" s="16">
        <v>0</v>
      </c>
      <c r="F4207" s="16" t="s">
        <v>64</v>
      </c>
      <c r="G4207" s="16" t="s">
        <v>64</v>
      </c>
    </row>
    <row r="4208" spans="1:7" x14ac:dyDescent="0.2">
      <c r="A4208" t="s">
        <v>64</v>
      </c>
      <c r="B4208" t="s">
        <v>64</v>
      </c>
      <c r="C4208" s="3" t="s">
        <v>64</v>
      </c>
      <c r="D4208" s="16" t="s">
        <v>64</v>
      </c>
      <c r="E4208" s="16">
        <v>0</v>
      </c>
      <c r="F4208" s="16" t="s">
        <v>64</v>
      </c>
      <c r="G4208" s="16" t="s">
        <v>64</v>
      </c>
    </row>
    <row r="4209" spans="1:7" x14ac:dyDescent="0.2">
      <c r="A4209" t="s">
        <v>64</v>
      </c>
      <c r="B4209" t="s">
        <v>64</v>
      </c>
      <c r="C4209" s="3" t="s">
        <v>64</v>
      </c>
      <c r="D4209" s="16" t="s">
        <v>64</v>
      </c>
      <c r="E4209" s="16">
        <v>0</v>
      </c>
      <c r="F4209" s="16" t="s">
        <v>64</v>
      </c>
      <c r="G4209" s="16" t="s">
        <v>64</v>
      </c>
    </row>
    <row r="4210" spans="1:7" x14ac:dyDescent="0.2">
      <c r="A4210" t="s">
        <v>64</v>
      </c>
      <c r="B4210" t="s">
        <v>64</v>
      </c>
      <c r="C4210" s="3" t="s">
        <v>64</v>
      </c>
      <c r="D4210" s="16" t="s">
        <v>64</v>
      </c>
      <c r="E4210" s="16">
        <v>0</v>
      </c>
      <c r="F4210" s="16" t="s">
        <v>64</v>
      </c>
      <c r="G4210" s="16" t="s">
        <v>64</v>
      </c>
    </row>
    <row r="4211" spans="1:7" x14ac:dyDescent="0.2">
      <c r="A4211" t="s">
        <v>64</v>
      </c>
      <c r="B4211" t="s">
        <v>64</v>
      </c>
      <c r="C4211" s="3" t="s">
        <v>64</v>
      </c>
      <c r="D4211" s="16" t="s">
        <v>64</v>
      </c>
      <c r="E4211" s="16">
        <v>0</v>
      </c>
      <c r="F4211" s="16" t="s">
        <v>64</v>
      </c>
      <c r="G4211" s="16" t="s">
        <v>64</v>
      </c>
    </row>
    <row r="4212" spans="1:7" x14ac:dyDescent="0.2">
      <c r="A4212" t="s">
        <v>64</v>
      </c>
      <c r="B4212" t="s">
        <v>64</v>
      </c>
      <c r="C4212" s="3" t="s">
        <v>64</v>
      </c>
      <c r="D4212" s="16" t="s">
        <v>64</v>
      </c>
      <c r="E4212" s="16">
        <v>0</v>
      </c>
      <c r="F4212" s="16" t="s">
        <v>64</v>
      </c>
      <c r="G4212" s="16" t="s">
        <v>64</v>
      </c>
    </row>
    <row r="4213" spans="1:7" x14ac:dyDescent="0.2">
      <c r="A4213" t="s">
        <v>64</v>
      </c>
      <c r="B4213" t="s">
        <v>64</v>
      </c>
      <c r="C4213" s="3" t="s">
        <v>64</v>
      </c>
      <c r="D4213" s="16" t="s">
        <v>64</v>
      </c>
      <c r="E4213" s="16">
        <v>0</v>
      </c>
      <c r="F4213" s="16" t="s">
        <v>64</v>
      </c>
      <c r="G4213" s="16" t="s">
        <v>64</v>
      </c>
    </row>
    <row r="4214" spans="1:7" x14ac:dyDescent="0.2">
      <c r="A4214" t="s">
        <v>64</v>
      </c>
      <c r="B4214" t="s">
        <v>64</v>
      </c>
      <c r="C4214" s="3" t="s">
        <v>64</v>
      </c>
      <c r="D4214" s="16" t="s">
        <v>64</v>
      </c>
      <c r="E4214" s="16">
        <v>0</v>
      </c>
      <c r="F4214" s="16" t="s">
        <v>64</v>
      </c>
      <c r="G4214" s="16" t="s">
        <v>64</v>
      </c>
    </row>
    <row r="4215" spans="1:7" x14ac:dyDescent="0.2">
      <c r="A4215" t="s">
        <v>64</v>
      </c>
      <c r="B4215" t="s">
        <v>64</v>
      </c>
      <c r="C4215" s="3" t="s">
        <v>64</v>
      </c>
      <c r="D4215" s="16" t="s">
        <v>64</v>
      </c>
      <c r="E4215" s="16">
        <v>0</v>
      </c>
      <c r="F4215" s="16" t="s">
        <v>64</v>
      </c>
      <c r="G4215" s="16" t="s">
        <v>64</v>
      </c>
    </row>
    <row r="4216" spans="1:7" x14ac:dyDescent="0.2">
      <c r="A4216" t="s">
        <v>64</v>
      </c>
      <c r="B4216" t="s">
        <v>64</v>
      </c>
      <c r="C4216" s="3" t="s">
        <v>64</v>
      </c>
      <c r="D4216" s="16" t="s">
        <v>64</v>
      </c>
      <c r="E4216" s="16">
        <v>0</v>
      </c>
      <c r="F4216" s="16" t="s">
        <v>64</v>
      </c>
      <c r="G4216" s="16" t="s">
        <v>64</v>
      </c>
    </row>
    <row r="4217" spans="1:7" x14ac:dyDescent="0.2">
      <c r="A4217" t="s">
        <v>64</v>
      </c>
      <c r="B4217" t="s">
        <v>64</v>
      </c>
      <c r="C4217" s="3" t="s">
        <v>64</v>
      </c>
      <c r="D4217" s="16" t="s">
        <v>64</v>
      </c>
      <c r="E4217" s="16">
        <v>0</v>
      </c>
      <c r="F4217" s="16" t="s">
        <v>64</v>
      </c>
      <c r="G4217" s="16" t="s">
        <v>64</v>
      </c>
    </row>
    <row r="4218" spans="1:7" x14ac:dyDescent="0.2">
      <c r="A4218" t="s">
        <v>64</v>
      </c>
      <c r="B4218" t="s">
        <v>64</v>
      </c>
      <c r="C4218" s="3" t="s">
        <v>64</v>
      </c>
      <c r="D4218" s="16" t="s">
        <v>64</v>
      </c>
      <c r="E4218" s="16">
        <v>0</v>
      </c>
      <c r="F4218" s="16" t="s">
        <v>64</v>
      </c>
      <c r="G4218" s="16" t="s">
        <v>64</v>
      </c>
    </row>
    <row r="4219" spans="1:7" x14ac:dyDescent="0.2">
      <c r="A4219" t="s">
        <v>64</v>
      </c>
      <c r="B4219" t="s">
        <v>64</v>
      </c>
      <c r="C4219" s="3" t="s">
        <v>64</v>
      </c>
      <c r="D4219" s="16" t="s">
        <v>64</v>
      </c>
      <c r="E4219" s="16">
        <v>0</v>
      </c>
      <c r="F4219" s="16" t="s">
        <v>64</v>
      </c>
      <c r="G4219" s="16" t="s">
        <v>64</v>
      </c>
    </row>
    <row r="4220" spans="1:7" x14ac:dyDescent="0.2">
      <c r="A4220" t="s">
        <v>64</v>
      </c>
      <c r="B4220" t="s">
        <v>64</v>
      </c>
      <c r="C4220" s="3" t="s">
        <v>64</v>
      </c>
      <c r="D4220" s="16" t="s">
        <v>64</v>
      </c>
      <c r="E4220" s="16">
        <v>0</v>
      </c>
      <c r="F4220" s="16" t="s">
        <v>64</v>
      </c>
      <c r="G4220" s="16" t="s">
        <v>64</v>
      </c>
    </row>
    <row r="4221" spans="1:7" x14ac:dyDescent="0.2">
      <c r="A4221" t="s">
        <v>64</v>
      </c>
      <c r="B4221" t="s">
        <v>64</v>
      </c>
      <c r="C4221" s="3" t="s">
        <v>64</v>
      </c>
      <c r="D4221" s="16" t="s">
        <v>64</v>
      </c>
      <c r="E4221" s="16">
        <v>0</v>
      </c>
      <c r="F4221" s="16" t="s">
        <v>64</v>
      </c>
      <c r="G4221" s="16" t="s">
        <v>64</v>
      </c>
    </row>
    <row r="4222" spans="1:7" x14ac:dyDescent="0.2">
      <c r="A4222" t="s">
        <v>64</v>
      </c>
      <c r="B4222" t="s">
        <v>64</v>
      </c>
      <c r="C4222" s="3" t="s">
        <v>64</v>
      </c>
      <c r="D4222" s="16" t="s">
        <v>64</v>
      </c>
      <c r="E4222" s="16">
        <v>0</v>
      </c>
      <c r="F4222" s="16" t="s">
        <v>64</v>
      </c>
      <c r="G4222" s="16" t="s">
        <v>64</v>
      </c>
    </row>
    <row r="4223" spans="1:7" x14ac:dyDescent="0.2">
      <c r="A4223" t="s">
        <v>64</v>
      </c>
      <c r="B4223" t="s">
        <v>64</v>
      </c>
      <c r="C4223" s="3" t="s">
        <v>64</v>
      </c>
      <c r="D4223" s="16" t="s">
        <v>64</v>
      </c>
      <c r="E4223" s="16">
        <v>0</v>
      </c>
      <c r="F4223" s="16" t="s">
        <v>64</v>
      </c>
      <c r="G4223" s="16" t="s">
        <v>64</v>
      </c>
    </row>
    <row r="4224" spans="1:7" x14ac:dyDescent="0.2">
      <c r="A4224" t="s">
        <v>64</v>
      </c>
      <c r="B4224" t="s">
        <v>64</v>
      </c>
      <c r="C4224" s="3" t="s">
        <v>64</v>
      </c>
      <c r="D4224" s="16" t="s">
        <v>64</v>
      </c>
      <c r="E4224" s="16">
        <v>0</v>
      </c>
      <c r="F4224" s="16" t="s">
        <v>64</v>
      </c>
      <c r="G4224" s="16" t="s">
        <v>64</v>
      </c>
    </row>
    <row r="4225" spans="1:7" x14ac:dyDescent="0.2">
      <c r="A4225" t="s">
        <v>64</v>
      </c>
      <c r="B4225" t="s">
        <v>64</v>
      </c>
      <c r="C4225" s="3" t="s">
        <v>64</v>
      </c>
      <c r="D4225" s="16" t="s">
        <v>64</v>
      </c>
      <c r="E4225" s="16">
        <v>0</v>
      </c>
      <c r="F4225" s="16" t="s">
        <v>64</v>
      </c>
      <c r="G4225" s="16" t="s">
        <v>64</v>
      </c>
    </row>
    <row r="4226" spans="1:7" x14ac:dyDescent="0.2">
      <c r="A4226" t="s">
        <v>64</v>
      </c>
      <c r="B4226" t="s">
        <v>64</v>
      </c>
      <c r="C4226" s="3" t="s">
        <v>64</v>
      </c>
      <c r="D4226" s="16" t="s">
        <v>64</v>
      </c>
      <c r="E4226" s="16">
        <v>0</v>
      </c>
      <c r="F4226" s="16" t="s">
        <v>64</v>
      </c>
      <c r="G4226" s="16" t="s">
        <v>64</v>
      </c>
    </row>
    <row r="4227" spans="1:7" x14ac:dyDescent="0.2">
      <c r="A4227" t="s">
        <v>64</v>
      </c>
      <c r="B4227" t="s">
        <v>64</v>
      </c>
      <c r="C4227" s="3" t="s">
        <v>64</v>
      </c>
      <c r="D4227" s="16" t="s">
        <v>64</v>
      </c>
      <c r="E4227" s="16">
        <v>0</v>
      </c>
      <c r="F4227" s="16" t="s">
        <v>64</v>
      </c>
      <c r="G4227" s="16" t="s">
        <v>64</v>
      </c>
    </row>
    <row r="4228" spans="1:7" x14ac:dyDescent="0.2">
      <c r="A4228" t="s">
        <v>64</v>
      </c>
      <c r="B4228" t="s">
        <v>64</v>
      </c>
      <c r="C4228" s="3" t="s">
        <v>64</v>
      </c>
      <c r="D4228" s="16" t="s">
        <v>64</v>
      </c>
      <c r="E4228" s="16">
        <v>0</v>
      </c>
      <c r="F4228" s="16" t="s">
        <v>64</v>
      </c>
      <c r="G4228" s="16" t="s">
        <v>64</v>
      </c>
    </row>
    <row r="4229" spans="1:7" x14ac:dyDescent="0.2">
      <c r="A4229" t="s">
        <v>64</v>
      </c>
      <c r="B4229" t="s">
        <v>64</v>
      </c>
      <c r="C4229" s="3" t="s">
        <v>64</v>
      </c>
      <c r="D4229" s="16" t="s">
        <v>64</v>
      </c>
      <c r="E4229" s="16">
        <v>0</v>
      </c>
      <c r="F4229" s="16" t="s">
        <v>64</v>
      </c>
      <c r="G4229" s="16" t="s">
        <v>64</v>
      </c>
    </row>
    <row r="4230" spans="1:7" x14ac:dyDescent="0.2">
      <c r="A4230" t="s">
        <v>64</v>
      </c>
      <c r="B4230" t="s">
        <v>64</v>
      </c>
      <c r="C4230" s="3" t="s">
        <v>64</v>
      </c>
      <c r="D4230" s="16" t="s">
        <v>64</v>
      </c>
      <c r="E4230" s="16">
        <v>0</v>
      </c>
      <c r="F4230" s="16" t="s">
        <v>64</v>
      </c>
      <c r="G4230" s="16" t="s">
        <v>64</v>
      </c>
    </row>
    <row r="4231" spans="1:7" x14ac:dyDescent="0.2">
      <c r="A4231" t="s">
        <v>64</v>
      </c>
      <c r="B4231" t="s">
        <v>64</v>
      </c>
      <c r="C4231" s="3" t="s">
        <v>64</v>
      </c>
      <c r="D4231" s="16" t="s">
        <v>64</v>
      </c>
      <c r="E4231" s="16">
        <v>0</v>
      </c>
      <c r="F4231" s="16" t="s">
        <v>64</v>
      </c>
      <c r="G4231" s="16" t="s">
        <v>64</v>
      </c>
    </row>
    <row r="4232" spans="1:7" x14ac:dyDescent="0.2">
      <c r="A4232" t="s">
        <v>64</v>
      </c>
      <c r="B4232" t="s">
        <v>64</v>
      </c>
      <c r="C4232" s="3" t="s">
        <v>64</v>
      </c>
      <c r="D4232" s="16" t="s">
        <v>64</v>
      </c>
      <c r="E4232" s="16">
        <v>0</v>
      </c>
      <c r="F4232" s="16" t="s">
        <v>64</v>
      </c>
      <c r="G4232" s="16" t="s">
        <v>64</v>
      </c>
    </row>
    <row r="4233" spans="1:7" x14ac:dyDescent="0.2">
      <c r="A4233" t="s">
        <v>64</v>
      </c>
      <c r="B4233" t="s">
        <v>64</v>
      </c>
      <c r="C4233" s="3" t="s">
        <v>64</v>
      </c>
      <c r="D4233" s="16" t="s">
        <v>64</v>
      </c>
      <c r="E4233" s="16">
        <v>0</v>
      </c>
      <c r="F4233" s="16" t="s">
        <v>64</v>
      </c>
      <c r="G4233" s="16" t="s">
        <v>64</v>
      </c>
    </row>
    <row r="4234" spans="1:7" x14ac:dyDescent="0.2">
      <c r="A4234" t="s">
        <v>64</v>
      </c>
      <c r="B4234" t="s">
        <v>64</v>
      </c>
      <c r="C4234" s="3" t="s">
        <v>64</v>
      </c>
      <c r="D4234" s="16" t="s">
        <v>64</v>
      </c>
      <c r="E4234" s="16">
        <v>0</v>
      </c>
      <c r="F4234" s="16" t="s">
        <v>64</v>
      </c>
      <c r="G4234" s="16" t="s">
        <v>64</v>
      </c>
    </row>
    <row r="4235" spans="1:7" x14ac:dyDescent="0.2">
      <c r="A4235" t="s">
        <v>64</v>
      </c>
      <c r="B4235" t="s">
        <v>64</v>
      </c>
      <c r="C4235" s="3" t="s">
        <v>64</v>
      </c>
      <c r="D4235" s="16" t="s">
        <v>64</v>
      </c>
      <c r="E4235" s="16">
        <v>0</v>
      </c>
      <c r="F4235" s="16" t="s">
        <v>64</v>
      </c>
      <c r="G4235" s="16" t="s">
        <v>64</v>
      </c>
    </row>
    <row r="4236" spans="1:7" x14ac:dyDescent="0.2">
      <c r="A4236" t="s">
        <v>64</v>
      </c>
      <c r="B4236" t="s">
        <v>64</v>
      </c>
      <c r="C4236" s="3" t="s">
        <v>64</v>
      </c>
      <c r="D4236" s="16" t="s">
        <v>64</v>
      </c>
      <c r="E4236" s="16">
        <v>0</v>
      </c>
      <c r="F4236" s="16" t="s">
        <v>64</v>
      </c>
      <c r="G4236" s="16" t="s">
        <v>64</v>
      </c>
    </row>
    <row r="4237" spans="1:7" x14ac:dyDescent="0.2">
      <c r="A4237" t="s">
        <v>64</v>
      </c>
      <c r="B4237" t="s">
        <v>64</v>
      </c>
      <c r="C4237" s="3" t="s">
        <v>64</v>
      </c>
      <c r="D4237" s="16" t="s">
        <v>64</v>
      </c>
      <c r="E4237" s="16">
        <v>0</v>
      </c>
      <c r="F4237" s="16" t="s">
        <v>64</v>
      </c>
      <c r="G4237" s="16" t="s">
        <v>64</v>
      </c>
    </row>
    <row r="4238" spans="1:7" x14ac:dyDescent="0.2">
      <c r="A4238" t="s">
        <v>64</v>
      </c>
      <c r="B4238" t="s">
        <v>64</v>
      </c>
      <c r="C4238" s="3" t="s">
        <v>64</v>
      </c>
      <c r="D4238" s="16" t="s">
        <v>64</v>
      </c>
      <c r="E4238" s="16">
        <v>0</v>
      </c>
      <c r="F4238" s="16" t="s">
        <v>64</v>
      </c>
      <c r="G4238" s="16" t="s">
        <v>64</v>
      </c>
    </row>
    <row r="4239" spans="1:7" x14ac:dyDescent="0.2">
      <c r="A4239" t="s">
        <v>64</v>
      </c>
      <c r="B4239" t="s">
        <v>64</v>
      </c>
      <c r="C4239" s="3" t="s">
        <v>64</v>
      </c>
      <c r="D4239" s="16" t="s">
        <v>64</v>
      </c>
      <c r="E4239" s="16">
        <v>0</v>
      </c>
      <c r="F4239" s="16" t="s">
        <v>64</v>
      </c>
      <c r="G4239" s="16" t="s">
        <v>64</v>
      </c>
    </row>
    <row r="4240" spans="1:7" x14ac:dyDescent="0.2">
      <c r="A4240" t="s">
        <v>64</v>
      </c>
      <c r="B4240" t="s">
        <v>64</v>
      </c>
      <c r="C4240" s="3" t="s">
        <v>64</v>
      </c>
      <c r="D4240" s="16" t="s">
        <v>64</v>
      </c>
      <c r="E4240" s="16">
        <v>0</v>
      </c>
      <c r="F4240" s="16" t="s">
        <v>64</v>
      </c>
      <c r="G4240" s="16" t="s">
        <v>64</v>
      </c>
    </row>
    <row r="4241" spans="1:7" x14ac:dyDescent="0.2">
      <c r="A4241" t="s">
        <v>64</v>
      </c>
      <c r="B4241" t="s">
        <v>64</v>
      </c>
      <c r="C4241" s="3" t="s">
        <v>64</v>
      </c>
      <c r="D4241" s="16" t="s">
        <v>64</v>
      </c>
      <c r="E4241" s="16">
        <v>0</v>
      </c>
      <c r="F4241" s="16" t="s">
        <v>64</v>
      </c>
      <c r="G4241" s="16" t="s">
        <v>64</v>
      </c>
    </row>
    <row r="4242" spans="1:7" x14ac:dyDescent="0.2">
      <c r="A4242" t="s">
        <v>64</v>
      </c>
      <c r="B4242" t="s">
        <v>64</v>
      </c>
      <c r="C4242" s="3" t="s">
        <v>64</v>
      </c>
      <c r="D4242" s="16" t="s">
        <v>64</v>
      </c>
      <c r="E4242" s="16">
        <v>0</v>
      </c>
      <c r="F4242" s="16" t="s">
        <v>64</v>
      </c>
      <c r="G4242" s="16" t="s">
        <v>64</v>
      </c>
    </row>
    <row r="4243" spans="1:7" x14ac:dyDescent="0.2">
      <c r="A4243" t="s">
        <v>64</v>
      </c>
      <c r="B4243" t="s">
        <v>64</v>
      </c>
      <c r="C4243" s="3" t="s">
        <v>64</v>
      </c>
      <c r="D4243" s="16" t="s">
        <v>64</v>
      </c>
      <c r="E4243" s="16">
        <v>0</v>
      </c>
      <c r="F4243" s="16" t="s">
        <v>64</v>
      </c>
      <c r="G4243" s="16" t="s">
        <v>64</v>
      </c>
    </row>
    <row r="4244" spans="1:7" x14ac:dyDescent="0.2">
      <c r="A4244" t="s">
        <v>64</v>
      </c>
      <c r="B4244" t="s">
        <v>64</v>
      </c>
      <c r="C4244" s="3" t="s">
        <v>64</v>
      </c>
      <c r="D4244" s="16" t="s">
        <v>64</v>
      </c>
      <c r="E4244" s="16">
        <v>0</v>
      </c>
      <c r="F4244" s="16" t="s">
        <v>64</v>
      </c>
      <c r="G4244" s="16" t="s">
        <v>64</v>
      </c>
    </row>
    <row r="4245" spans="1:7" x14ac:dyDescent="0.2">
      <c r="A4245" t="s">
        <v>64</v>
      </c>
      <c r="B4245" t="s">
        <v>64</v>
      </c>
      <c r="C4245" s="3" t="s">
        <v>64</v>
      </c>
      <c r="D4245" s="16" t="s">
        <v>64</v>
      </c>
      <c r="E4245" s="16">
        <v>0</v>
      </c>
      <c r="F4245" s="16" t="s">
        <v>64</v>
      </c>
      <c r="G4245" s="16" t="s">
        <v>64</v>
      </c>
    </row>
    <row r="4246" spans="1:7" x14ac:dyDescent="0.2">
      <c r="A4246" t="s">
        <v>64</v>
      </c>
      <c r="B4246" t="s">
        <v>64</v>
      </c>
      <c r="C4246" s="3" t="s">
        <v>64</v>
      </c>
      <c r="D4246" s="16" t="s">
        <v>64</v>
      </c>
      <c r="E4246" s="16">
        <v>0</v>
      </c>
      <c r="F4246" s="16" t="s">
        <v>64</v>
      </c>
      <c r="G4246" s="16" t="s">
        <v>64</v>
      </c>
    </row>
    <row r="4247" spans="1:7" x14ac:dyDescent="0.2">
      <c r="A4247" t="s">
        <v>64</v>
      </c>
      <c r="B4247" t="s">
        <v>64</v>
      </c>
      <c r="C4247" s="3" t="s">
        <v>64</v>
      </c>
      <c r="D4247" s="16" t="s">
        <v>64</v>
      </c>
      <c r="E4247" s="16">
        <v>0</v>
      </c>
      <c r="F4247" s="16" t="s">
        <v>64</v>
      </c>
      <c r="G4247" s="16" t="s">
        <v>64</v>
      </c>
    </row>
    <row r="4248" spans="1:7" x14ac:dyDescent="0.2">
      <c r="A4248" t="s">
        <v>64</v>
      </c>
      <c r="B4248" t="s">
        <v>64</v>
      </c>
      <c r="C4248" s="3" t="s">
        <v>64</v>
      </c>
      <c r="D4248" s="16" t="s">
        <v>64</v>
      </c>
      <c r="E4248" s="16">
        <v>0</v>
      </c>
      <c r="F4248" s="16" t="s">
        <v>64</v>
      </c>
      <c r="G4248" s="16" t="s">
        <v>64</v>
      </c>
    </row>
    <row r="4249" spans="1:7" x14ac:dyDescent="0.2">
      <c r="A4249" t="s">
        <v>64</v>
      </c>
      <c r="B4249" t="s">
        <v>64</v>
      </c>
      <c r="C4249" s="3" t="s">
        <v>64</v>
      </c>
      <c r="D4249" s="16" t="s">
        <v>64</v>
      </c>
      <c r="E4249" s="16">
        <v>0</v>
      </c>
      <c r="F4249" s="16" t="s">
        <v>64</v>
      </c>
      <c r="G4249" s="16" t="s">
        <v>64</v>
      </c>
    </row>
    <row r="4250" spans="1:7" x14ac:dyDescent="0.2">
      <c r="A4250" t="s">
        <v>64</v>
      </c>
      <c r="B4250" t="s">
        <v>64</v>
      </c>
      <c r="C4250" s="3" t="s">
        <v>64</v>
      </c>
      <c r="D4250" s="16" t="s">
        <v>64</v>
      </c>
      <c r="E4250" s="16">
        <v>0</v>
      </c>
      <c r="F4250" s="16" t="s">
        <v>64</v>
      </c>
      <c r="G4250" s="16" t="s">
        <v>64</v>
      </c>
    </row>
    <row r="4251" spans="1:7" x14ac:dyDescent="0.2">
      <c r="A4251" t="s">
        <v>64</v>
      </c>
      <c r="B4251" t="s">
        <v>64</v>
      </c>
      <c r="C4251" s="3" t="s">
        <v>64</v>
      </c>
      <c r="D4251" s="16" t="s">
        <v>64</v>
      </c>
      <c r="E4251" s="16">
        <v>0</v>
      </c>
      <c r="F4251" s="16" t="s">
        <v>64</v>
      </c>
      <c r="G4251" s="16" t="s">
        <v>64</v>
      </c>
    </row>
    <row r="4252" spans="1:7" x14ac:dyDescent="0.2">
      <c r="A4252" t="s">
        <v>64</v>
      </c>
      <c r="B4252" t="s">
        <v>64</v>
      </c>
      <c r="C4252" s="3" t="s">
        <v>64</v>
      </c>
      <c r="D4252" s="16" t="s">
        <v>64</v>
      </c>
      <c r="E4252" s="16">
        <v>0</v>
      </c>
      <c r="F4252" s="16" t="s">
        <v>64</v>
      </c>
      <c r="G4252" s="16" t="s">
        <v>64</v>
      </c>
    </row>
    <row r="4253" spans="1:7" x14ac:dyDescent="0.2">
      <c r="A4253" t="s">
        <v>64</v>
      </c>
      <c r="B4253" t="s">
        <v>64</v>
      </c>
      <c r="C4253" s="3" t="s">
        <v>64</v>
      </c>
      <c r="D4253" s="16" t="s">
        <v>64</v>
      </c>
      <c r="E4253" s="16">
        <v>0</v>
      </c>
      <c r="F4253" s="16" t="s">
        <v>64</v>
      </c>
      <c r="G4253" s="16" t="s">
        <v>64</v>
      </c>
    </row>
    <row r="4254" spans="1:7" x14ac:dyDescent="0.2">
      <c r="A4254" t="s">
        <v>64</v>
      </c>
      <c r="B4254" t="s">
        <v>64</v>
      </c>
      <c r="C4254" s="3" t="s">
        <v>64</v>
      </c>
      <c r="D4254" s="16" t="s">
        <v>64</v>
      </c>
      <c r="E4254" s="16">
        <v>0</v>
      </c>
      <c r="F4254" s="16" t="s">
        <v>64</v>
      </c>
      <c r="G4254" s="16" t="s">
        <v>64</v>
      </c>
    </row>
    <row r="4255" spans="1:7" x14ac:dyDescent="0.2">
      <c r="A4255" t="s">
        <v>64</v>
      </c>
      <c r="B4255" t="s">
        <v>64</v>
      </c>
      <c r="C4255" s="3" t="s">
        <v>64</v>
      </c>
      <c r="D4255" s="16" t="s">
        <v>64</v>
      </c>
      <c r="E4255" s="16">
        <v>0</v>
      </c>
      <c r="F4255" s="16" t="s">
        <v>64</v>
      </c>
      <c r="G4255" s="16" t="s">
        <v>64</v>
      </c>
    </row>
    <row r="4256" spans="1:7" x14ac:dyDescent="0.2">
      <c r="A4256" t="s">
        <v>64</v>
      </c>
      <c r="B4256" t="s">
        <v>64</v>
      </c>
      <c r="C4256" s="3" t="s">
        <v>64</v>
      </c>
      <c r="D4256" s="16" t="s">
        <v>64</v>
      </c>
      <c r="E4256" s="16">
        <v>0</v>
      </c>
      <c r="F4256" s="16" t="s">
        <v>64</v>
      </c>
      <c r="G4256" s="16" t="s">
        <v>64</v>
      </c>
    </row>
    <row r="4257" spans="1:7" x14ac:dyDescent="0.2">
      <c r="A4257" t="s">
        <v>64</v>
      </c>
      <c r="B4257" t="s">
        <v>64</v>
      </c>
      <c r="C4257" s="3" t="s">
        <v>64</v>
      </c>
      <c r="D4257" s="16" t="s">
        <v>64</v>
      </c>
      <c r="E4257" s="16">
        <v>0</v>
      </c>
      <c r="F4257" s="16" t="s">
        <v>64</v>
      </c>
      <c r="G4257" s="16" t="s">
        <v>64</v>
      </c>
    </row>
    <row r="4258" spans="1:7" x14ac:dyDescent="0.2">
      <c r="A4258" t="s">
        <v>64</v>
      </c>
      <c r="B4258" t="s">
        <v>64</v>
      </c>
      <c r="C4258" s="3" t="s">
        <v>64</v>
      </c>
      <c r="D4258" s="16" t="s">
        <v>64</v>
      </c>
      <c r="E4258" s="16">
        <v>0</v>
      </c>
      <c r="F4258" s="16" t="s">
        <v>64</v>
      </c>
      <c r="G4258" s="16" t="s">
        <v>64</v>
      </c>
    </row>
    <row r="4259" spans="1:7" x14ac:dyDescent="0.2">
      <c r="A4259" t="s">
        <v>64</v>
      </c>
      <c r="B4259" t="s">
        <v>64</v>
      </c>
      <c r="C4259" s="3" t="s">
        <v>64</v>
      </c>
      <c r="D4259" s="16" t="s">
        <v>64</v>
      </c>
      <c r="E4259" s="16">
        <v>0</v>
      </c>
      <c r="F4259" s="16" t="s">
        <v>64</v>
      </c>
      <c r="G4259" s="16" t="s">
        <v>64</v>
      </c>
    </row>
    <row r="4260" spans="1:7" x14ac:dyDescent="0.2">
      <c r="A4260" t="s">
        <v>64</v>
      </c>
      <c r="B4260" t="s">
        <v>64</v>
      </c>
      <c r="C4260" s="3" t="s">
        <v>64</v>
      </c>
      <c r="D4260" s="16" t="s">
        <v>64</v>
      </c>
      <c r="E4260" s="16">
        <v>0</v>
      </c>
      <c r="F4260" s="16" t="s">
        <v>64</v>
      </c>
      <c r="G4260" s="16" t="s">
        <v>64</v>
      </c>
    </row>
    <row r="4261" spans="1:7" x14ac:dyDescent="0.2">
      <c r="A4261" t="s">
        <v>64</v>
      </c>
      <c r="B4261" t="s">
        <v>64</v>
      </c>
      <c r="C4261" s="3" t="s">
        <v>64</v>
      </c>
      <c r="D4261" s="16" t="s">
        <v>64</v>
      </c>
      <c r="E4261" s="16">
        <v>0</v>
      </c>
      <c r="F4261" s="16" t="s">
        <v>64</v>
      </c>
      <c r="G4261" s="16" t="s">
        <v>64</v>
      </c>
    </row>
    <row r="4262" spans="1:7" x14ac:dyDescent="0.2">
      <c r="A4262" t="s">
        <v>64</v>
      </c>
      <c r="B4262" t="s">
        <v>64</v>
      </c>
      <c r="C4262" s="3" t="s">
        <v>64</v>
      </c>
      <c r="D4262" s="16" t="s">
        <v>64</v>
      </c>
      <c r="E4262" s="16">
        <v>0</v>
      </c>
      <c r="F4262" s="16" t="s">
        <v>64</v>
      </c>
      <c r="G4262" s="16" t="s">
        <v>64</v>
      </c>
    </row>
    <row r="4263" spans="1:7" x14ac:dyDescent="0.2">
      <c r="A4263" t="s">
        <v>64</v>
      </c>
      <c r="B4263" t="s">
        <v>64</v>
      </c>
      <c r="C4263" s="3" t="s">
        <v>64</v>
      </c>
      <c r="D4263" s="16" t="s">
        <v>64</v>
      </c>
      <c r="E4263" s="16">
        <v>0</v>
      </c>
      <c r="F4263" s="16" t="s">
        <v>64</v>
      </c>
      <c r="G4263" s="16" t="s">
        <v>64</v>
      </c>
    </row>
    <row r="4264" spans="1:7" x14ac:dyDescent="0.2">
      <c r="A4264" t="s">
        <v>64</v>
      </c>
      <c r="B4264" t="s">
        <v>64</v>
      </c>
      <c r="C4264" s="3" t="s">
        <v>64</v>
      </c>
      <c r="D4264" s="16" t="s">
        <v>64</v>
      </c>
      <c r="E4264" s="16">
        <v>0</v>
      </c>
      <c r="F4264" s="16" t="s">
        <v>64</v>
      </c>
      <c r="G4264" s="16" t="s">
        <v>64</v>
      </c>
    </row>
    <row r="4265" spans="1:7" x14ac:dyDescent="0.2">
      <c r="A4265" t="s">
        <v>64</v>
      </c>
      <c r="B4265" t="s">
        <v>64</v>
      </c>
      <c r="C4265" s="3" t="s">
        <v>64</v>
      </c>
      <c r="D4265" s="16" t="s">
        <v>64</v>
      </c>
      <c r="E4265" s="16">
        <v>0</v>
      </c>
      <c r="F4265" s="16" t="s">
        <v>64</v>
      </c>
      <c r="G4265" s="16" t="s">
        <v>64</v>
      </c>
    </row>
    <row r="4266" spans="1:7" x14ac:dyDescent="0.2">
      <c r="A4266" t="s">
        <v>64</v>
      </c>
      <c r="B4266" t="s">
        <v>64</v>
      </c>
      <c r="C4266" s="3" t="s">
        <v>64</v>
      </c>
      <c r="D4266" s="16" t="s">
        <v>64</v>
      </c>
      <c r="E4266" s="16">
        <v>0</v>
      </c>
      <c r="F4266" s="16" t="s">
        <v>64</v>
      </c>
      <c r="G4266" s="16" t="s">
        <v>64</v>
      </c>
    </row>
    <row r="4267" spans="1:7" x14ac:dyDescent="0.2">
      <c r="A4267" t="s">
        <v>64</v>
      </c>
      <c r="B4267" t="s">
        <v>64</v>
      </c>
      <c r="C4267" s="3" t="s">
        <v>64</v>
      </c>
      <c r="D4267" s="16" t="s">
        <v>64</v>
      </c>
      <c r="E4267" s="16">
        <v>0</v>
      </c>
      <c r="F4267" s="16" t="s">
        <v>64</v>
      </c>
      <c r="G4267" s="16" t="s">
        <v>64</v>
      </c>
    </row>
    <row r="4268" spans="1:7" x14ac:dyDescent="0.2">
      <c r="A4268" t="s">
        <v>64</v>
      </c>
      <c r="B4268" t="s">
        <v>64</v>
      </c>
      <c r="C4268" s="3" t="s">
        <v>64</v>
      </c>
      <c r="D4268" s="16" t="s">
        <v>64</v>
      </c>
      <c r="E4268" s="16">
        <v>0</v>
      </c>
      <c r="F4268" s="16" t="s">
        <v>64</v>
      </c>
      <c r="G4268" s="16" t="s">
        <v>64</v>
      </c>
    </row>
    <row r="4269" spans="1:7" x14ac:dyDescent="0.2">
      <c r="A4269" t="s">
        <v>64</v>
      </c>
      <c r="B4269" t="s">
        <v>64</v>
      </c>
      <c r="C4269" s="3" t="s">
        <v>64</v>
      </c>
      <c r="D4269" s="16" t="s">
        <v>64</v>
      </c>
      <c r="E4269" s="16">
        <v>0</v>
      </c>
      <c r="F4269" s="16" t="s">
        <v>64</v>
      </c>
      <c r="G4269" s="16" t="s">
        <v>64</v>
      </c>
    </row>
    <row r="4270" spans="1:7" x14ac:dyDescent="0.2">
      <c r="A4270" t="s">
        <v>64</v>
      </c>
      <c r="B4270" t="s">
        <v>64</v>
      </c>
      <c r="C4270" s="3" t="s">
        <v>64</v>
      </c>
      <c r="D4270" s="16" t="s">
        <v>64</v>
      </c>
      <c r="E4270" s="16">
        <v>0</v>
      </c>
      <c r="F4270" s="16" t="s">
        <v>64</v>
      </c>
      <c r="G4270" s="16" t="s">
        <v>64</v>
      </c>
    </row>
    <row r="4271" spans="1:7" x14ac:dyDescent="0.2">
      <c r="A4271" t="s">
        <v>64</v>
      </c>
      <c r="B4271" t="s">
        <v>64</v>
      </c>
      <c r="C4271" s="3" t="s">
        <v>64</v>
      </c>
      <c r="D4271" s="16" t="s">
        <v>64</v>
      </c>
      <c r="E4271" s="16">
        <v>0</v>
      </c>
      <c r="F4271" s="16" t="s">
        <v>64</v>
      </c>
      <c r="G4271" s="16" t="s">
        <v>64</v>
      </c>
    </row>
    <row r="4272" spans="1:7" x14ac:dyDescent="0.2">
      <c r="A4272" t="s">
        <v>64</v>
      </c>
      <c r="B4272" t="s">
        <v>64</v>
      </c>
      <c r="C4272" s="3" t="s">
        <v>64</v>
      </c>
      <c r="D4272" s="16" t="s">
        <v>64</v>
      </c>
      <c r="E4272" s="16">
        <v>0</v>
      </c>
      <c r="F4272" s="16" t="s">
        <v>64</v>
      </c>
      <c r="G4272" s="16" t="s">
        <v>64</v>
      </c>
    </row>
    <row r="4273" spans="1:7" x14ac:dyDescent="0.2">
      <c r="A4273" t="s">
        <v>64</v>
      </c>
      <c r="B4273" t="s">
        <v>64</v>
      </c>
      <c r="C4273" s="3" t="s">
        <v>64</v>
      </c>
      <c r="D4273" s="16" t="s">
        <v>64</v>
      </c>
      <c r="E4273" s="16">
        <v>0</v>
      </c>
      <c r="F4273" s="16" t="s">
        <v>64</v>
      </c>
      <c r="G4273" s="16" t="s">
        <v>64</v>
      </c>
    </row>
    <row r="4274" spans="1:7" x14ac:dyDescent="0.2">
      <c r="A4274" t="s">
        <v>64</v>
      </c>
      <c r="B4274" t="s">
        <v>64</v>
      </c>
      <c r="C4274" s="3" t="s">
        <v>64</v>
      </c>
      <c r="D4274" s="16" t="s">
        <v>64</v>
      </c>
      <c r="E4274" s="16">
        <v>0</v>
      </c>
      <c r="F4274" s="16" t="s">
        <v>64</v>
      </c>
      <c r="G4274" s="16" t="s">
        <v>64</v>
      </c>
    </row>
    <row r="4275" spans="1:7" x14ac:dyDescent="0.2">
      <c r="A4275" t="s">
        <v>64</v>
      </c>
      <c r="B4275" t="s">
        <v>64</v>
      </c>
      <c r="C4275" s="3" t="s">
        <v>64</v>
      </c>
      <c r="D4275" s="16" t="s">
        <v>64</v>
      </c>
      <c r="E4275" s="16">
        <v>0</v>
      </c>
      <c r="F4275" s="16" t="s">
        <v>64</v>
      </c>
      <c r="G4275" s="16" t="s">
        <v>64</v>
      </c>
    </row>
    <row r="4276" spans="1:7" x14ac:dyDescent="0.2">
      <c r="A4276" t="s">
        <v>64</v>
      </c>
      <c r="B4276" t="s">
        <v>64</v>
      </c>
      <c r="C4276" s="3" t="s">
        <v>64</v>
      </c>
      <c r="D4276" s="16" t="s">
        <v>64</v>
      </c>
      <c r="E4276" s="16">
        <v>0</v>
      </c>
      <c r="F4276" s="16" t="s">
        <v>64</v>
      </c>
      <c r="G4276" s="16" t="s">
        <v>64</v>
      </c>
    </row>
    <row r="4277" spans="1:7" x14ac:dyDescent="0.2">
      <c r="A4277" t="s">
        <v>64</v>
      </c>
      <c r="B4277" t="s">
        <v>64</v>
      </c>
      <c r="C4277" s="3" t="s">
        <v>64</v>
      </c>
      <c r="D4277" s="16" t="s">
        <v>64</v>
      </c>
      <c r="E4277" s="16">
        <v>0</v>
      </c>
      <c r="F4277" s="16" t="s">
        <v>64</v>
      </c>
      <c r="G4277" s="16" t="s">
        <v>64</v>
      </c>
    </row>
    <row r="4278" spans="1:7" x14ac:dyDescent="0.2">
      <c r="A4278" t="s">
        <v>64</v>
      </c>
      <c r="B4278" t="s">
        <v>64</v>
      </c>
      <c r="C4278" s="3" t="s">
        <v>64</v>
      </c>
      <c r="D4278" s="16" t="s">
        <v>64</v>
      </c>
      <c r="E4278" s="16">
        <v>0</v>
      </c>
      <c r="F4278" s="16" t="s">
        <v>64</v>
      </c>
      <c r="G4278" s="16" t="s">
        <v>64</v>
      </c>
    </row>
    <row r="4279" spans="1:7" x14ac:dyDescent="0.2">
      <c r="A4279" t="s">
        <v>64</v>
      </c>
      <c r="B4279" t="s">
        <v>64</v>
      </c>
      <c r="C4279" s="3" t="s">
        <v>64</v>
      </c>
      <c r="D4279" s="16" t="s">
        <v>64</v>
      </c>
      <c r="E4279" s="16">
        <v>0</v>
      </c>
      <c r="F4279" s="16" t="s">
        <v>64</v>
      </c>
      <c r="G4279" s="16" t="s">
        <v>64</v>
      </c>
    </row>
    <row r="4280" spans="1:7" x14ac:dyDescent="0.2">
      <c r="A4280" t="s">
        <v>64</v>
      </c>
      <c r="B4280" t="s">
        <v>64</v>
      </c>
      <c r="C4280" s="3" t="s">
        <v>64</v>
      </c>
      <c r="D4280" s="16" t="s">
        <v>64</v>
      </c>
      <c r="E4280" s="16">
        <v>0</v>
      </c>
      <c r="F4280" s="16" t="s">
        <v>64</v>
      </c>
      <c r="G4280" s="16" t="s">
        <v>64</v>
      </c>
    </row>
    <row r="4281" spans="1:7" x14ac:dyDescent="0.2">
      <c r="A4281" t="s">
        <v>64</v>
      </c>
      <c r="B4281" t="s">
        <v>64</v>
      </c>
      <c r="C4281" s="3" t="s">
        <v>64</v>
      </c>
      <c r="D4281" s="16" t="s">
        <v>64</v>
      </c>
      <c r="E4281" s="16">
        <v>0</v>
      </c>
      <c r="F4281" s="16" t="s">
        <v>64</v>
      </c>
      <c r="G4281" s="16" t="s">
        <v>64</v>
      </c>
    </row>
    <row r="4282" spans="1:7" x14ac:dyDescent="0.2">
      <c r="A4282" t="s">
        <v>64</v>
      </c>
      <c r="B4282" t="s">
        <v>64</v>
      </c>
      <c r="C4282" s="3" t="s">
        <v>64</v>
      </c>
      <c r="D4282" s="16" t="s">
        <v>64</v>
      </c>
      <c r="E4282" s="16">
        <v>0</v>
      </c>
      <c r="F4282" s="16" t="s">
        <v>64</v>
      </c>
      <c r="G4282" s="16" t="s">
        <v>64</v>
      </c>
    </row>
    <row r="4283" spans="1:7" x14ac:dyDescent="0.2">
      <c r="A4283" t="s">
        <v>64</v>
      </c>
      <c r="B4283" t="s">
        <v>64</v>
      </c>
      <c r="C4283" s="3" t="s">
        <v>64</v>
      </c>
      <c r="D4283" s="16" t="s">
        <v>64</v>
      </c>
      <c r="E4283" s="16">
        <v>0</v>
      </c>
      <c r="F4283" s="16" t="s">
        <v>64</v>
      </c>
      <c r="G4283" s="16" t="s">
        <v>64</v>
      </c>
    </row>
    <row r="4284" spans="1:7" x14ac:dyDescent="0.2">
      <c r="A4284" t="s">
        <v>64</v>
      </c>
      <c r="B4284" t="s">
        <v>64</v>
      </c>
      <c r="C4284" s="3" t="s">
        <v>64</v>
      </c>
      <c r="D4284" s="16" t="s">
        <v>64</v>
      </c>
      <c r="E4284" s="16">
        <v>0</v>
      </c>
      <c r="F4284" s="16" t="s">
        <v>64</v>
      </c>
      <c r="G4284" s="16" t="s">
        <v>64</v>
      </c>
    </row>
    <row r="4285" spans="1:7" x14ac:dyDescent="0.2">
      <c r="A4285" t="s">
        <v>64</v>
      </c>
      <c r="B4285" t="s">
        <v>64</v>
      </c>
      <c r="C4285" s="3" t="s">
        <v>64</v>
      </c>
      <c r="D4285" s="16" t="s">
        <v>64</v>
      </c>
      <c r="E4285" s="16">
        <v>0</v>
      </c>
      <c r="F4285" s="16" t="s">
        <v>64</v>
      </c>
      <c r="G4285" s="16" t="s">
        <v>64</v>
      </c>
    </row>
    <row r="4286" spans="1:7" x14ac:dyDescent="0.2">
      <c r="A4286" t="s">
        <v>64</v>
      </c>
      <c r="B4286" t="s">
        <v>64</v>
      </c>
      <c r="C4286" s="3" t="s">
        <v>64</v>
      </c>
      <c r="D4286" s="16" t="s">
        <v>64</v>
      </c>
      <c r="E4286" s="16">
        <v>0</v>
      </c>
      <c r="F4286" s="16" t="s">
        <v>64</v>
      </c>
      <c r="G4286" s="16" t="s">
        <v>64</v>
      </c>
    </row>
    <row r="4287" spans="1:7" x14ac:dyDescent="0.2">
      <c r="A4287" t="s">
        <v>64</v>
      </c>
      <c r="B4287" t="s">
        <v>64</v>
      </c>
      <c r="C4287" s="3" t="s">
        <v>64</v>
      </c>
      <c r="D4287" s="16" t="s">
        <v>64</v>
      </c>
      <c r="E4287" s="16">
        <v>0</v>
      </c>
      <c r="F4287" s="16" t="s">
        <v>64</v>
      </c>
      <c r="G4287" s="16" t="s">
        <v>64</v>
      </c>
    </row>
    <row r="4288" spans="1:7" x14ac:dyDescent="0.2">
      <c r="A4288" t="s">
        <v>64</v>
      </c>
      <c r="B4288" t="s">
        <v>64</v>
      </c>
      <c r="C4288" s="3" t="s">
        <v>64</v>
      </c>
      <c r="D4288" s="16" t="s">
        <v>64</v>
      </c>
      <c r="E4288" s="16">
        <v>0</v>
      </c>
      <c r="F4288" s="16" t="s">
        <v>64</v>
      </c>
      <c r="G4288" s="16" t="s">
        <v>64</v>
      </c>
    </row>
    <row r="4289" spans="1:7" x14ac:dyDescent="0.2">
      <c r="A4289" t="s">
        <v>64</v>
      </c>
      <c r="B4289" t="s">
        <v>64</v>
      </c>
      <c r="C4289" s="3" t="s">
        <v>64</v>
      </c>
      <c r="D4289" s="16" t="s">
        <v>64</v>
      </c>
      <c r="E4289" s="16">
        <v>0</v>
      </c>
      <c r="F4289" s="16" t="s">
        <v>64</v>
      </c>
      <c r="G4289" s="16" t="s">
        <v>64</v>
      </c>
    </row>
    <row r="4290" spans="1:7" x14ac:dyDescent="0.2">
      <c r="A4290" t="s">
        <v>64</v>
      </c>
      <c r="B4290" t="s">
        <v>64</v>
      </c>
      <c r="C4290" s="3" t="s">
        <v>64</v>
      </c>
      <c r="D4290" s="16" t="s">
        <v>64</v>
      </c>
      <c r="E4290" s="16">
        <v>0</v>
      </c>
      <c r="F4290" s="16" t="s">
        <v>64</v>
      </c>
      <c r="G4290" s="16" t="s">
        <v>64</v>
      </c>
    </row>
    <row r="4291" spans="1:7" x14ac:dyDescent="0.2">
      <c r="A4291" t="s">
        <v>64</v>
      </c>
      <c r="B4291" t="s">
        <v>64</v>
      </c>
      <c r="C4291" s="3" t="s">
        <v>64</v>
      </c>
      <c r="D4291" s="16" t="s">
        <v>64</v>
      </c>
      <c r="E4291" s="16">
        <v>0</v>
      </c>
      <c r="F4291" s="16" t="s">
        <v>64</v>
      </c>
      <c r="G4291" s="16" t="s">
        <v>64</v>
      </c>
    </row>
    <row r="4292" spans="1:7" x14ac:dyDescent="0.2">
      <c r="A4292" t="s">
        <v>64</v>
      </c>
      <c r="B4292" t="s">
        <v>64</v>
      </c>
      <c r="C4292" s="3" t="s">
        <v>64</v>
      </c>
      <c r="D4292" s="16" t="s">
        <v>64</v>
      </c>
      <c r="E4292" s="16">
        <v>0</v>
      </c>
      <c r="F4292" s="16" t="s">
        <v>64</v>
      </c>
      <c r="G4292" s="16" t="s">
        <v>64</v>
      </c>
    </row>
    <row r="4293" spans="1:7" x14ac:dyDescent="0.2">
      <c r="A4293" t="s">
        <v>64</v>
      </c>
      <c r="B4293" t="s">
        <v>64</v>
      </c>
      <c r="C4293" s="3" t="s">
        <v>64</v>
      </c>
      <c r="D4293" s="16" t="s">
        <v>64</v>
      </c>
      <c r="E4293" s="16">
        <v>0</v>
      </c>
      <c r="F4293" s="16" t="s">
        <v>64</v>
      </c>
      <c r="G4293" s="16" t="s">
        <v>64</v>
      </c>
    </row>
    <row r="4294" spans="1:7" x14ac:dyDescent="0.2">
      <c r="A4294" t="s">
        <v>64</v>
      </c>
      <c r="B4294" t="s">
        <v>64</v>
      </c>
      <c r="C4294" s="3" t="s">
        <v>64</v>
      </c>
      <c r="D4294" s="16" t="s">
        <v>64</v>
      </c>
      <c r="E4294" s="16">
        <v>0</v>
      </c>
      <c r="F4294" s="16" t="s">
        <v>64</v>
      </c>
      <c r="G4294" s="16" t="s">
        <v>64</v>
      </c>
    </row>
    <row r="4295" spans="1:7" x14ac:dyDescent="0.2">
      <c r="A4295" t="s">
        <v>64</v>
      </c>
      <c r="B4295" t="s">
        <v>64</v>
      </c>
      <c r="C4295" s="3" t="s">
        <v>64</v>
      </c>
      <c r="D4295" s="16" t="s">
        <v>64</v>
      </c>
      <c r="E4295" s="16">
        <v>0</v>
      </c>
      <c r="F4295" s="16" t="s">
        <v>64</v>
      </c>
      <c r="G4295" s="16" t="s">
        <v>64</v>
      </c>
    </row>
    <row r="4296" spans="1:7" x14ac:dyDescent="0.2">
      <c r="A4296" t="s">
        <v>64</v>
      </c>
      <c r="B4296" t="s">
        <v>64</v>
      </c>
      <c r="C4296" s="3" t="s">
        <v>64</v>
      </c>
      <c r="D4296" s="16" t="s">
        <v>64</v>
      </c>
      <c r="E4296" s="16">
        <v>0</v>
      </c>
      <c r="F4296" s="16" t="s">
        <v>64</v>
      </c>
      <c r="G4296" s="16" t="s">
        <v>64</v>
      </c>
    </row>
    <row r="4297" spans="1:7" x14ac:dyDescent="0.2">
      <c r="A4297" t="s">
        <v>64</v>
      </c>
      <c r="B4297" t="s">
        <v>64</v>
      </c>
      <c r="C4297" s="3" t="s">
        <v>64</v>
      </c>
      <c r="D4297" s="16" t="s">
        <v>64</v>
      </c>
      <c r="E4297" s="16">
        <v>0</v>
      </c>
      <c r="F4297" s="16" t="s">
        <v>64</v>
      </c>
      <c r="G4297" s="16" t="s">
        <v>64</v>
      </c>
    </row>
    <row r="4298" spans="1:7" x14ac:dyDescent="0.2">
      <c r="A4298" t="s">
        <v>64</v>
      </c>
      <c r="B4298" t="s">
        <v>64</v>
      </c>
      <c r="C4298" s="3" t="s">
        <v>64</v>
      </c>
      <c r="D4298" s="16" t="s">
        <v>64</v>
      </c>
      <c r="E4298" s="16">
        <v>0</v>
      </c>
      <c r="F4298" s="16" t="s">
        <v>64</v>
      </c>
      <c r="G4298" s="16" t="s">
        <v>64</v>
      </c>
    </row>
    <row r="4299" spans="1:7" x14ac:dyDescent="0.2">
      <c r="A4299" t="s">
        <v>64</v>
      </c>
      <c r="B4299" t="s">
        <v>64</v>
      </c>
      <c r="C4299" s="3" t="s">
        <v>64</v>
      </c>
      <c r="D4299" s="16" t="s">
        <v>64</v>
      </c>
      <c r="E4299" s="16">
        <v>0</v>
      </c>
      <c r="F4299" s="16" t="s">
        <v>64</v>
      </c>
      <c r="G4299" s="16" t="s">
        <v>64</v>
      </c>
    </row>
    <row r="4300" spans="1:7" x14ac:dyDescent="0.2">
      <c r="A4300" t="s">
        <v>64</v>
      </c>
      <c r="B4300" t="s">
        <v>64</v>
      </c>
      <c r="C4300" s="3" t="s">
        <v>64</v>
      </c>
      <c r="D4300" s="16" t="s">
        <v>64</v>
      </c>
      <c r="E4300" s="16">
        <v>0</v>
      </c>
      <c r="F4300" s="16" t="s">
        <v>64</v>
      </c>
      <c r="G4300" s="16" t="s">
        <v>64</v>
      </c>
    </row>
    <row r="4301" spans="1:7" x14ac:dyDescent="0.2">
      <c r="A4301" t="s">
        <v>64</v>
      </c>
      <c r="B4301" t="s">
        <v>64</v>
      </c>
      <c r="C4301" s="3" t="s">
        <v>64</v>
      </c>
      <c r="D4301" s="16" t="s">
        <v>64</v>
      </c>
      <c r="E4301" s="16">
        <v>0</v>
      </c>
      <c r="F4301" s="16" t="s">
        <v>64</v>
      </c>
      <c r="G4301" s="16" t="s">
        <v>64</v>
      </c>
    </row>
    <row r="4302" spans="1:7" x14ac:dyDescent="0.2">
      <c r="A4302" t="s">
        <v>64</v>
      </c>
      <c r="B4302" t="s">
        <v>64</v>
      </c>
      <c r="C4302" s="3" t="s">
        <v>64</v>
      </c>
      <c r="D4302" s="16" t="s">
        <v>64</v>
      </c>
      <c r="E4302" s="16">
        <v>0</v>
      </c>
      <c r="F4302" s="16" t="s">
        <v>64</v>
      </c>
      <c r="G4302" s="16" t="s">
        <v>64</v>
      </c>
    </row>
    <row r="4303" spans="1:7" x14ac:dyDescent="0.2">
      <c r="A4303" t="s">
        <v>64</v>
      </c>
      <c r="B4303" t="s">
        <v>64</v>
      </c>
      <c r="C4303" s="3" t="s">
        <v>64</v>
      </c>
      <c r="D4303" s="16" t="s">
        <v>64</v>
      </c>
      <c r="E4303" s="16">
        <v>0</v>
      </c>
      <c r="F4303" s="16" t="s">
        <v>64</v>
      </c>
      <c r="G4303" s="16" t="s">
        <v>64</v>
      </c>
    </row>
    <row r="4304" spans="1:7" x14ac:dyDescent="0.2">
      <c r="A4304" t="s">
        <v>64</v>
      </c>
      <c r="B4304" t="s">
        <v>64</v>
      </c>
      <c r="C4304" s="3" t="s">
        <v>64</v>
      </c>
      <c r="D4304" s="16" t="s">
        <v>64</v>
      </c>
      <c r="E4304" s="16">
        <v>0</v>
      </c>
      <c r="F4304" s="16" t="s">
        <v>64</v>
      </c>
      <c r="G4304" s="16" t="s">
        <v>64</v>
      </c>
    </row>
    <row r="4305" spans="1:7" x14ac:dyDescent="0.2">
      <c r="A4305" t="s">
        <v>64</v>
      </c>
      <c r="B4305" t="s">
        <v>64</v>
      </c>
      <c r="C4305" s="3" t="s">
        <v>64</v>
      </c>
      <c r="D4305" s="16" t="s">
        <v>64</v>
      </c>
      <c r="E4305" s="16">
        <v>0</v>
      </c>
      <c r="F4305" s="16" t="s">
        <v>64</v>
      </c>
      <c r="G4305" s="16" t="s">
        <v>64</v>
      </c>
    </row>
    <row r="4306" spans="1:7" x14ac:dyDescent="0.2">
      <c r="A4306" t="s">
        <v>64</v>
      </c>
      <c r="B4306" t="s">
        <v>64</v>
      </c>
      <c r="C4306" s="3" t="s">
        <v>64</v>
      </c>
      <c r="D4306" s="16" t="s">
        <v>64</v>
      </c>
      <c r="E4306" s="16">
        <v>0</v>
      </c>
      <c r="F4306" s="16" t="s">
        <v>64</v>
      </c>
      <c r="G4306" s="16" t="s">
        <v>64</v>
      </c>
    </row>
    <row r="4307" spans="1:7" x14ac:dyDescent="0.2">
      <c r="A4307" t="s">
        <v>64</v>
      </c>
      <c r="B4307" t="s">
        <v>64</v>
      </c>
      <c r="C4307" s="3" t="s">
        <v>64</v>
      </c>
      <c r="D4307" s="16" t="s">
        <v>64</v>
      </c>
      <c r="E4307" s="16">
        <v>0</v>
      </c>
      <c r="F4307" s="16" t="s">
        <v>64</v>
      </c>
      <c r="G4307" s="16" t="s">
        <v>64</v>
      </c>
    </row>
    <row r="4308" spans="1:7" x14ac:dyDescent="0.2">
      <c r="A4308" t="s">
        <v>64</v>
      </c>
      <c r="B4308" t="s">
        <v>64</v>
      </c>
      <c r="C4308" s="3" t="s">
        <v>64</v>
      </c>
      <c r="D4308" s="16" t="s">
        <v>64</v>
      </c>
      <c r="E4308" s="16">
        <v>0</v>
      </c>
      <c r="F4308" s="16" t="s">
        <v>64</v>
      </c>
      <c r="G4308" s="16" t="s">
        <v>64</v>
      </c>
    </row>
    <row r="4309" spans="1:7" x14ac:dyDescent="0.2">
      <c r="A4309" t="s">
        <v>64</v>
      </c>
      <c r="B4309" t="s">
        <v>64</v>
      </c>
      <c r="C4309" s="3" t="s">
        <v>64</v>
      </c>
      <c r="D4309" s="16" t="s">
        <v>64</v>
      </c>
      <c r="E4309" s="16">
        <v>0</v>
      </c>
      <c r="F4309" s="16" t="s">
        <v>64</v>
      </c>
      <c r="G4309" s="16" t="s">
        <v>64</v>
      </c>
    </row>
    <row r="4310" spans="1:7" x14ac:dyDescent="0.2">
      <c r="A4310" t="s">
        <v>64</v>
      </c>
      <c r="B4310" t="s">
        <v>64</v>
      </c>
      <c r="C4310" s="3" t="s">
        <v>64</v>
      </c>
      <c r="D4310" s="16" t="s">
        <v>64</v>
      </c>
      <c r="E4310" s="16">
        <v>0</v>
      </c>
      <c r="F4310" s="16" t="s">
        <v>64</v>
      </c>
      <c r="G4310" s="16" t="s">
        <v>64</v>
      </c>
    </row>
    <row r="4311" spans="1:7" x14ac:dyDescent="0.2">
      <c r="A4311" t="s">
        <v>64</v>
      </c>
      <c r="B4311" t="s">
        <v>64</v>
      </c>
      <c r="C4311" s="3" t="s">
        <v>64</v>
      </c>
      <c r="D4311" s="16" t="s">
        <v>64</v>
      </c>
      <c r="E4311" s="16">
        <v>0</v>
      </c>
      <c r="F4311" s="16" t="s">
        <v>64</v>
      </c>
      <c r="G4311" s="16" t="s">
        <v>64</v>
      </c>
    </row>
    <row r="4312" spans="1:7" x14ac:dyDescent="0.2">
      <c r="A4312" t="s">
        <v>64</v>
      </c>
      <c r="B4312" t="s">
        <v>64</v>
      </c>
      <c r="C4312" s="3" t="s">
        <v>64</v>
      </c>
      <c r="D4312" s="16" t="s">
        <v>64</v>
      </c>
      <c r="E4312" s="16">
        <v>0</v>
      </c>
      <c r="F4312" s="16" t="s">
        <v>64</v>
      </c>
      <c r="G4312" s="16" t="s">
        <v>64</v>
      </c>
    </row>
    <row r="4313" spans="1:7" x14ac:dyDescent="0.2">
      <c r="A4313" t="s">
        <v>64</v>
      </c>
      <c r="B4313" t="s">
        <v>64</v>
      </c>
      <c r="C4313" s="3" t="s">
        <v>64</v>
      </c>
      <c r="D4313" s="16" t="s">
        <v>64</v>
      </c>
      <c r="E4313" s="16">
        <v>0</v>
      </c>
      <c r="F4313" s="16" t="s">
        <v>64</v>
      </c>
      <c r="G4313" s="16" t="s">
        <v>64</v>
      </c>
    </row>
    <row r="4314" spans="1:7" x14ac:dyDescent="0.2">
      <c r="A4314" t="s">
        <v>64</v>
      </c>
      <c r="B4314" t="s">
        <v>64</v>
      </c>
      <c r="C4314" s="3" t="s">
        <v>64</v>
      </c>
      <c r="D4314" s="16" t="s">
        <v>64</v>
      </c>
      <c r="E4314" s="16">
        <v>0</v>
      </c>
      <c r="F4314" s="16" t="s">
        <v>64</v>
      </c>
      <c r="G4314" s="16" t="s">
        <v>64</v>
      </c>
    </row>
    <row r="4315" spans="1:7" x14ac:dyDescent="0.2">
      <c r="A4315" t="s">
        <v>64</v>
      </c>
      <c r="B4315" t="s">
        <v>64</v>
      </c>
      <c r="C4315" s="3" t="s">
        <v>64</v>
      </c>
      <c r="D4315" s="16" t="s">
        <v>64</v>
      </c>
      <c r="E4315" s="16">
        <v>0</v>
      </c>
      <c r="F4315" s="16" t="s">
        <v>64</v>
      </c>
      <c r="G4315" s="16" t="s">
        <v>64</v>
      </c>
    </row>
    <row r="4316" spans="1:7" x14ac:dyDescent="0.2">
      <c r="A4316" t="s">
        <v>64</v>
      </c>
      <c r="B4316" t="s">
        <v>64</v>
      </c>
      <c r="C4316" s="3" t="s">
        <v>64</v>
      </c>
      <c r="D4316" s="16" t="s">
        <v>64</v>
      </c>
      <c r="E4316" s="16">
        <v>0</v>
      </c>
      <c r="F4316" s="16" t="s">
        <v>64</v>
      </c>
      <c r="G4316" s="16" t="s">
        <v>64</v>
      </c>
    </row>
    <row r="4317" spans="1:7" x14ac:dyDescent="0.2">
      <c r="A4317" t="s">
        <v>64</v>
      </c>
      <c r="B4317" t="s">
        <v>64</v>
      </c>
      <c r="C4317" s="3" t="s">
        <v>64</v>
      </c>
      <c r="D4317" s="16" t="s">
        <v>64</v>
      </c>
      <c r="E4317" s="16">
        <v>0</v>
      </c>
      <c r="F4317" s="16" t="s">
        <v>64</v>
      </c>
      <c r="G4317" s="16" t="s">
        <v>64</v>
      </c>
    </row>
    <row r="4318" spans="1:7" x14ac:dyDescent="0.2">
      <c r="A4318" t="s">
        <v>64</v>
      </c>
      <c r="B4318" t="s">
        <v>64</v>
      </c>
      <c r="C4318" s="3" t="s">
        <v>64</v>
      </c>
      <c r="D4318" s="16" t="s">
        <v>64</v>
      </c>
      <c r="E4318" s="16">
        <v>0</v>
      </c>
      <c r="F4318" s="16" t="s">
        <v>64</v>
      </c>
      <c r="G4318" s="16" t="s">
        <v>64</v>
      </c>
    </row>
    <row r="4319" spans="1:7" x14ac:dyDescent="0.2">
      <c r="A4319" t="s">
        <v>64</v>
      </c>
      <c r="B4319" t="s">
        <v>64</v>
      </c>
      <c r="C4319" s="3" t="s">
        <v>64</v>
      </c>
      <c r="D4319" s="16" t="s">
        <v>64</v>
      </c>
      <c r="E4319" s="16">
        <v>0</v>
      </c>
      <c r="F4319" s="16" t="s">
        <v>64</v>
      </c>
      <c r="G4319" s="16" t="s">
        <v>64</v>
      </c>
    </row>
    <row r="4320" spans="1:7" x14ac:dyDescent="0.2">
      <c r="A4320" t="s">
        <v>64</v>
      </c>
      <c r="B4320" t="s">
        <v>64</v>
      </c>
      <c r="C4320" s="3" t="s">
        <v>64</v>
      </c>
      <c r="D4320" s="16" t="s">
        <v>64</v>
      </c>
      <c r="E4320" s="16">
        <v>0</v>
      </c>
      <c r="F4320" s="16" t="s">
        <v>64</v>
      </c>
      <c r="G4320" s="16" t="s">
        <v>64</v>
      </c>
    </row>
    <row r="4321" spans="1:7" x14ac:dyDescent="0.2">
      <c r="A4321" t="s">
        <v>64</v>
      </c>
      <c r="B4321" t="s">
        <v>64</v>
      </c>
      <c r="C4321" s="3" t="s">
        <v>64</v>
      </c>
      <c r="D4321" s="16" t="s">
        <v>64</v>
      </c>
      <c r="E4321" s="16">
        <v>0</v>
      </c>
      <c r="F4321" s="16" t="s">
        <v>64</v>
      </c>
      <c r="G4321" s="16" t="s">
        <v>64</v>
      </c>
    </row>
    <row r="4322" spans="1:7" x14ac:dyDescent="0.2">
      <c r="A4322" t="s">
        <v>64</v>
      </c>
      <c r="B4322" t="s">
        <v>64</v>
      </c>
      <c r="C4322" s="3" t="s">
        <v>64</v>
      </c>
      <c r="D4322" s="16" t="s">
        <v>64</v>
      </c>
      <c r="E4322" s="16">
        <v>0</v>
      </c>
      <c r="F4322" s="16" t="s">
        <v>64</v>
      </c>
      <c r="G4322" s="16" t="s">
        <v>64</v>
      </c>
    </row>
    <row r="4323" spans="1:7" x14ac:dyDescent="0.2">
      <c r="A4323" t="s">
        <v>64</v>
      </c>
      <c r="B4323" t="s">
        <v>64</v>
      </c>
      <c r="C4323" s="3" t="s">
        <v>64</v>
      </c>
      <c r="D4323" s="16" t="s">
        <v>64</v>
      </c>
      <c r="E4323" s="16">
        <v>0</v>
      </c>
      <c r="F4323" s="16" t="s">
        <v>64</v>
      </c>
      <c r="G4323" s="16" t="s">
        <v>64</v>
      </c>
    </row>
    <row r="4324" spans="1:7" x14ac:dyDescent="0.2">
      <c r="A4324" t="s">
        <v>64</v>
      </c>
      <c r="B4324" t="s">
        <v>64</v>
      </c>
      <c r="C4324" s="3" t="s">
        <v>64</v>
      </c>
      <c r="D4324" s="16" t="s">
        <v>64</v>
      </c>
      <c r="E4324" s="16">
        <v>0</v>
      </c>
      <c r="F4324" s="16" t="s">
        <v>64</v>
      </c>
      <c r="G4324" s="16" t="s">
        <v>64</v>
      </c>
    </row>
    <row r="4325" spans="1:7" x14ac:dyDescent="0.2">
      <c r="A4325" t="s">
        <v>64</v>
      </c>
      <c r="B4325" t="s">
        <v>64</v>
      </c>
      <c r="C4325" s="3" t="s">
        <v>64</v>
      </c>
      <c r="D4325" s="16" t="s">
        <v>64</v>
      </c>
      <c r="E4325" s="16">
        <v>0</v>
      </c>
      <c r="F4325" s="16" t="s">
        <v>64</v>
      </c>
      <c r="G4325" s="16" t="s">
        <v>64</v>
      </c>
    </row>
    <row r="4326" spans="1:7" x14ac:dyDescent="0.2">
      <c r="A4326" t="s">
        <v>64</v>
      </c>
      <c r="B4326" t="s">
        <v>64</v>
      </c>
      <c r="C4326" s="3" t="s">
        <v>64</v>
      </c>
      <c r="D4326" s="16" t="s">
        <v>64</v>
      </c>
      <c r="E4326" s="16">
        <v>0</v>
      </c>
      <c r="F4326" s="16" t="s">
        <v>64</v>
      </c>
      <c r="G4326" s="16" t="s">
        <v>64</v>
      </c>
    </row>
    <row r="4327" spans="1:7" x14ac:dyDescent="0.2">
      <c r="A4327" t="s">
        <v>64</v>
      </c>
      <c r="B4327" t="s">
        <v>64</v>
      </c>
      <c r="C4327" s="3" t="s">
        <v>64</v>
      </c>
      <c r="D4327" s="16" t="s">
        <v>64</v>
      </c>
      <c r="E4327" s="16">
        <v>0</v>
      </c>
      <c r="F4327" s="16" t="s">
        <v>64</v>
      </c>
      <c r="G4327" s="16" t="s">
        <v>64</v>
      </c>
    </row>
    <row r="4328" spans="1:7" x14ac:dyDescent="0.2">
      <c r="A4328" t="s">
        <v>64</v>
      </c>
      <c r="B4328" t="s">
        <v>64</v>
      </c>
      <c r="C4328" s="3" t="s">
        <v>64</v>
      </c>
      <c r="D4328" s="16" t="s">
        <v>64</v>
      </c>
      <c r="E4328" s="16">
        <v>0</v>
      </c>
      <c r="F4328" s="16" t="s">
        <v>64</v>
      </c>
      <c r="G4328" s="16" t="s">
        <v>64</v>
      </c>
    </row>
    <row r="4329" spans="1:7" x14ac:dyDescent="0.2">
      <c r="A4329" t="s">
        <v>64</v>
      </c>
      <c r="B4329" t="s">
        <v>64</v>
      </c>
      <c r="C4329" s="3" t="s">
        <v>64</v>
      </c>
      <c r="D4329" s="16" t="s">
        <v>64</v>
      </c>
      <c r="E4329" s="16">
        <v>0</v>
      </c>
      <c r="F4329" s="16" t="s">
        <v>64</v>
      </c>
      <c r="G4329" s="16" t="s">
        <v>64</v>
      </c>
    </row>
    <row r="4330" spans="1:7" x14ac:dyDescent="0.2">
      <c r="A4330" t="s">
        <v>64</v>
      </c>
      <c r="B4330" t="s">
        <v>64</v>
      </c>
      <c r="C4330" s="3" t="s">
        <v>64</v>
      </c>
      <c r="D4330" s="16" t="s">
        <v>64</v>
      </c>
      <c r="E4330" s="16">
        <v>0</v>
      </c>
      <c r="F4330" s="16" t="s">
        <v>64</v>
      </c>
      <c r="G4330" s="16" t="s">
        <v>64</v>
      </c>
    </row>
    <row r="4331" spans="1:7" x14ac:dyDescent="0.2">
      <c r="A4331" t="s">
        <v>64</v>
      </c>
      <c r="B4331" t="s">
        <v>64</v>
      </c>
      <c r="C4331" s="3" t="s">
        <v>64</v>
      </c>
      <c r="D4331" s="16" t="s">
        <v>64</v>
      </c>
      <c r="E4331" s="16">
        <v>0</v>
      </c>
      <c r="F4331" s="16" t="s">
        <v>64</v>
      </c>
      <c r="G4331" s="16" t="s">
        <v>64</v>
      </c>
    </row>
    <row r="4332" spans="1:7" x14ac:dyDescent="0.2">
      <c r="A4332" t="s">
        <v>64</v>
      </c>
      <c r="B4332" t="s">
        <v>64</v>
      </c>
      <c r="C4332" s="3" t="s">
        <v>64</v>
      </c>
      <c r="D4332" s="16" t="s">
        <v>64</v>
      </c>
      <c r="E4332" s="16">
        <v>0</v>
      </c>
      <c r="F4332" s="16" t="s">
        <v>64</v>
      </c>
      <c r="G4332" s="16" t="s">
        <v>64</v>
      </c>
    </row>
    <row r="4333" spans="1:7" x14ac:dyDescent="0.2">
      <c r="A4333" t="s">
        <v>64</v>
      </c>
      <c r="B4333" t="s">
        <v>64</v>
      </c>
      <c r="C4333" s="3" t="s">
        <v>64</v>
      </c>
      <c r="D4333" s="16" t="s">
        <v>64</v>
      </c>
      <c r="E4333" s="16">
        <v>0</v>
      </c>
      <c r="F4333" s="16" t="s">
        <v>64</v>
      </c>
      <c r="G4333" s="16" t="s">
        <v>64</v>
      </c>
    </row>
    <row r="4334" spans="1:7" x14ac:dyDescent="0.2">
      <c r="A4334" t="s">
        <v>64</v>
      </c>
      <c r="B4334" t="s">
        <v>64</v>
      </c>
      <c r="C4334" s="3" t="s">
        <v>64</v>
      </c>
      <c r="D4334" s="16" t="s">
        <v>64</v>
      </c>
      <c r="E4334" s="16">
        <v>0</v>
      </c>
      <c r="F4334" s="16" t="s">
        <v>64</v>
      </c>
      <c r="G4334" s="16" t="s">
        <v>64</v>
      </c>
    </row>
    <row r="4335" spans="1:7" x14ac:dyDescent="0.2">
      <c r="A4335" t="s">
        <v>64</v>
      </c>
      <c r="B4335" t="s">
        <v>64</v>
      </c>
      <c r="C4335" s="3" t="s">
        <v>64</v>
      </c>
      <c r="D4335" s="16" t="s">
        <v>64</v>
      </c>
      <c r="E4335" s="16">
        <v>0</v>
      </c>
      <c r="F4335" s="16" t="s">
        <v>64</v>
      </c>
      <c r="G4335" s="16" t="s">
        <v>64</v>
      </c>
    </row>
    <row r="4336" spans="1:7" x14ac:dyDescent="0.2">
      <c r="A4336" t="s">
        <v>64</v>
      </c>
      <c r="B4336" t="s">
        <v>64</v>
      </c>
      <c r="C4336" s="3" t="s">
        <v>64</v>
      </c>
      <c r="D4336" s="16" t="s">
        <v>64</v>
      </c>
      <c r="E4336" s="16">
        <v>0</v>
      </c>
      <c r="F4336" s="16" t="s">
        <v>64</v>
      </c>
      <c r="G4336" s="16" t="s">
        <v>64</v>
      </c>
    </row>
    <row r="4337" spans="1:7" x14ac:dyDescent="0.2">
      <c r="A4337" t="s">
        <v>64</v>
      </c>
      <c r="B4337" t="s">
        <v>64</v>
      </c>
      <c r="C4337" s="3" t="s">
        <v>64</v>
      </c>
      <c r="D4337" s="16" t="s">
        <v>64</v>
      </c>
      <c r="E4337" s="16">
        <v>0</v>
      </c>
      <c r="F4337" s="16" t="s">
        <v>64</v>
      </c>
      <c r="G4337" s="16" t="s">
        <v>64</v>
      </c>
    </row>
    <row r="4338" spans="1:7" x14ac:dyDescent="0.2">
      <c r="A4338" t="s">
        <v>64</v>
      </c>
      <c r="B4338" t="s">
        <v>64</v>
      </c>
      <c r="C4338" s="3" t="s">
        <v>64</v>
      </c>
      <c r="D4338" s="16" t="s">
        <v>64</v>
      </c>
      <c r="E4338" s="16">
        <v>0</v>
      </c>
      <c r="F4338" s="16" t="s">
        <v>64</v>
      </c>
      <c r="G4338" s="16" t="s">
        <v>64</v>
      </c>
    </row>
    <row r="4339" spans="1:7" x14ac:dyDescent="0.2">
      <c r="A4339" t="s">
        <v>64</v>
      </c>
      <c r="B4339" t="s">
        <v>64</v>
      </c>
      <c r="C4339" s="3" t="s">
        <v>64</v>
      </c>
      <c r="D4339" s="16" t="s">
        <v>64</v>
      </c>
      <c r="E4339" s="16">
        <v>0</v>
      </c>
      <c r="F4339" s="16" t="s">
        <v>64</v>
      </c>
      <c r="G4339" s="16" t="s">
        <v>64</v>
      </c>
    </row>
    <row r="4340" spans="1:7" x14ac:dyDescent="0.2">
      <c r="A4340" t="s">
        <v>64</v>
      </c>
      <c r="B4340" t="s">
        <v>64</v>
      </c>
      <c r="C4340" s="3" t="s">
        <v>64</v>
      </c>
      <c r="D4340" s="16" t="s">
        <v>64</v>
      </c>
      <c r="E4340" s="16">
        <v>0</v>
      </c>
      <c r="F4340" s="16" t="s">
        <v>64</v>
      </c>
      <c r="G4340" s="16" t="s">
        <v>64</v>
      </c>
    </row>
    <row r="4341" spans="1:7" x14ac:dyDescent="0.2">
      <c r="A4341" t="s">
        <v>64</v>
      </c>
      <c r="B4341" t="s">
        <v>64</v>
      </c>
      <c r="C4341" s="3" t="s">
        <v>64</v>
      </c>
      <c r="D4341" s="16" t="s">
        <v>64</v>
      </c>
      <c r="E4341" s="16">
        <v>0</v>
      </c>
      <c r="F4341" s="16" t="s">
        <v>64</v>
      </c>
      <c r="G4341" s="16" t="s">
        <v>64</v>
      </c>
    </row>
    <row r="4342" spans="1:7" x14ac:dyDescent="0.2">
      <c r="A4342" t="s">
        <v>64</v>
      </c>
      <c r="B4342" t="s">
        <v>64</v>
      </c>
      <c r="C4342" s="3" t="s">
        <v>64</v>
      </c>
      <c r="D4342" s="16" t="s">
        <v>64</v>
      </c>
      <c r="E4342" s="16">
        <v>0</v>
      </c>
      <c r="F4342" s="16" t="s">
        <v>64</v>
      </c>
      <c r="G4342" s="16" t="s">
        <v>64</v>
      </c>
    </row>
    <row r="4343" spans="1:7" x14ac:dyDescent="0.2">
      <c r="A4343" t="s">
        <v>64</v>
      </c>
      <c r="B4343" t="s">
        <v>64</v>
      </c>
      <c r="C4343" s="3" t="s">
        <v>64</v>
      </c>
      <c r="D4343" s="16" t="s">
        <v>64</v>
      </c>
      <c r="E4343" s="16">
        <v>0</v>
      </c>
      <c r="F4343" s="16" t="s">
        <v>64</v>
      </c>
      <c r="G4343" s="16" t="s">
        <v>64</v>
      </c>
    </row>
    <row r="4344" spans="1:7" x14ac:dyDescent="0.2">
      <c r="A4344" t="s">
        <v>64</v>
      </c>
      <c r="B4344" t="s">
        <v>64</v>
      </c>
      <c r="C4344" s="3" t="s">
        <v>64</v>
      </c>
      <c r="D4344" s="16" t="s">
        <v>64</v>
      </c>
      <c r="E4344" s="16">
        <v>0</v>
      </c>
      <c r="F4344" s="16" t="s">
        <v>64</v>
      </c>
      <c r="G4344" s="16" t="s">
        <v>64</v>
      </c>
    </row>
    <row r="4345" spans="1:7" x14ac:dyDescent="0.2">
      <c r="A4345" t="s">
        <v>64</v>
      </c>
      <c r="B4345" t="s">
        <v>64</v>
      </c>
      <c r="C4345" s="3" t="s">
        <v>64</v>
      </c>
      <c r="D4345" s="16" t="s">
        <v>64</v>
      </c>
      <c r="E4345" s="16">
        <v>0</v>
      </c>
      <c r="F4345" s="16" t="s">
        <v>64</v>
      </c>
      <c r="G4345" s="16" t="s">
        <v>64</v>
      </c>
    </row>
    <row r="4346" spans="1:7" x14ac:dyDescent="0.2">
      <c r="A4346" t="s">
        <v>64</v>
      </c>
      <c r="B4346" t="s">
        <v>64</v>
      </c>
      <c r="C4346" s="3" t="s">
        <v>64</v>
      </c>
      <c r="D4346" s="16" t="s">
        <v>64</v>
      </c>
      <c r="E4346" s="16">
        <v>0</v>
      </c>
      <c r="F4346" s="16" t="s">
        <v>64</v>
      </c>
      <c r="G4346" s="16" t="s">
        <v>64</v>
      </c>
    </row>
    <row r="4347" spans="1:7" x14ac:dyDescent="0.2">
      <c r="A4347" t="s">
        <v>64</v>
      </c>
      <c r="B4347" t="s">
        <v>64</v>
      </c>
      <c r="C4347" s="3" t="s">
        <v>64</v>
      </c>
      <c r="D4347" s="16" t="s">
        <v>64</v>
      </c>
      <c r="E4347" s="16">
        <v>0</v>
      </c>
      <c r="F4347" s="16" t="s">
        <v>64</v>
      </c>
      <c r="G4347" s="16" t="s">
        <v>64</v>
      </c>
    </row>
    <row r="4348" spans="1:7" x14ac:dyDescent="0.2">
      <c r="A4348" t="s">
        <v>64</v>
      </c>
      <c r="B4348" t="s">
        <v>64</v>
      </c>
      <c r="C4348" s="3" t="s">
        <v>64</v>
      </c>
      <c r="D4348" s="16" t="s">
        <v>64</v>
      </c>
      <c r="E4348" s="16">
        <v>0</v>
      </c>
      <c r="F4348" s="16" t="s">
        <v>64</v>
      </c>
      <c r="G4348" s="16" t="s">
        <v>64</v>
      </c>
    </row>
    <row r="4349" spans="1:7" x14ac:dyDescent="0.2">
      <c r="A4349" t="s">
        <v>64</v>
      </c>
      <c r="B4349" t="s">
        <v>64</v>
      </c>
      <c r="C4349" s="3" t="s">
        <v>64</v>
      </c>
      <c r="D4349" s="16" t="s">
        <v>64</v>
      </c>
      <c r="E4349" s="16">
        <v>0</v>
      </c>
      <c r="F4349" s="16" t="s">
        <v>64</v>
      </c>
      <c r="G4349" s="16" t="s">
        <v>64</v>
      </c>
    </row>
    <row r="4350" spans="1:7" x14ac:dyDescent="0.2">
      <c r="A4350" t="s">
        <v>64</v>
      </c>
      <c r="B4350" t="s">
        <v>64</v>
      </c>
      <c r="C4350" s="3" t="s">
        <v>64</v>
      </c>
      <c r="D4350" s="16" t="s">
        <v>64</v>
      </c>
      <c r="E4350" s="16">
        <v>0</v>
      </c>
      <c r="F4350" s="16" t="s">
        <v>64</v>
      </c>
      <c r="G4350" s="16" t="s">
        <v>64</v>
      </c>
    </row>
    <row r="4351" spans="1:7" x14ac:dyDescent="0.2">
      <c r="A4351" t="s">
        <v>64</v>
      </c>
      <c r="B4351" t="s">
        <v>64</v>
      </c>
      <c r="C4351" s="3" t="s">
        <v>64</v>
      </c>
      <c r="D4351" s="16" t="s">
        <v>64</v>
      </c>
      <c r="E4351" s="16">
        <v>0</v>
      </c>
      <c r="F4351" s="16" t="s">
        <v>64</v>
      </c>
      <c r="G4351" s="16" t="s">
        <v>64</v>
      </c>
    </row>
    <row r="4352" spans="1:7" x14ac:dyDescent="0.2">
      <c r="A4352" t="s">
        <v>64</v>
      </c>
      <c r="B4352" t="s">
        <v>64</v>
      </c>
      <c r="C4352" s="3" t="s">
        <v>64</v>
      </c>
      <c r="D4352" s="16" t="s">
        <v>64</v>
      </c>
      <c r="E4352" s="16">
        <v>0</v>
      </c>
      <c r="F4352" s="16" t="s">
        <v>64</v>
      </c>
      <c r="G4352" s="16" t="s">
        <v>64</v>
      </c>
    </row>
    <row r="4353" spans="1:7" x14ac:dyDescent="0.2">
      <c r="A4353" t="s">
        <v>64</v>
      </c>
      <c r="B4353" t="s">
        <v>64</v>
      </c>
      <c r="C4353" s="3" t="s">
        <v>64</v>
      </c>
      <c r="D4353" s="16" t="s">
        <v>64</v>
      </c>
      <c r="E4353" s="16">
        <v>0</v>
      </c>
      <c r="F4353" s="16" t="s">
        <v>64</v>
      </c>
      <c r="G4353" s="16" t="s">
        <v>64</v>
      </c>
    </row>
    <row r="4354" spans="1:7" x14ac:dyDescent="0.2">
      <c r="A4354" t="s">
        <v>64</v>
      </c>
      <c r="B4354" t="s">
        <v>64</v>
      </c>
      <c r="C4354" s="3" t="s">
        <v>64</v>
      </c>
      <c r="D4354" s="16" t="s">
        <v>64</v>
      </c>
      <c r="E4354" s="16">
        <v>0</v>
      </c>
      <c r="F4354" s="16" t="s">
        <v>64</v>
      </c>
      <c r="G4354" s="16" t="s">
        <v>64</v>
      </c>
    </row>
    <row r="4355" spans="1:7" x14ac:dyDescent="0.2">
      <c r="A4355" t="s">
        <v>64</v>
      </c>
      <c r="B4355" t="s">
        <v>64</v>
      </c>
      <c r="C4355" s="3" t="s">
        <v>64</v>
      </c>
      <c r="D4355" s="16" t="s">
        <v>64</v>
      </c>
      <c r="E4355" s="16">
        <v>0</v>
      </c>
      <c r="F4355" s="16" t="s">
        <v>64</v>
      </c>
      <c r="G4355" s="16" t="s">
        <v>64</v>
      </c>
    </row>
    <row r="4356" spans="1:7" x14ac:dyDescent="0.2">
      <c r="A4356" t="s">
        <v>64</v>
      </c>
      <c r="B4356" t="s">
        <v>64</v>
      </c>
      <c r="C4356" s="3" t="s">
        <v>64</v>
      </c>
      <c r="D4356" s="16" t="s">
        <v>64</v>
      </c>
      <c r="E4356" s="16">
        <v>0</v>
      </c>
      <c r="F4356" s="16" t="s">
        <v>64</v>
      </c>
      <c r="G4356" s="16" t="s">
        <v>64</v>
      </c>
    </row>
    <row r="4357" spans="1:7" x14ac:dyDescent="0.2">
      <c r="A4357" t="s">
        <v>64</v>
      </c>
      <c r="B4357" t="s">
        <v>64</v>
      </c>
      <c r="C4357" s="3" t="s">
        <v>64</v>
      </c>
      <c r="D4357" s="16" t="s">
        <v>64</v>
      </c>
      <c r="E4357" s="16">
        <v>0</v>
      </c>
      <c r="F4357" s="16" t="s">
        <v>64</v>
      </c>
      <c r="G4357" s="16" t="s">
        <v>64</v>
      </c>
    </row>
    <row r="4358" spans="1:7" x14ac:dyDescent="0.2">
      <c r="A4358" t="s">
        <v>64</v>
      </c>
      <c r="B4358" t="s">
        <v>64</v>
      </c>
      <c r="C4358" s="3" t="s">
        <v>64</v>
      </c>
      <c r="D4358" s="16" t="s">
        <v>64</v>
      </c>
      <c r="E4358" s="16">
        <v>0</v>
      </c>
      <c r="F4358" s="16" t="s">
        <v>64</v>
      </c>
      <c r="G4358" s="16" t="s">
        <v>64</v>
      </c>
    </row>
    <row r="4359" spans="1:7" x14ac:dyDescent="0.2">
      <c r="A4359" t="s">
        <v>64</v>
      </c>
      <c r="B4359" t="s">
        <v>64</v>
      </c>
      <c r="C4359" s="3" t="s">
        <v>64</v>
      </c>
      <c r="D4359" s="16" t="s">
        <v>64</v>
      </c>
      <c r="E4359" s="16">
        <v>0</v>
      </c>
      <c r="F4359" s="16" t="s">
        <v>64</v>
      </c>
      <c r="G4359" s="16" t="s">
        <v>64</v>
      </c>
    </row>
    <row r="4360" spans="1:7" x14ac:dyDescent="0.2">
      <c r="A4360" t="s">
        <v>64</v>
      </c>
      <c r="B4360" t="s">
        <v>64</v>
      </c>
      <c r="C4360" s="3" t="s">
        <v>64</v>
      </c>
      <c r="D4360" s="16" t="s">
        <v>64</v>
      </c>
      <c r="E4360" s="16">
        <v>0</v>
      </c>
      <c r="F4360" s="16" t="s">
        <v>64</v>
      </c>
      <c r="G4360" s="16" t="s">
        <v>64</v>
      </c>
    </row>
    <row r="4361" spans="1:7" x14ac:dyDescent="0.2">
      <c r="A4361" t="s">
        <v>64</v>
      </c>
      <c r="B4361" t="s">
        <v>64</v>
      </c>
      <c r="C4361" s="3" t="s">
        <v>64</v>
      </c>
      <c r="D4361" s="16" t="s">
        <v>64</v>
      </c>
      <c r="E4361" s="16">
        <v>0</v>
      </c>
      <c r="F4361" s="16" t="s">
        <v>64</v>
      </c>
      <c r="G4361" s="16" t="s">
        <v>64</v>
      </c>
    </row>
    <row r="4362" spans="1:7" x14ac:dyDescent="0.2">
      <c r="A4362" t="s">
        <v>64</v>
      </c>
      <c r="B4362" t="s">
        <v>64</v>
      </c>
      <c r="C4362" s="3" t="s">
        <v>64</v>
      </c>
      <c r="D4362" s="16" t="s">
        <v>64</v>
      </c>
      <c r="E4362" s="16">
        <v>0</v>
      </c>
      <c r="F4362" s="16" t="s">
        <v>64</v>
      </c>
      <c r="G4362" s="16" t="s">
        <v>64</v>
      </c>
    </row>
    <row r="4363" spans="1:7" x14ac:dyDescent="0.2">
      <c r="A4363" t="s">
        <v>64</v>
      </c>
      <c r="B4363" t="s">
        <v>64</v>
      </c>
      <c r="C4363" s="3" t="s">
        <v>64</v>
      </c>
      <c r="D4363" s="16" t="s">
        <v>64</v>
      </c>
      <c r="E4363" s="16">
        <v>0</v>
      </c>
      <c r="F4363" s="16" t="s">
        <v>64</v>
      </c>
      <c r="G4363" s="16" t="s">
        <v>64</v>
      </c>
    </row>
    <row r="4364" spans="1:7" x14ac:dyDescent="0.2">
      <c r="A4364" t="s">
        <v>64</v>
      </c>
      <c r="B4364" t="s">
        <v>64</v>
      </c>
      <c r="C4364" s="3" t="s">
        <v>64</v>
      </c>
      <c r="D4364" s="16" t="s">
        <v>64</v>
      </c>
      <c r="E4364" s="16">
        <v>0</v>
      </c>
      <c r="F4364" s="16" t="s">
        <v>64</v>
      </c>
      <c r="G4364" s="16" t="s">
        <v>64</v>
      </c>
    </row>
    <row r="4365" spans="1:7" x14ac:dyDescent="0.2">
      <c r="A4365" t="s">
        <v>64</v>
      </c>
      <c r="B4365" t="s">
        <v>64</v>
      </c>
      <c r="C4365" s="3" t="s">
        <v>64</v>
      </c>
      <c r="D4365" s="16" t="s">
        <v>64</v>
      </c>
      <c r="E4365" s="16">
        <v>0</v>
      </c>
      <c r="F4365" s="16" t="s">
        <v>64</v>
      </c>
      <c r="G4365" s="16" t="s">
        <v>64</v>
      </c>
    </row>
    <row r="4366" spans="1:7" x14ac:dyDescent="0.2">
      <c r="A4366" t="s">
        <v>64</v>
      </c>
      <c r="B4366" t="s">
        <v>64</v>
      </c>
      <c r="C4366" s="3" t="s">
        <v>64</v>
      </c>
      <c r="D4366" s="16" t="s">
        <v>64</v>
      </c>
      <c r="E4366" s="16">
        <v>0</v>
      </c>
      <c r="F4366" s="16" t="s">
        <v>64</v>
      </c>
      <c r="G4366" s="16" t="s">
        <v>64</v>
      </c>
    </row>
    <row r="4367" spans="1:7" x14ac:dyDescent="0.2">
      <c r="A4367" t="s">
        <v>64</v>
      </c>
      <c r="B4367" t="s">
        <v>64</v>
      </c>
      <c r="C4367" s="3" t="s">
        <v>64</v>
      </c>
      <c r="D4367" s="16" t="s">
        <v>64</v>
      </c>
      <c r="E4367" s="16">
        <v>0</v>
      </c>
      <c r="F4367" s="16" t="s">
        <v>64</v>
      </c>
      <c r="G4367" s="16" t="s">
        <v>64</v>
      </c>
    </row>
    <row r="4368" spans="1:7" x14ac:dyDescent="0.2">
      <c r="A4368" t="s">
        <v>64</v>
      </c>
      <c r="B4368" t="s">
        <v>64</v>
      </c>
      <c r="C4368" s="3" t="s">
        <v>64</v>
      </c>
      <c r="D4368" s="16" t="s">
        <v>64</v>
      </c>
      <c r="E4368" s="16">
        <v>0</v>
      </c>
      <c r="F4368" s="16" t="s">
        <v>64</v>
      </c>
      <c r="G4368" s="16" t="s">
        <v>64</v>
      </c>
    </row>
    <row r="4369" spans="1:7" x14ac:dyDescent="0.2">
      <c r="A4369" t="s">
        <v>64</v>
      </c>
      <c r="B4369" t="s">
        <v>64</v>
      </c>
      <c r="C4369" s="3" t="s">
        <v>64</v>
      </c>
      <c r="D4369" s="16" t="s">
        <v>64</v>
      </c>
      <c r="E4369" s="16">
        <v>0</v>
      </c>
      <c r="F4369" s="16" t="s">
        <v>64</v>
      </c>
      <c r="G4369" s="16" t="s">
        <v>64</v>
      </c>
    </row>
    <row r="4370" spans="1:7" x14ac:dyDescent="0.2">
      <c r="A4370" t="s">
        <v>64</v>
      </c>
      <c r="B4370" t="s">
        <v>64</v>
      </c>
      <c r="C4370" s="3" t="s">
        <v>64</v>
      </c>
      <c r="D4370" s="16" t="s">
        <v>64</v>
      </c>
      <c r="E4370" s="16">
        <v>0</v>
      </c>
      <c r="F4370" s="16" t="s">
        <v>64</v>
      </c>
      <c r="G4370" s="16" t="s">
        <v>64</v>
      </c>
    </row>
    <row r="4371" spans="1:7" x14ac:dyDescent="0.2">
      <c r="A4371" t="s">
        <v>64</v>
      </c>
      <c r="B4371" t="s">
        <v>64</v>
      </c>
      <c r="C4371" s="3" t="s">
        <v>64</v>
      </c>
      <c r="D4371" s="16" t="s">
        <v>64</v>
      </c>
      <c r="E4371" s="16">
        <v>0</v>
      </c>
      <c r="F4371" s="16" t="s">
        <v>64</v>
      </c>
      <c r="G4371" s="16" t="s">
        <v>64</v>
      </c>
    </row>
    <row r="4372" spans="1:7" x14ac:dyDescent="0.2">
      <c r="A4372" t="s">
        <v>64</v>
      </c>
      <c r="B4372" t="s">
        <v>64</v>
      </c>
      <c r="C4372" s="3" t="s">
        <v>64</v>
      </c>
      <c r="D4372" s="16" t="s">
        <v>64</v>
      </c>
      <c r="E4372" s="16">
        <v>0</v>
      </c>
      <c r="F4372" s="16" t="s">
        <v>64</v>
      </c>
      <c r="G4372" s="16" t="s">
        <v>64</v>
      </c>
    </row>
    <row r="4373" spans="1:7" x14ac:dyDescent="0.2">
      <c r="A4373" t="s">
        <v>64</v>
      </c>
      <c r="B4373" t="s">
        <v>64</v>
      </c>
      <c r="C4373" s="3" t="s">
        <v>64</v>
      </c>
      <c r="D4373" s="16" t="s">
        <v>64</v>
      </c>
      <c r="E4373" s="16">
        <v>0</v>
      </c>
      <c r="F4373" s="16" t="s">
        <v>64</v>
      </c>
      <c r="G4373" s="16" t="s">
        <v>64</v>
      </c>
    </row>
    <row r="4374" spans="1:7" x14ac:dyDescent="0.2">
      <c r="A4374" t="s">
        <v>64</v>
      </c>
      <c r="B4374" t="s">
        <v>64</v>
      </c>
      <c r="C4374" s="3" t="s">
        <v>64</v>
      </c>
      <c r="D4374" s="16" t="s">
        <v>64</v>
      </c>
      <c r="E4374" s="16">
        <v>0</v>
      </c>
      <c r="F4374" s="16" t="s">
        <v>64</v>
      </c>
      <c r="G4374" s="16" t="s">
        <v>64</v>
      </c>
    </row>
    <row r="4375" spans="1:7" x14ac:dyDescent="0.2">
      <c r="A4375" t="s">
        <v>64</v>
      </c>
      <c r="B4375" t="s">
        <v>64</v>
      </c>
      <c r="C4375" s="3" t="s">
        <v>64</v>
      </c>
      <c r="D4375" s="16" t="s">
        <v>64</v>
      </c>
      <c r="E4375" s="16">
        <v>0</v>
      </c>
      <c r="F4375" s="16" t="s">
        <v>64</v>
      </c>
      <c r="G4375" s="16" t="s">
        <v>64</v>
      </c>
    </row>
    <row r="4376" spans="1:7" x14ac:dyDescent="0.2">
      <c r="A4376" t="s">
        <v>64</v>
      </c>
      <c r="B4376" t="s">
        <v>64</v>
      </c>
      <c r="C4376" s="3" t="s">
        <v>64</v>
      </c>
      <c r="D4376" s="16" t="s">
        <v>64</v>
      </c>
      <c r="E4376" s="16">
        <v>0</v>
      </c>
      <c r="F4376" s="16" t="s">
        <v>64</v>
      </c>
      <c r="G4376" s="16" t="s">
        <v>64</v>
      </c>
    </row>
    <row r="4377" spans="1:7" x14ac:dyDescent="0.2">
      <c r="A4377" t="s">
        <v>64</v>
      </c>
      <c r="B4377" t="s">
        <v>64</v>
      </c>
      <c r="C4377" s="3" t="s">
        <v>64</v>
      </c>
      <c r="D4377" s="16" t="s">
        <v>64</v>
      </c>
      <c r="E4377" s="16">
        <v>0</v>
      </c>
      <c r="F4377" s="16" t="s">
        <v>64</v>
      </c>
      <c r="G4377" s="16" t="s">
        <v>64</v>
      </c>
    </row>
    <row r="4378" spans="1:7" x14ac:dyDescent="0.2">
      <c r="A4378" t="s">
        <v>64</v>
      </c>
      <c r="B4378" t="s">
        <v>64</v>
      </c>
      <c r="C4378" s="3" t="s">
        <v>64</v>
      </c>
      <c r="D4378" s="16" t="s">
        <v>64</v>
      </c>
      <c r="E4378" s="16">
        <v>0</v>
      </c>
      <c r="F4378" s="16" t="s">
        <v>64</v>
      </c>
      <c r="G4378" s="16" t="s">
        <v>64</v>
      </c>
    </row>
    <row r="4379" spans="1:7" x14ac:dyDescent="0.2">
      <c r="A4379" t="s">
        <v>64</v>
      </c>
      <c r="B4379" t="s">
        <v>64</v>
      </c>
      <c r="C4379" s="3" t="s">
        <v>64</v>
      </c>
      <c r="D4379" s="16" t="s">
        <v>64</v>
      </c>
      <c r="E4379" s="16">
        <v>0</v>
      </c>
      <c r="F4379" s="16" t="s">
        <v>64</v>
      </c>
      <c r="G4379" s="16" t="s">
        <v>64</v>
      </c>
    </row>
    <row r="4380" spans="1:7" x14ac:dyDescent="0.2">
      <c r="A4380" t="s">
        <v>64</v>
      </c>
      <c r="B4380" t="s">
        <v>64</v>
      </c>
      <c r="C4380" s="3" t="s">
        <v>64</v>
      </c>
      <c r="D4380" s="16" t="s">
        <v>64</v>
      </c>
      <c r="E4380" s="16">
        <v>0</v>
      </c>
      <c r="F4380" s="16" t="s">
        <v>64</v>
      </c>
      <c r="G4380" s="16" t="s">
        <v>64</v>
      </c>
    </row>
    <row r="4381" spans="1:7" x14ac:dyDescent="0.2">
      <c r="A4381" t="s">
        <v>64</v>
      </c>
      <c r="B4381" t="s">
        <v>64</v>
      </c>
      <c r="C4381" s="3" t="s">
        <v>64</v>
      </c>
      <c r="D4381" s="16" t="s">
        <v>64</v>
      </c>
      <c r="E4381" s="16">
        <v>0</v>
      </c>
      <c r="F4381" s="16" t="s">
        <v>64</v>
      </c>
      <c r="G4381" s="16" t="s">
        <v>64</v>
      </c>
    </row>
    <row r="4382" spans="1:7" x14ac:dyDescent="0.2">
      <c r="A4382" t="s">
        <v>64</v>
      </c>
      <c r="B4382" t="s">
        <v>64</v>
      </c>
      <c r="C4382" s="3" t="s">
        <v>64</v>
      </c>
      <c r="D4382" s="16" t="s">
        <v>64</v>
      </c>
      <c r="E4382" s="16">
        <v>0</v>
      </c>
      <c r="F4382" s="16" t="s">
        <v>64</v>
      </c>
      <c r="G4382" s="16" t="s">
        <v>64</v>
      </c>
    </row>
    <row r="4383" spans="1:7" x14ac:dyDescent="0.2">
      <c r="A4383" t="s">
        <v>64</v>
      </c>
      <c r="B4383" t="s">
        <v>64</v>
      </c>
      <c r="C4383" s="3" t="s">
        <v>64</v>
      </c>
      <c r="D4383" s="16" t="s">
        <v>64</v>
      </c>
      <c r="E4383" s="16">
        <v>0</v>
      </c>
      <c r="F4383" s="16" t="s">
        <v>64</v>
      </c>
      <c r="G4383" s="16" t="s">
        <v>64</v>
      </c>
    </row>
    <row r="4384" spans="1:7" x14ac:dyDescent="0.2">
      <c r="A4384" t="s">
        <v>64</v>
      </c>
      <c r="B4384" t="s">
        <v>64</v>
      </c>
      <c r="C4384" s="3" t="s">
        <v>64</v>
      </c>
      <c r="D4384" s="16" t="s">
        <v>64</v>
      </c>
      <c r="E4384" s="16">
        <v>0</v>
      </c>
      <c r="F4384" s="16" t="s">
        <v>64</v>
      </c>
      <c r="G4384" s="16" t="s">
        <v>64</v>
      </c>
    </row>
    <row r="4385" spans="1:7" x14ac:dyDescent="0.2">
      <c r="A4385" t="s">
        <v>64</v>
      </c>
      <c r="B4385" t="s">
        <v>64</v>
      </c>
      <c r="C4385" s="3" t="s">
        <v>64</v>
      </c>
      <c r="D4385" s="16" t="s">
        <v>64</v>
      </c>
      <c r="E4385" s="16">
        <v>0</v>
      </c>
      <c r="F4385" s="16" t="s">
        <v>64</v>
      </c>
      <c r="G4385" s="16" t="s">
        <v>64</v>
      </c>
    </row>
    <row r="4386" spans="1:7" x14ac:dyDescent="0.2">
      <c r="A4386" t="s">
        <v>64</v>
      </c>
      <c r="B4386" t="s">
        <v>64</v>
      </c>
      <c r="C4386" s="3" t="s">
        <v>64</v>
      </c>
      <c r="D4386" s="16" t="s">
        <v>64</v>
      </c>
      <c r="E4386" s="16">
        <v>0</v>
      </c>
      <c r="F4386" s="16" t="s">
        <v>64</v>
      </c>
      <c r="G4386" s="16" t="s">
        <v>64</v>
      </c>
    </row>
    <row r="4387" spans="1:7" x14ac:dyDescent="0.2">
      <c r="A4387" t="s">
        <v>64</v>
      </c>
      <c r="B4387" t="s">
        <v>64</v>
      </c>
      <c r="C4387" s="3" t="s">
        <v>64</v>
      </c>
      <c r="D4387" s="16" t="s">
        <v>64</v>
      </c>
      <c r="E4387" s="16">
        <v>0</v>
      </c>
      <c r="F4387" s="16" t="s">
        <v>64</v>
      </c>
      <c r="G4387" s="16" t="s">
        <v>64</v>
      </c>
    </row>
    <row r="4388" spans="1:7" x14ac:dyDescent="0.2">
      <c r="A4388" t="s">
        <v>64</v>
      </c>
      <c r="B4388" t="s">
        <v>64</v>
      </c>
      <c r="C4388" s="3" t="s">
        <v>64</v>
      </c>
      <c r="D4388" s="16" t="s">
        <v>64</v>
      </c>
      <c r="E4388" s="16">
        <v>0</v>
      </c>
      <c r="F4388" s="16" t="s">
        <v>64</v>
      </c>
      <c r="G4388" s="16" t="s">
        <v>64</v>
      </c>
    </row>
    <row r="4389" spans="1:7" x14ac:dyDescent="0.2">
      <c r="A4389" t="s">
        <v>64</v>
      </c>
      <c r="B4389" t="s">
        <v>64</v>
      </c>
      <c r="C4389" s="3" t="s">
        <v>64</v>
      </c>
      <c r="D4389" s="16" t="s">
        <v>64</v>
      </c>
      <c r="E4389" s="16">
        <v>0</v>
      </c>
      <c r="F4389" s="16" t="s">
        <v>64</v>
      </c>
      <c r="G4389" s="16" t="s">
        <v>64</v>
      </c>
    </row>
    <row r="4390" spans="1:7" x14ac:dyDescent="0.2">
      <c r="A4390" t="s">
        <v>64</v>
      </c>
      <c r="B4390" t="s">
        <v>64</v>
      </c>
      <c r="C4390" s="3" t="s">
        <v>64</v>
      </c>
      <c r="D4390" s="16" t="s">
        <v>64</v>
      </c>
      <c r="E4390" s="16">
        <v>0</v>
      </c>
      <c r="F4390" s="16" t="s">
        <v>64</v>
      </c>
      <c r="G4390" s="16" t="s">
        <v>64</v>
      </c>
    </row>
    <row r="4391" spans="1:7" x14ac:dyDescent="0.2">
      <c r="A4391" t="s">
        <v>64</v>
      </c>
      <c r="B4391" t="s">
        <v>64</v>
      </c>
      <c r="C4391" s="3" t="s">
        <v>64</v>
      </c>
      <c r="D4391" s="16" t="s">
        <v>64</v>
      </c>
      <c r="E4391" s="16">
        <v>0</v>
      </c>
      <c r="F4391" s="16" t="s">
        <v>64</v>
      </c>
      <c r="G4391" s="16" t="s">
        <v>64</v>
      </c>
    </row>
    <row r="4392" spans="1:7" x14ac:dyDescent="0.2">
      <c r="A4392" t="s">
        <v>64</v>
      </c>
      <c r="B4392" t="s">
        <v>64</v>
      </c>
      <c r="C4392" s="3" t="s">
        <v>64</v>
      </c>
      <c r="D4392" s="16" t="s">
        <v>64</v>
      </c>
      <c r="E4392" s="16">
        <v>0</v>
      </c>
      <c r="F4392" s="16" t="s">
        <v>64</v>
      </c>
      <c r="G4392" s="16" t="s">
        <v>64</v>
      </c>
    </row>
    <row r="4393" spans="1:7" x14ac:dyDescent="0.2">
      <c r="A4393" t="s">
        <v>64</v>
      </c>
      <c r="B4393" t="s">
        <v>64</v>
      </c>
      <c r="C4393" s="3" t="s">
        <v>64</v>
      </c>
      <c r="D4393" s="16" t="s">
        <v>64</v>
      </c>
      <c r="E4393" s="16">
        <v>0</v>
      </c>
      <c r="F4393" s="16" t="s">
        <v>64</v>
      </c>
      <c r="G4393" s="16" t="s">
        <v>64</v>
      </c>
    </row>
    <row r="4394" spans="1:7" x14ac:dyDescent="0.2">
      <c r="A4394" t="s">
        <v>64</v>
      </c>
      <c r="B4394" t="s">
        <v>64</v>
      </c>
      <c r="C4394" s="3" t="s">
        <v>64</v>
      </c>
      <c r="D4394" s="16" t="s">
        <v>64</v>
      </c>
      <c r="E4394" s="16">
        <v>0</v>
      </c>
      <c r="F4394" s="16" t="s">
        <v>64</v>
      </c>
      <c r="G4394" s="16" t="s">
        <v>64</v>
      </c>
    </row>
    <row r="4395" spans="1:7" x14ac:dyDescent="0.2">
      <c r="A4395" t="s">
        <v>64</v>
      </c>
      <c r="B4395" t="s">
        <v>64</v>
      </c>
      <c r="C4395" s="3" t="s">
        <v>64</v>
      </c>
      <c r="D4395" s="16" t="s">
        <v>64</v>
      </c>
      <c r="E4395" s="16">
        <v>0</v>
      </c>
      <c r="F4395" s="16" t="s">
        <v>64</v>
      </c>
      <c r="G4395" s="16" t="s">
        <v>64</v>
      </c>
    </row>
    <row r="4396" spans="1:7" x14ac:dyDescent="0.2">
      <c r="A4396" t="s">
        <v>64</v>
      </c>
      <c r="B4396" t="s">
        <v>64</v>
      </c>
      <c r="C4396" s="3" t="s">
        <v>64</v>
      </c>
      <c r="D4396" s="16" t="s">
        <v>64</v>
      </c>
      <c r="E4396" s="16">
        <v>0</v>
      </c>
      <c r="F4396" s="16" t="s">
        <v>64</v>
      </c>
      <c r="G4396" s="16" t="s">
        <v>64</v>
      </c>
    </row>
    <row r="4397" spans="1:7" x14ac:dyDescent="0.2">
      <c r="A4397" t="s">
        <v>64</v>
      </c>
      <c r="B4397" t="s">
        <v>64</v>
      </c>
      <c r="C4397" s="3" t="s">
        <v>64</v>
      </c>
      <c r="D4397" s="16" t="s">
        <v>64</v>
      </c>
      <c r="E4397" s="16">
        <v>0</v>
      </c>
      <c r="F4397" s="16" t="s">
        <v>64</v>
      </c>
      <c r="G4397" s="16" t="s">
        <v>64</v>
      </c>
    </row>
    <row r="4398" spans="1:7" x14ac:dyDescent="0.2">
      <c r="A4398" t="s">
        <v>64</v>
      </c>
      <c r="B4398" t="s">
        <v>64</v>
      </c>
      <c r="C4398" s="3" t="s">
        <v>64</v>
      </c>
      <c r="D4398" s="16" t="s">
        <v>64</v>
      </c>
      <c r="E4398" s="16">
        <v>0</v>
      </c>
      <c r="F4398" s="16" t="s">
        <v>64</v>
      </c>
      <c r="G4398" s="16" t="s">
        <v>64</v>
      </c>
    </row>
    <row r="4399" spans="1:7" x14ac:dyDescent="0.2">
      <c r="A4399" t="s">
        <v>64</v>
      </c>
      <c r="B4399" t="s">
        <v>64</v>
      </c>
      <c r="C4399" s="3" t="s">
        <v>64</v>
      </c>
      <c r="D4399" s="16" t="s">
        <v>64</v>
      </c>
      <c r="E4399" s="16">
        <v>0</v>
      </c>
      <c r="F4399" s="16" t="s">
        <v>64</v>
      </c>
      <c r="G4399" s="16" t="s">
        <v>64</v>
      </c>
    </row>
    <row r="4400" spans="1:7" x14ac:dyDescent="0.2">
      <c r="A4400" t="s">
        <v>64</v>
      </c>
      <c r="B4400" t="s">
        <v>64</v>
      </c>
      <c r="C4400" s="3" t="s">
        <v>64</v>
      </c>
      <c r="D4400" s="16" t="s">
        <v>64</v>
      </c>
      <c r="E4400" s="16">
        <v>0</v>
      </c>
      <c r="F4400" s="16" t="s">
        <v>64</v>
      </c>
      <c r="G4400" s="16" t="s">
        <v>64</v>
      </c>
    </row>
    <row r="4401" spans="1:7" x14ac:dyDescent="0.2">
      <c r="A4401" t="s">
        <v>64</v>
      </c>
      <c r="B4401" t="s">
        <v>64</v>
      </c>
      <c r="C4401" s="3" t="s">
        <v>64</v>
      </c>
      <c r="D4401" s="16" t="s">
        <v>64</v>
      </c>
      <c r="E4401" s="16">
        <v>0</v>
      </c>
      <c r="F4401" s="16" t="s">
        <v>64</v>
      </c>
      <c r="G4401" s="16" t="s">
        <v>64</v>
      </c>
    </row>
    <row r="4402" spans="1:7" x14ac:dyDescent="0.2">
      <c r="A4402" t="s">
        <v>64</v>
      </c>
      <c r="B4402" t="s">
        <v>64</v>
      </c>
      <c r="C4402" s="3" t="s">
        <v>64</v>
      </c>
      <c r="D4402" s="16" t="s">
        <v>64</v>
      </c>
      <c r="E4402" s="16">
        <v>0</v>
      </c>
      <c r="F4402" s="16" t="s">
        <v>64</v>
      </c>
      <c r="G4402" s="16" t="s">
        <v>64</v>
      </c>
    </row>
    <row r="4403" spans="1:7" x14ac:dyDescent="0.2">
      <c r="A4403" t="s">
        <v>64</v>
      </c>
      <c r="B4403" t="s">
        <v>64</v>
      </c>
      <c r="C4403" s="3" t="s">
        <v>64</v>
      </c>
      <c r="D4403" s="16" t="s">
        <v>64</v>
      </c>
      <c r="E4403" s="16">
        <v>0</v>
      </c>
      <c r="F4403" s="16" t="s">
        <v>64</v>
      </c>
      <c r="G4403" s="16" t="s">
        <v>64</v>
      </c>
    </row>
    <row r="4404" spans="1:7" x14ac:dyDescent="0.2">
      <c r="A4404" t="s">
        <v>64</v>
      </c>
      <c r="B4404" t="s">
        <v>64</v>
      </c>
      <c r="C4404" s="3" t="s">
        <v>64</v>
      </c>
      <c r="D4404" s="16" t="s">
        <v>64</v>
      </c>
      <c r="E4404" s="16">
        <v>0</v>
      </c>
      <c r="F4404" s="16" t="s">
        <v>64</v>
      </c>
      <c r="G4404" s="16" t="s">
        <v>64</v>
      </c>
    </row>
    <row r="4405" spans="1:7" x14ac:dyDescent="0.2">
      <c r="A4405" t="s">
        <v>64</v>
      </c>
      <c r="B4405" t="s">
        <v>64</v>
      </c>
      <c r="C4405" s="3" t="s">
        <v>64</v>
      </c>
      <c r="D4405" s="16" t="s">
        <v>64</v>
      </c>
      <c r="E4405" s="16">
        <v>0</v>
      </c>
      <c r="F4405" s="16" t="s">
        <v>64</v>
      </c>
      <c r="G4405" s="16" t="s">
        <v>64</v>
      </c>
    </row>
    <row r="4406" spans="1:7" x14ac:dyDescent="0.2">
      <c r="A4406" t="s">
        <v>64</v>
      </c>
      <c r="B4406" t="s">
        <v>64</v>
      </c>
      <c r="C4406" s="3" t="s">
        <v>64</v>
      </c>
      <c r="D4406" s="16" t="s">
        <v>64</v>
      </c>
      <c r="E4406" s="16">
        <v>0</v>
      </c>
      <c r="F4406" s="16" t="s">
        <v>64</v>
      </c>
      <c r="G4406" s="16" t="s">
        <v>64</v>
      </c>
    </row>
    <row r="4407" spans="1:7" x14ac:dyDescent="0.2">
      <c r="A4407" t="s">
        <v>64</v>
      </c>
      <c r="B4407" t="s">
        <v>64</v>
      </c>
      <c r="C4407" s="3" t="s">
        <v>64</v>
      </c>
      <c r="D4407" s="16" t="s">
        <v>64</v>
      </c>
      <c r="E4407" s="16">
        <v>0</v>
      </c>
      <c r="F4407" s="16" t="s">
        <v>64</v>
      </c>
      <c r="G4407" s="16" t="s">
        <v>64</v>
      </c>
    </row>
    <row r="4408" spans="1:7" x14ac:dyDescent="0.2">
      <c r="A4408" t="s">
        <v>64</v>
      </c>
      <c r="B4408" t="s">
        <v>64</v>
      </c>
      <c r="C4408" s="3" t="s">
        <v>64</v>
      </c>
      <c r="D4408" s="16" t="s">
        <v>64</v>
      </c>
      <c r="E4408" s="16">
        <v>0</v>
      </c>
      <c r="F4408" s="16" t="s">
        <v>64</v>
      </c>
      <c r="G4408" s="16" t="s">
        <v>64</v>
      </c>
    </row>
    <row r="4409" spans="1:7" x14ac:dyDescent="0.2">
      <c r="A4409" t="s">
        <v>64</v>
      </c>
      <c r="B4409" t="s">
        <v>64</v>
      </c>
      <c r="C4409" s="3" t="s">
        <v>64</v>
      </c>
      <c r="D4409" s="16" t="s">
        <v>64</v>
      </c>
      <c r="E4409" s="16">
        <v>0</v>
      </c>
      <c r="F4409" s="16" t="s">
        <v>64</v>
      </c>
      <c r="G4409" s="16" t="s">
        <v>64</v>
      </c>
    </row>
    <row r="4410" spans="1:7" x14ac:dyDescent="0.2">
      <c r="A4410" t="s">
        <v>64</v>
      </c>
      <c r="B4410" t="s">
        <v>64</v>
      </c>
      <c r="C4410" s="3" t="s">
        <v>64</v>
      </c>
      <c r="D4410" s="16" t="s">
        <v>64</v>
      </c>
      <c r="E4410" s="16">
        <v>0</v>
      </c>
      <c r="F4410" s="16" t="s">
        <v>64</v>
      </c>
      <c r="G4410" s="16" t="s">
        <v>64</v>
      </c>
    </row>
    <row r="4411" spans="1:7" x14ac:dyDescent="0.2">
      <c r="A4411" t="s">
        <v>64</v>
      </c>
      <c r="B4411" t="s">
        <v>64</v>
      </c>
      <c r="C4411" s="3" t="s">
        <v>64</v>
      </c>
      <c r="D4411" s="16" t="s">
        <v>64</v>
      </c>
      <c r="E4411" s="16">
        <v>0</v>
      </c>
      <c r="F4411" s="16" t="s">
        <v>64</v>
      </c>
      <c r="G4411" s="16" t="s">
        <v>64</v>
      </c>
    </row>
    <row r="4412" spans="1:7" x14ac:dyDescent="0.2">
      <c r="A4412" t="s">
        <v>64</v>
      </c>
      <c r="B4412" t="s">
        <v>64</v>
      </c>
      <c r="C4412" s="3" t="s">
        <v>64</v>
      </c>
      <c r="D4412" s="16" t="s">
        <v>64</v>
      </c>
      <c r="E4412" s="16">
        <v>0</v>
      </c>
      <c r="F4412" s="16" t="s">
        <v>64</v>
      </c>
      <c r="G4412" s="16" t="s">
        <v>64</v>
      </c>
    </row>
    <row r="4413" spans="1:7" x14ac:dyDescent="0.2">
      <c r="A4413" t="s">
        <v>64</v>
      </c>
      <c r="B4413" t="s">
        <v>64</v>
      </c>
      <c r="C4413" s="3" t="s">
        <v>64</v>
      </c>
      <c r="D4413" s="16" t="s">
        <v>64</v>
      </c>
      <c r="E4413" s="16">
        <v>0</v>
      </c>
      <c r="F4413" s="16" t="s">
        <v>64</v>
      </c>
      <c r="G4413" s="16" t="s">
        <v>64</v>
      </c>
    </row>
    <row r="4414" spans="1:7" x14ac:dyDescent="0.2">
      <c r="A4414" t="s">
        <v>64</v>
      </c>
      <c r="B4414" t="s">
        <v>64</v>
      </c>
      <c r="C4414" s="3" t="s">
        <v>64</v>
      </c>
      <c r="D4414" s="16" t="s">
        <v>64</v>
      </c>
      <c r="E4414" s="16">
        <v>0</v>
      </c>
      <c r="F4414" s="16" t="s">
        <v>64</v>
      </c>
      <c r="G4414" s="16" t="s">
        <v>64</v>
      </c>
    </row>
    <row r="4415" spans="1:7" x14ac:dyDescent="0.2">
      <c r="A4415" t="s">
        <v>64</v>
      </c>
      <c r="B4415" t="s">
        <v>64</v>
      </c>
      <c r="C4415" s="3" t="s">
        <v>64</v>
      </c>
      <c r="D4415" s="16" t="s">
        <v>64</v>
      </c>
      <c r="E4415" s="16">
        <v>0</v>
      </c>
      <c r="F4415" s="16" t="s">
        <v>64</v>
      </c>
      <c r="G4415" s="16" t="s">
        <v>64</v>
      </c>
    </row>
    <row r="4416" spans="1:7" x14ac:dyDescent="0.2">
      <c r="A4416" t="s">
        <v>64</v>
      </c>
      <c r="B4416" t="s">
        <v>64</v>
      </c>
      <c r="C4416" s="3" t="s">
        <v>64</v>
      </c>
      <c r="D4416" s="16" t="s">
        <v>64</v>
      </c>
      <c r="E4416" s="16">
        <v>0</v>
      </c>
      <c r="F4416" s="16" t="s">
        <v>64</v>
      </c>
      <c r="G4416" s="16" t="s">
        <v>64</v>
      </c>
    </row>
    <row r="4417" spans="1:7" x14ac:dyDescent="0.2">
      <c r="A4417" t="s">
        <v>64</v>
      </c>
      <c r="B4417" t="s">
        <v>64</v>
      </c>
      <c r="C4417" s="3" t="s">
        <v>64</v>
      </c>
      <c r="D4417" s="16" t="s">
        <v>64</v>
      </c>
      <c r="E4417" s="16">
        <v>0</v>
      </c>
      <c r="F4417" s="16" t="s">
        <v>64</v>
      </c>
      <c r="G4417" s="16" t="s">
        <v>64</v>
      </c>
    </row>
    <row r="4418" spans="1:7" x14ac:dyDescent="0.2">
      <c r="A4418" t="s">
        <v>64</v>
      </c>
      <c r="B4418" t="s">
        <v>64</v>
      </c>
      <c r="C4418" s="3" t="s">
        <v>64</v>
      </c>
      <c r="D4418" s="16" t="s">
        <v>64</v>
      </c>
      <c r="E4418" s="16">
        <v>0</v>
      </c>
      <c r="F4418" s="16" t="s">
        <v>64</v>
      </c>
      <c r="G4418" s="16" t="s">
        <v>64</v>
      </c>
    </row>
    <row r="4419" spans="1:7" x14ac:dyDescent="0.2">
      <c r="A4419" t="s">
        <v>64</v>
      </c>
      <c r="B4419" t="s">
        <v>64</v>
      </c>
      <c r="C4419" s="3" t="s">
        <v>64</v>
      </c>
      <c r="D4419" s="16" t="s">
        <v>64</v>
      </c>
      <c r="E4419" s="16">
        <v>0</v>
      </c>
      <c r="F4419" s="16" t="s">
        <v>64</v>
      </c>
      <c r="G4419" s="16" t="s">
        <v>64</v>
      </c>
    </row>
    <row r="4420" spans="1:7" x14ac:dyDescent="0.2">
      <c r="A4420" t="s">
        <v>64</v>
      </c>
      <c r="B4420" t="s">
        <v>64</v>
      </c>
      <c r="C4420" s="3" t="s">
        <v>64</v>
      </c>
      <c r="D4420" s="16" t="s">
        <v>64</v>
      </c>
      <c r="E4420" s="16">
        <v>0</v>
      </c>
      <c r="F4420" s="16" t="s">
        <v>64</v>
      </c>
      <c r="G4420" s="16" t="s">
        <v>64</v>
      </c>
    </row>
    <row r="4421" spans="1:7" x14ac:dyDescent="0.2">
      <c r="A4421" t="s">
        <v>64</v>
      </c>
      <c r="B4421" t="s">
        <v>64</v>
      </c>
      <c r="C4421" s="3" t="s">
        <v>64</v>
      </c>
      <c r="D4421" s="16" t="s">
        <v>64</v>
      </c>
      <c r="E4421" s="16">
        <v>0</v>
      </c>
      <c r="F4421" s="16" t="s">
        <v>64</v>
      </c>
      <c r="G4421" s="16" t="s">
        <v>64</v>
      </c>
    </row>
    <row r="4422" spans="1:7" x14ac:dyDescent="0.2">
      <c r="A4422" t="s">
        <v>64</v>
      </c>
      <c r="B4422" t="s">
        <v>64</v>
      </c>
      <c r="C4422" s="3" t="s">
        <v>64</v>
      </c>
      <c r="D4422" s="16" t="s">
        <v>64</v>
      </c>
      <c r="E4422" s="16">
        <v>0</v>
      </c>
      <c r="F4422" s="16" t="s">
        <v>64</v>
      </c>
      <c r="G4422" s="16" t="s">
        <v>64</v>
      </c>
    </row>
    <row r="4423" spans="1:7" x14ac:dyDescent="0.2">
      <c r="A4423" t="s">
        <v>64</v>
      </c>
      <c r="B4423" t="s">
        <v>64</v>
      </c>
      <c r="C4423" s="3" t="s">
        <v>64</v>
      </c>
      <c r="D4423" s="16" t="s">
        <v>64</v>
      </c>
      <c r="E4423" s="16">
        <v>0</v>
      </c>
      <c r="F4423" s="16" t="s">
        <v>64</v>
      </c>
      <c r="G4423" s="16" t="s">
        <v>64</v>
      </c>
    </row>
    <row r="4424" spans="1:7" x14ac:dyDescent="0.2">
      <c r="A4424" t="s">
        <v>64</v>
      </c>
      <c r="B4424" t="s">
        <v>64</v>
      </c>
      <c r="C4424" s="3" t="s">
        <v>64</v>
      </c>
      <c r="D4424" s="16" t="s">
        <v>64</v>
      </c>
      <c r="E4424" s="16">
        <v>0</v>
      </c>
      <c r="F4424" s="16" t="s">
        <v>64</v>
      </c>
      <c r="G4424" s="16" t="s">
        <v>64</v>
      </c>
    </row>
    <row r="4425" spans="1:7" x14ac:dyDescent="0.2">
      <c r="A4425" t="s">
        <v>64</v>
      </c>
      <c r="B4425" t="s">
        <v>64</v>
      </c>
      <c r="C4425" s="3" t="s">
        <v>64</v>
      </c>
      <c r="D4425" s="16" t="s">
        <v>64</v>
      </c>
      <c r="E4425" s="16">
        <v>0</v>
      </c>
      <c r="F4425" s="16" t="s">
        <v>64</v>
      </c>
      <c r="G4425" s="16" t="s">
        <v>64</v>
      </c>
    </row>
    <row r="4426" spans="1:7" x14ac:dyDescent="0.2">
      <c r="A4426" t="s">
        <v>64</v>
      </c>
      <c r="B4426" t="s">
        <v>64</v>
      </c>
      <c r="C4426" s="3" t="s">
        <v>64</v>
      </c>
      <c r="D4426" s="16" t="s">
        <v>64</v>
      </c>
      <c r="E4426" s="16">
        <v>0</v>
      </c>
      <c r="F4426" s="16" t="s">
        <v>64</v>
      </c>
      <c r="G4426" s="16" t="s">
        <v>64</v>
      </c>
    </row>
    <row r="4427" spans="1:7" x14ac:dyDescent="0.2">
      <c r="A4427" t="s">
        <v>64</v>
      </c>
      <c r="B4427" t="s">
        <v>64</v>
      </c>
      <c r="C4427" s="3" t="s">
        <v>64</v>
      </c>
      <c r="D4427" s="16" t="s">
        <v>64</v>
      </c>
      <c r="E4427" s="16">
        <v>0</v>
      </c>
      <c r="F4427" s="16" t="s">
        <v>64</v>
      </c>
      <c r="G4427" s="16" t="s">
        <v>64</v>
      </c>
    </row>
    <row r="4428" spans="1:7" x14ac:dyDescent="0.2">
      <c r="A4428" t="s">
        <v>64</v>
      </c>
      <c r="B4428" t="s">
        <v>64</v>
      </c>
      <c r="C4428" s="3" t="s">
        <v>64</v>
      </c>
      <c r="D4428" s="16" t="s">
        <v>64</v>
      </c>
      <c r="E4428" s="16">
        <v>0</v>
      </c>
      <c r="F4428" s="16" t="s">
        <v>64</v>
      </c>
      <c r="G4428" s="16" t="s">
        <v>64</v>
      </c>
    </row>
    <row r="4429" spans="1:7" x14ac:dyDescent="0.2">
      <c r="A4429" t="s">
        <v>64</v>
      </c>
      <c r="B4429" t="s">
        <v>64</v>
      </c>
      <c r="C4429" s="3" t="s">
        <v>64</v>
      </c>
      <c r="D4429" s="16" t="s">
        <v>64</v>
      </c>
      <c r="E4429" s="16">
        <v>0</v>
      </c>
      <c r="F4429" s="16" t="s">
        <v>64</v>
      </c>
      <c r="G4429" s="16" t="s">
        <v>64</v>
      </c>
    </row>
    <row r="4430" spans="1:7" x14ac:dyDescent="0.2">
      <c r="A4430" t="s">
        <v>64</v>
      </c>
      <c r="B4430" t="s">
        <v>64</v>
      </c>
      <c r="C4430" s="3" t="s">
        <v>64</v>
      </c>
      <c r="D4430" s="16" t="s">
        <v>64</v>
      </c>
      <c r="E4430" s="16">
        <v>0</v>
      </c>
      <c r="F4430" s="16" t="s">
        <v>64</v>
      </c>
      <c r="G4430" s="16" t="s">
        <v>64</v>
      </c>
    </row>
    <row r="4431" spans="1:7" x14ac:dyDescent="0.2">
      <c r="A4431" t="s">
        <v>64</v>
      </c>
      <c r="B4431" t="s">
        <v>64</v>
      </c>
      <c r="C4431" s="3" t="s">
        <v>64</v>
      </c>
      <c r="D4431" s="16" t="s">
        <v>64</v>
      </c>
      <c r="E4431" s="16">
        <v>0</v>
      </c>
      <c r="F4431" s="16" t="s">
        <v>64</v>
      </c>
      <c r="G4431" s="16" t="s">
        <v>64</v>
      </c>
    </row>
    <row r="4432" spans="1:7" x14ac:dyDescent="0.2">
      <c r="A4432" t="s">
        <v>64</v>
      </c>
      <c r="B4432" t="s">
        <v>64</v>
      </c>
      <c r="C4432" s="3" t="s">
        <v>64</v>
      </c>
      <c r="D4432" s="16" t="s">
        <v>64</v>
      </c>
      <c r="E4432" s="16">
        <v>0</v>
      </c>
      <c r="F4432" s="16" t="s">
        <v>64</v>
      </c>
      <c r="G4432" s="16" t="s">
        <v>64</v>
      </c>
    </row>
    <row r="4433" spans="1:7" x14ac:dyDescent="0.2">
      <c r="A4433" t="s">
        <v>64</v>
      </c>
      <c r="B4433" t="s">
        <v>64</v>
      </c>
      <c r="C4433" s="3" t="s">
        <v>64</v>
      </c>
      <c r="D4433" s="16" t="s">
        <v>64</v>
      </c>
      <c r="E4433" s="16">
        <v>0</v>
      </c>
      <c r="F4433" s="16" t="s">
        <v>64</v>
      </c>
      <c r="G4433" s="16" t="s">
        <v>64</v>
      </c>
    </row>
    <row r="4434" spans="1:7" x14ac:dyDescent="0.2">
      <c r="A4434" t="s">
        <v>64</v>
      </c>
      <c r="B4434" t="s">
        <v>64</v>
      </c>
      <c r="C4434" s="3" t="s">
        <v>64</v>
      </c>
      <c r="D4434" s="16" t="s">
        <v>64</v>
      </c>
      <c r="E4434" s="16">
        <v>0</v>
      </c>
      <c r="F4434" s="16" t="s">
        <v>64</v>
      </c>
      <c r="G4434" s="16" t="s">
        <v>64</v>
      </c>
    </row>
    <row r="4435" spans="1:7" x14ac:dyDescent="0.2">
      <c r="A4435" t="s">
        <v>64</v>
      </c>
      <c r="B4435" t="s">
        <v>64</v>
      </c>
      <c r="C4435" s="3" t="s">
        <v>64</v>
      </c>
      <c r="D4435" s="16" t="s">
        <v>64</v>
      </c>
      <c r="E4435" s="16">
        <v>0</v>
      </c>
      <c r="F4435" s="16" t="s">
        <v>64</v>
      </c>
      <c r="G4435" s="16" t="s">
        <v>64</v>
      </c>
    </row>
    <row r="4436" spans="1:7" x14ac:dyDescent="0.2">
      <c r="A4436" t="s">
        <v>64</v>
      </c>
      <c r="B4436" t="s">
        <v>64</v>
      </c>
      <c r="C4436" s="3" t="s">
        <v>64</v>
      </c>
      <c r="D4436" s="16" t="s">
        <v>64</v>
      </c>
      <c r="E4436" s="16">
        <v>0</v>
      </c>
      <c r="F4436" s="16" t="s">
        <v>64</v>
      </c>
      <c r="G4436" s="16" t="s">
        <v>64</v>
      </c>
    </row>
    <row r="4437" spans="1:7" x14ac:dyDescent="0.2">
      <c r="A4437" t="s">
        <v>64</v>
      </c>
      <c r="B4437" t="s">
        <v>64</v>
      </c>
      <c r="C4437" s="3" t="s">
        <v>64</v>
      </c>
      <c r="D4437" s="16" t="s">
        <v>64</v>
      </c>
      <c r="E4437" s="16">
        <v>0</v>
      </c>
      <c r="F4437" s="16" t="s">
        <v>64</v>
      </c>
      <c r="G4437" s="16" t="s">
        <v>64</v>
      </c>
    </row>
    <row r="4438" spans="1:7" x14ac:dyDescent="0.2">
      <c r="A4438" t="s">
        <v>64</v>
      </c>
      <c r="B4438" t="s">
        <v>64</v>
      </c>
      <c r="C4438" s="3" t="s">
        <v>64</v>
      </c>
      <c r="D4438" s="16" t="s">
        <v>64</v>
      </c>
      <c r="E4438" s="16">
        <v>0</v>
      </c>
      <c r="F4438" s="16" t="s">
        <v>64</v>
      </c>
      <c r="G4438" s="16" t="s">
        <v>64</v>
      </c>
    </row>
    <row r="4439" spans="1:7" x14ac:dyDescent="0.2">
      <c r="A4439" t="s">
        <v>64</v>
      </c>
      <c r="B4439" t="s">
        <v>64</v>
      </c>
      <c r="C4439" s="3" t="s">
        <v>64</v>
      </c>
      <c r="D4439" s="16" t="s">
        <v>64</v>
      </c>
      <c r="E4439" s="16">
        <v>0</v>
      </c>
      <c r="F4439" s="16" t="s">
        <v>64</v>
      </c>
      <c r="G4439" s="16" t="s">
        <v>64</v>
      </c>
    </row>
    <row r="4440" spans="1:7" x14ac:dyDescent="0.2">
      <c r="A4440" t="s">
        <v>64</v>
      </c>
      <c r="B4440" t="s">
        <v>64</v>
      </c>
      <c r="C4440" s="3" t="s">
        <v>64</v>
      </c>
      <c r="D4440" s="16" t="s">
        <v>64</v>
      </c>
      <c r="E4440" s="16">
        <v>0</v>
      </c>
      <c r="F4440" s="16" t="s">
        <v>64</v>
      </c>
      <c r="G4440" s="16" t="s">
        <v>64</v>
      </c>
    </row>
    <row r="4441" spans="1:7" x14ac:dyDescent="0.2">
      <c r="A4441" t="s">
        <v>64</v>
      </c>
      <c r="B4441" t="s">
        <v>64</v>
      </c>
      <c r="C4441" s="3" t="s">
        <v>64</v>
      </c>
      <c r="D4441" s="16" t="s">
        <v>64</v>
      </c>
      <c r="E4441" s="16">
        <v>0</v>
      </c>
      <c r="F4441" s="16" t="s">
        <v>64</v>
      </c>
      <c r="G4441" s="16" t="s">
        <v>64</v>
      </c>
    </row>
    <row r="4442" spans="1:7" x14ac:dyDescent="0.2">
      <c r="A4442" t="s">
        <v>64</v>
      </c>
      <c r="B4442" t="s">
        <v>64</v>
      </c>
      <c r="C4442" s="3" t="s">
        <v>64</v>
      </c>
      <c r="D4442" s="16" t="s">
        <v>64</v>
      </c>
      <c r="E4442" s="16">
        <v>0</v>
      </c>
      <c r="F4442" s="16" t="s">
        <v>64</v>
      </c>
      <c r="G4442" s="16" t="s">
        <v>64</v>
      </c>
    </row>
    <row r="4443" spans="1:7" x14ac:dyDescent="0.2">
      <c r="A4443" t="s">
        <v>64</v>
      </c>
      <c r="B4443" t="s">
        <v>64</v>
      </c>
      <c r="C4443" s="3" t="s">
        <v>64</v>
      </c>
      <c r="D4443" s="16" t="s">
        <v>64</v>
      </c>
      <c r="E4443" s="16">
        <v>0</v>
      </c>
      <c r="F4443" s="16" t="s">
        <v>64</v>
      </c>
      <c r="G4443" s="16" t="s">
        <v>64</v>
      </c>
    </row>
    <row r="4444" spans="1:7" x14ac:dyDescent="0.2">
      <c r="A4444" t="s">
        <v>64</v>
      </c>
      <c r="B4444" t="s">
        <v>64</v>
      </c>
      <c r="C4444" s="3" t="s">
        <v>64</v>
      </c>
      <c r="D4444" s="16" t="s">
        <v>64</v>
      </c>
      <c r="E4444" s="16">
        <v>0</v>
      </c>
      <c r="F4444" s="16" t="s">
        <v>64</v>
      </c>
      <c r="G4444" s="16" t="s">
        <v>64</v>
      </c>
    </row>
    <row r="4445" spans="1:7" x14ac:dyDescent="0.2">
      <c r="A4445" t="s">
        <v>64</v>
      </c>
      <c r="B4445" t="s">
        <v>64</v>
      </c>
      <c r="C4445" s="3" t="s">
        <v>64</v>
      </c>
      <c r="D4445" s="16" t="s">
        <v>64</v>
      </c>
      <c r="E4445" s="16">
        <v>0</v>
      </c>
      <c r="F4445" s="16" t="s">
        <v>64</v>
      </c>
      <c r="G4445" s="16" t="s">
        <v>64</v>
      </c>
    </row>
    <row r="4446" spans="1:7" x14ac:dyDescent="0.2">
      <c r="A4446" t="s">
        <v>64</v>
      </c>
      <c r="B4446" t="s">
        <v>64</v>
      </c>
      <c r="C4446" s="3" t="s">
        <v>64</v>
      </c>
      <c r="D4446" s="16" t="s">
        <v>64</v>
      </c>
      <c r="E4446" s="16">
        <v>0</v>
      </c>
      <c r="F4446" s="16" t="s">
        <v>64</v>
      </c>
      <c r="G4446" s="16" t="s">
        <v>64</v>
      </c>
    </row>
    <row r="4447" spans="1:7" x14ac:dyDescent="0.2">
      <c r="A4447" t="s">
        <v>64</v>
      </c>
      <c r="B4447" t="s">
        <v>64</v>
      </c>
      <c r="C4447" s="3" t="s">
        <v>64</v>
      </c>
      <c r="D4447" s="16" t="s">
        <v>64</v>
      </c>
      <c r="E4447" s="16">
        <v>0</v>
      </c>
      <c r="F4447" s="16" t="s">
        <v>64</v>
      </c>
      <c r="G4447" s="16" t="s">
        <v>64</v>
      </c>
    </row>
    <row r="4448" spans="1:7" x14ac:dyDescent="0.2">
      <c r="A4448" t="s">
        <v>64</v>
      </c>
      <c r="B4448" t="s">
        <v>64</v>
      </c>
      <c r="C4448" s="3" t="s">
        <v>64</v>
      </c>
      <c r="D4448" s="16" t="s">
        <v>64</v>
      </c>
      <c r="E4448" s="16">
        <v>0</v>
      </c>
      <c r="F4448" s="16" t="s">
        <v>64</v>
      </c>
      <c r="G4448" s="16" t="s">
        <v>64</v>
      </c>
    </row>
    <row r="4449" spans="1:7" x14ac:dyDescent="0.2">
      <c r="A4449" t="s">
        <v>64</v>
      </c>
      <c r="B4449" t="s">
        <v>64</v>
      </c>
      <c r="C4449" s="3" t="s">
        <v>64</v>
      </c>
      <c r="D4449" s="16" t="s">
        <v>64</v>
      </c>
      <c r="E4449" s="16">
        <v>0</v>
      </c>
      <c r="F4449" s="16" t="s">
        <v>64</v>
      </c>
      <c r="G4449" s="16" t="s">
        <v>64</v>
      </c>
    </row>
    <row r="4450" spans="1:7" x14ac:dyDescent="0.2">
      <c r="A4450" t="s">
        <v>64</v>
      </c>
      <c r="B4450" t="s">
        <v>64</v>
      </c>
      <c r="C4450" s="3" t="s">
        <v>64</v>
      </c>
      <c r="D4450" s="16" t="s">
        <v>64</v>
      </c>
      <c r="E4450" s="16">
        <v>0</v>
      </c>
      <c r="F4450" s="16" t="s">
        <v>64</v>
      </c>
      <c r="G4450" s="16" t="s">
        <v>64</v>
      </c>
    </row>
    <row r="4451" spans="1:7" x14ac:dyDescent="0.2">
      <c r="A4451" t="s">
        <v>64</v>
      </c>
      <c r="B4451" t="s">
        <v>64</v>
      </c>
      <c r="C4451" s="3" t="s">
        <v>64</v>
      </c>
      <c r="D4451" s="16" t="s">
        <v>64</v>
      </c>
      <c r="E4451" s="16">
        <v>0</v>
      </c>
      <c r="F4451" s="16" t="s">
        <v>64</v>
      </c>
      <c r="G4451" s="16" t="s">
        <v>64</v>
      </c>
    </row>
    <row r="4452" spans="1:7" x14ac:dyDescent="0.2">
      <c r="A4452" t="s">
        <v>64</v>
      </c>
      <c r="B4452" t="s">
        <v>64</v>
      </c>
      <c r="C4452" s="3" t="s">
        <v>64</v>
      </c>
      <c r="D4452" s="16" t="s">
        <v>64</v>
      </c>
      <c r="E4452" s="16">
        <v>0</v>
      </c>
      <c r="F4452" s="16" t="s">
        <v>64</v>
      </c>
      <c r="G4452" s="16" t="s">
        <v>64</v>
      </c>
    </row>
    <row r="4453" spans="1:7" x14ac:dyDescent="0.2">
      <c r="A4453" t="s">
        <v>64</v>
      </c>
      <c r="B4453" t="s">
        <v>64</v>
      </c>
      <c r="C4453" s="3" t="s">
        <v>64</v>
      </c>
      <c r="D4453" s="16" t="s">
        <v>64</v>
      </c>
      <c r="E4453" s="16">
        <v>0</v>
      </c>
      <c r="F4453" s="16" t="s">
        <v>64</v>
      </c>
      <c r="G4453" s="16" t="s">
        <v>64</v>
      </c>
    </row>
    <row r="4454" spans="1:7" x14ac:dyDescent="0.2">
      <c r="A4454" t="s">
        <v>64</v>
      </c>
      <c r="B4454" t="s">
        <v>64</v>
      </c>
      <c r="C4454" s="3" t="s">
        <v>64</v>
      </c>
      <c r="D4454" s="16" t="s">
        <v>64</v>
      </c>
      <c r="E4454" s="16">
        <v>0</v>
      </c>
      <c r="F4454" s="16" t="s">
        <v>64</v>
      </c>
      <c r="G4454" s="16" t="s">
        <v>64</v>
      </c>
    </row>
    <row r="4455" spans="1:7" x14ac:dyDescent="0.2">
      <c r="A4455" t="s">
        <v>64</v>
      </c>
      <c r="B4455" t="s">
        <v>64</v>
      </c>
      <c r="C4455" s="3" t="s">
        <v>64</v>
      </c>
      <c r="D4455" s="16" t="s">
        <v>64</v>
      </c>
      <c r="E4455" s="16">
        <v>0</v>
      </c>
      <c r="F4455" s="16" t="s">
        <v>64</v>
      </c>
      <c r="G4455" s="16" t="s">
        <v>64</v>
      </c>
    </row>
    <row r="4456" spans="1:7" x14ac:dyDescent="0.2">
      <c r="A4456" t="s">
        <v>64</v>
      </c>
      <c r="B4456" t="s">
        <v>64</v>
      </c>
      <c r="C4456" s="3" t="s">
        <v>64</v>
      </c>
      <c r="D4456" s="16" t="s">
        <v>64</v>
      </c>
      <c r="E4456" s="16">
        <v>0</v>
      </c>
      <c r="F4456" s="16" t="s">
        <v>64</v>
      </c>
      <c r="G4456" s="16" t="s">
        <v>64</v>
      </c>
    </row>
    <row r="4457" spans="1:7" x14ac:dyDescent="0.2">
      <c r="A4457" t="s">
        <v>64</v>
      </c>
      <c r="B4457" t="s">
        <v>64</v>
      </c>
      <c r="C4457" s="3" t="s">
        <v>64</v>
      </c>
      <c r="D4457" s="16" t="s">
        <v>64</v>
      </c>
      <c r="E4457" s="16">
        <v>0</v>
      </c>
      <c r="F4457" s="16" t="s">
        <v>64</v>
      </c>
      <c r="G4457" s="16" t="s">
        <v>64</v>
      </c>
    </row>
    <row r="4458" spans="1:7" x14ac:dyDescent="0.2">
      <c r="A4458" t="s">
        <v>64</v>
      </c>
      <c r="B4458" t="s">
        <v>64</v>
      </c>
      <c r="C4458" s="3" t="s">
        <v>64</v>
      </c>
      <c r="D4458" s="16" t="s">
        <v>64</v>
      </c>
      <c r="E4458" s="16">
        <v>0</v>
      </c>
      <c r="F4458" s="16" t="s">
        <v>64</v>
      </c>
      <c r="G4458" s="16" t="s">
        <v>64</v>
      </c>
    </row>
    <row r="4459" spans="1:7" x14ac:dyDescent="0.2">
      <c r="A4459" t="s">
        <v>64</v>
      </c>
      <c r="B4459" t="s">
        <v>64</v>
      </c>
      <c r="C4459" s="3" t="s">
        <v>64</v>
      </c>
      <c r="D4459" s="16" t="s">
        <v>64</v>
      </c>
      <c r="E4459" s="16">
        <v>0</v>
      </c>
      <c r="F4459" s="16" t="s">
        <v>64</v>
      </c>
      <c r="G4459" s="16" t="s">
        <v>64</v>
      </c>
    </row>
    <row r="4460" spans="1:7" x14ac:dyDescent="0.2">
      <c r="A4460" t="s">
        <v>64</v>
      </c>
      <c r="B4460" t="s">
        <v>64</v>
      </c>
      <c r="C4460" s="3" t="s">
        <v>64</v>
      </c>
      <c r="D4460" s="16" t="s">
        <v>64</v>
      </c>
      <c r="E4460" s="16">
        <v>0</v>
      </c>
      <c r="F4460" s="16" t="s">
        <v>64</v>
      </c>
      <c r="G4460" s="16" t="s">
        <v>64</v>
      </c>
    </row>
    <row r="4461" spans="1:7" x14ac:dyDescent="0.2">
      <c r="A4461" t="s">
        <v>64</v>
      </c>
      <c r="B4461" t="s">
        <v>64</v>
      </c>
      <c r="C4461" s="3" t="s">
        <v>64</v>
      </c>
      <c r="D4461" s="16" t="s">
        <v>64</v>
      </c>
      <c r="E4461" s="16">
        <v>0</v>
      </c>
      <c r="F4461" s="16" t="s">
        <v>64</v>
      </c>
      <c r="G4461" s="16" t="s">
        <v>64</v>
      </c>
    </row>
    <row r="4462" spans="1:7" x14ac:dyDescent="0.2">
      <c r="A4462" t="s">
        <v>64</v>
      </c>
      <c r="B4462" t="s">
        <v>64</v>
      </c>
      <c r="C4462" s="3" t="s">
        <v>64</v>
      </c>
      <c r="D4462" s="16" t="s">
        <v>64</v>
      </c>
      <c r="E4462" s="16">
        <v>0</v>
      </c>
      <c r="F4462" s="16" t="s">
        <v>64</v>
      </c>
      <c r="G4462" s="16" t="s">
        <v>64</v>
      </c>
    </row>
    <row r="4463" spans="1:7" x14ac:dyDescent="0.2">
      <c r="A4463" t="s">
        <v>64</v>
      </c>
      <c r="B4463" t="s">
        <v>64</v>
      </c>
      <c r="C4463" s="3" t="s">
        <v>64</v>
      </c>
      <c r="D4463" s="16" t="s">
        <v>64</v>
      </c>
      <c r="E4463" s="16">
        <v>0</v>
      </c>
      <c r="F4463" s="16" t="s">
        <v>64</v>
      </c>
      <c r="G4463" s="16" t="s">
        <v>64</v>
      </c>
    </row>
    <row r="4464" spans="1:7" x14ac:dyDescent="0.2">
      <c r="A4464" t="s">
        <v>64</v>
      </c>
      <c r="B4464" t="s">
        <v>64</v>
      </c>
      <c r="C4464" s="3" t="s">
        <v>64</v>
      </c>
      <c r="D4464" s="16" t="s">
        <v>64</v>
      </c>
      <c r="E4464" s="16">
        <v>0</v>
      </c>
      <c r="F4464" s="16" t="s">
        <v>64</v>
      </c>
      <c r="G4464" s="16" t="s">
        <v>64</v>
      </c>
    </row>
    <row r="4465" spans="1:7" x14ac:dyDescent="0.2">
      <c r="A4465" t="s">
        <v>64</v>
      </c>
      <c r="B4465" t="s">
        <v>64</v>
      </c>
      <c r="C4465" s="3" t="s">
        <v>64</v>
      </c>
      <c r="D4465" s="16" t="s">
        <v>64</v>
      </c>
      <c r="E4465" s="16">
        <v>0</v>
      </c>
      <c r="F4465" s="16" t="s">
        <v>64</v>
      </c>
      <c r="G4465" s="16" t="s">
        <v>64</v>
      </c>
    </row>
    <row r="4466" spans="1:7" x14ac:dyDescent="0.2">
      <c r="A4466" t="s">
        <v>64</v>
      </c>
      <c r="B4466" t="s">
        <v>64</v>
      </c>
      <c r="C4466" s="3" t="s">
        <v>64</v>
      </c>
      <c r="D4466" s="16" t="s">
        <v>64</v>
      </c>
      <c r="E4466" s="16">
        <v>0</v>
      </c>
      <c r="F4466" s="16" t="s">
        <v>64</v>
      </c>
      <c r="G4466" s="16" t="s">
        <v>64</v>
      </c>
    </row>
    <row r="4467" spans="1:7" x14ac:dyDescent="0.2">
      <c r="A4467" t="s">
        <v>64</v>
      </c>
      <c r="B4467" t="s">
        <v>64</v>
      </c>
      <c r="C4467" s="3" t="s">
        <v>64</v>
      </c>
      <c r="D4467" s="16" t="s">
        <v>64</v>
      </c>
      <c r="E4467" s="16">
        <v>0</v>
      </c>
      <c r="F4467" s="16" t="s">
        <v>64</v>
      </c>
      <c r="G4467" s="16" t="s">
        <v>64</v>
      </c>
    </row>
    <row r="4468" spans="1:7" x14ac:dyDescent="0.2">
      <c r="A4468" t="s">
        <v>64</v>
      </c>
      <c r="B4468" t="s">
        <v>64</v>
      </c>
      <c r="C4468" s="3" t="s">
        <v>64</v>
      </c>
      <c r="D4468" s="16" t="s">
        <v>64</v>
      </c>
      <c r="E4468" s="16">
        <v>0</v>
      </c>
      <c r="F4468" s="16" t="s">
        <v>64</v>
      </c>
      <c r="G4468" s="16" t="s">
        <v>64</v>
      </c>
    </row>
    <row r="4469" spans="1:7" x14ac:dyDescent="0.2">
      <c r="A4469" t="s">
        <v>64</v>
      </c>
      <c r="B4469" t="s">
        <v>64</v>
      </c>
      <c r="C4469" s="3" t="s">
        <v>64</v>
      </c>
      <c r="D4469" s="16" t="s">
        <v>64</v>
      </c>
      <c r="E4469" s="16">
        <v>0</v>
      </c>
      <c r="F4469" s="16" t="s">
        <v>64</v>
      </c>
      <c r="G4469" s="16" t="s">
        <v>64</v>
      </c>
    </row>
    <row r="4470" spans="1:7" x14ac:dyDescent="0.2">
      <c r="A4470" t="s">
        <v>64</v>
      </c>
      <c r="B4470" t="s">
        <v>64</v>
      </c>
      <c r="C4470" s="3" t="s">
        <v>64</v>
      </c>
      <c r="D4470" s="16" t="s">
        <v>64</v>
      </c>
      <c r="E4470" s="16">
        <v>0</v>
      </c>
      <c r="F4470" s="16" t="s">
        <v>64</v>
      </c>
      <c r="G4470" s="16" t="s">
        <v>64</v>
      </c>
    </row>
    <row r="4471" spans="1:7" x14ac:dyDescent="0.2">
      <c r="A4471" t="s">
        <v>64</v>
      </c>
      <c r="B4471" t="s">
        <v>64</v>
      </c>
      <c r="C4471" s="3" t="s">
        <v>64</v>
      </c>
      <c r="D4471" s="16" t="s">
        <v>64</v>
      </c>
      <c r="E4471" s="16">
        <v>0</v>
      </c>
      <c r="F4471" s="16" t="s">
        <v>64</v>
      </c>
      <c r="G4471" s="16" t="s">
        <v>64</v>
      </c>
    </row>
    <row r="4472" spans="1:7" x14ac:dyDescent="0.2">
      <c r="A4472" t="s">
        <v>64</v>
      </c>
      <c r="B4472" t="s">
        <v>64</v>
      </c>
      <c r="C4472" s="3" t="s">
        <v>64</v>
      </c>
      <c r="D4472" s="16" t="s">
        <v>64</v>
      </c>
      <c r="E4472" s="16">
        <v>0</v>
      </c>
      <c r="F4472" s="16" t="s">
        <v>64</v>
      </c>
      <c r="G4472" s="16" t="s">
        <v>64</v>
      </c>
    </row>
    <row r="4473" spans="1:7" x14ac:dyDescent="0.2">
      <c r="A4473" t="s">
        <v>64</v>
      </c>
      <c r="B4473" t="s">
        <v>64</v>
      </c>
      <c r="C4473" s="3" t="s">
        <v>64</v>
      </c>
      <c r="D4473" s="16" t="s">
        <v>64</v>
      </c>
      <c r="E4473" s="16">
        <v>0</v>
      </c>
      <c r="F4473" s="16" t="s">
        <v>64</v>
      </c>
      <c r="G4473" s="16" t="s">
        <v>64</v>
      </c>
    </row>
    <row r="4474" spans="1:7" x14ac:dyDescent="0.2">
      <c r="A4474" t="s">
        <v>64</v>
      </c>
      <c r="B4474" t="s">
        <v>64</v>
      </c>
      <c r="C4474" s="3" t="s">
        <v>64</v>
      </c>
      <c r="D4474" s="16" t="s">
        <v>64</v>
      </c>
      <c r="E4474" s="16">
        <v>0</v>
      </c>
      <c r="F4474" s="16" t="s">
        <v>64</v>
      </c>
      <c r="G4474" s="16" t="s">
        <v>64</v>
      </c>
    </row>
    <row r="4475" spans="1:7" x14ac:dyDescent="0.2">
      <c r="A4475" t="s">
        <v>64</v>
      </c>
      <c r="B4475" t="s">
        <v>64</v>
      </c>
      <c r="C4475" s="3" t="s">
        <v>64</v>
      </c>
      <c r="D4475" s="16" t="s">
        <v>64</v>
      </c>
      <c r="E4475" s="16">
        <v>0</v>
      </c>
      <c r="F4475" s="16" t="s">
        <v>64</v>
      </c>
      <c r="G4475" s="16" t="s">
        <v>64</v>
      </c>
    </row>
    <row r="4476" spans="1:7" x14ac:dyDescent="0.2">
      <c r="A4476" t="s">
        <v>64</v>
      </c>
      <c r="B4476" t="s">
        <v>64</v>
      </c>
      <c r="C4476" s="3" t="s">
        <v>64</v>
      </c>
      <c r="D4476" s="16" t="s">
        <v>64</v>
      </c>
      <c r="E4476" s="16">
        <v>0</v>
      </c>
      <c r="F4476" s="16" t="s">
        <v>64</v>
      </c>
      <c r="G4476" s="16" t="s">
        <v>64</v>
      </c>
    </row>
    <row r="4477" spans="1:7" x14ac:dyDescent="0.2">
      <c r="A4477" t="s">
        <v>64</v>
      </c>
      <c r="B4477" t="s">
        <v>64</v>
      </c>
      <c r="C4477" s="3" t="s">
        <v>64</v>
      </c>
      <c r="D4477" s="16" t="s">
        <v>64</v>
      </c>
      <c r="E4477" s="16">
        <v>0</v>
      </c>
      <c r="F4477" s="16" t="s">
        <v>64</v>
      </c>
      <c r="G4477" s="16" t="s">
        <v>64</v>
      </c>
    </row>
    <row r="4478" spans="1:7" x14ac:dyDescent="0.2">
      <c r="A4478" t="s">
        <v>64</v>
      </c>
      <c r="B4478" t="s">
        <v>64</v>
      </c>
      <c r="C4478" s="3" t="s">
        <v>64</v>
      </c>
      <c r="D4478" s="16" t="s">
        <v>64</v>
      </c>
      <c r="E4478" s="16">
        <v>0</v>
      </c>
      <c r="F4478" s="16" t="s">
        <v>64</v>
      </c>
      <c r="G4478" s="16" t="s">
        <v>64</v>
      </c>
    </row>
    <row r="4479" spans="1:7" x14ac:dyDescent="0.2">
      <c r="A4479" t="s">
        <v>64</v>
      </c>
      <c r="B4479" t="s">
        <v>64</v>
      </c>
      <c r="C4479" s="3" t="s">
        <v>64</v>
      </c>
      <c r="D4479" s="16" t="s">
        <v>64</v>
      </c>
      <c r="E4479" s="16">
        <v>0</v>
      </c>
      <c r="F4479" s="16" t="s">
        <v>64</v>
      </c>
      <c r="G4479" s="16" t="s">
        <v>64</v>
      </c>
    </row>
    <row r="4480" spans="1:7" x14ac:dyDescent="0.2">
      <c r="A4480" t="s">
        <v>64</v>
      </c>
      <c r="B4480" t="s">
        <v>64</v>
      </c>
      <c r="C4480" s="3" t="s">
        <v>64</v>
      </c>
      <c r="D4480" s="16" t="s">
        <v>64</v>
      </c>
      <c r="E4480" s="16">
        <v>0</v>
      </c>
      <c r="F4480" s="16" t="s">
        <v>64</v>
      </c>
      <c r="G4480" s="16" t="s">
        <v>64</v>
      </c>
    </row>
    <row r="4481" spans="1:7" x14ac:dyDescent="0.2">
      <c r="A4481" t="s">
        <v>64</v>
      </c>
      <c r="B4481" t="s">
        <v>64</v>
      </c>
      <c r="C4481" s="3" t="s">
        <v>64</v>
      </c>
      <c r="D4481" s="16" t="s">
        <v>64</v>
      </c>
      <c r="E4481" s="16">
        <v>0</v>
      </c>
      <c r="F4481" s="16" t="s">
        <v>64</v>
      </c>
      <c r="G4481" s="16" t="s">
        <v>64</v>
      </c>
    </row>
    <row r="4482" spans="1:7" x14ac:dyDescent="0.2">
      <c r="A4482" t="s">
        <v>64</v>
      </c>
      <c r="B4482" t="s">
        <v>64</v>
      </c>
      <c r="C4482" s="3" t="s">
        <v>64</v>
      </c>
      <c r="D4482" s="16" t="s">
        <v>64</v>
      </c>
      <c r="E4482" s="16">
        <v>0</v>
      </c>
      <c r="F4482" s="16" t="s">
        <v>64</v>
      </c>
      <c r="G4482" s="16" t="s">
        <v>64</v>
      </c>
    </row>
    <row r="4483" spans="1:7" x14ac:dyDescent="0.2">
      <c r="A4483" t="s">
        <v>64</v>
      </c>
      <c r="B4483" t="s">
        <v>64</v>
      </c>
      <c r="C4483" s="3" t="s">
        <v>64</v>
      </c>
      <c r="D4483" s="16" t="s">
        <v>64</v>
      </c>
      <c r="E4483" s="16">
        <v>0</v>
      </c>
      <c r="F4483" s="16" t="s">
        <v>64</v>
      </c>
      <c r="G4483" s="16" t="s">
        <v>64</v>
      </c>
    </row>
    <row r="4484" spans="1:7" x14ac:dyDescent="0.2">
      <c r="A4484" t="s">
        <v>64</v>
      </c>
      <c r="B4484" t="s">
        <v>64</v>
      </c>
      <c r="C4484" s="3" t="s">
        <v>64</v>
      </c>
      <c r="D4484" s="16" t="s">
        <v>64</v>
      </c>
      <c r="E4484" s="16">
        <v>0</v>
      </c>
      <c r="F4484" s="16" t="s">
        <v>64</v>
      </c>
      <c r="G4484" s="16" t="s">
        <v>64</v>
      </c>
    </row>
    <row r="4485" spans="1:7" x14ac:dyDescent="0.2">
      <c r="A4485" t="s">
        <v>64</v>
      </c>
      <c r="B4485" t="s">
        <v>64</v>
      </c>
      <c r="C4485" s="3" t="s">
        <v>64</v>
      </c>
      <c r="D4485" s="16" t="s">
        <v>64</v>
      </c>
      <c r="E4485" s="16">
        <v>0</v>
      </c>
      <c r="F4485" s="16" t="s">
        <v>64</v>
      </c>
      <c r="G4485" s="16" t="s">
        <v>64</v>
      </c>
    </row>
    <row r="4486" spans="1:7" x14ac:dyDescent="0.2">
      <c r="A4486" t="s">
        <v>64</v>
      </c>
      <c r="B4486" t="s">
        <v>64</v>
      </c>
      <c r="C4486" s="3" t="s">
        <v>64</v>
      </c>
      <c r="D4486" s="16" t="s">
        <v>64</v>
      </c>
      <c r="E4486" s="16">
        <v>0</v>
      </c>
      <c r="F4486" s="16" t="s">
        <v>64</v>
      </c>
      <c r="G4486" s="16" t="s">
        <v>64</v>
      </c>
    </row>
    <row r="4487" spans="1:7" x14ac:dyDescent="0.2">
      <c r="A4487" t="s">
        <v>64</v>
      </c>
      <c r="B4487" t="s">
        <v>64</v>
      </c>
      <c r="C4487" s="3" t="s">
        <v>64</v>
      </c>
      <c r="D4487" s="16" t="s">
        <v>64</v>
      </c>
      <c r="E4487" s="16">
        <v>0</v>
      </c>
      <c r="F4487" s="16" t="s">
        <v>64</v>
      </c>
      <c r="G4487" s="16" t="s">
        <v>64</v>
      </c>
    </row>
    <row r="4488" spans="1:7" x14ac:dyDescent="0.2">
      <c r="A4488" t="s">
        <v>64</v>
      </c>
      <c r="B4488" t="s">
        <v>64</v>
      </c>
      <c r="C4488" s="3" t="s">
        <v>64</v>
      </c>
      <c r="D4488" s="16" t="s">
        <v>64</v>
      </c>
      <c r="E4488" s="16">
        <v>0</v>
      </c>
      <c r="F4488" s="16" t="s">
        <v>64</v>
      </c>
      <c r="G4488" s="16" t="s">
        <v>64</v>
      </c>
    </row>
    <row r="4489" spans="1:7" x14ac:dyDescent="0.2">
      <c r="A4489" t="s">
        <v>64</v>
      </c>
      <c r="B4489" t="s">
        <v>64</v>
      </c>
      <c r="C4489" s="3" t="s">
        <v>64</v>
      </c>
      <c r="D4489" s="16" t="s">
        <v>64</v>
      </c>
      <c r="E4489" s="16">
        <v>0</v>
      </c>
      <c r="F4489" s="16" t="s">
        <v>64</v>
      </c>
      <c r="G4489" s="16" t="s">
        <v>64</v>
      </c>
    </row>
    <row r="4490" spans="1:7" x14ac:dyDescent="0.2">
      <c r="A4490" t="s">
        <v>64</v>
      </c>
      <c r="B4490" t="s">
        <v>64</v>
      </c>
      <c r="C4490" s="3" t="s">
        <v>64</v>
      </c>
      <c r="D4490" s="16" t="s">
        <v>64</v>
      </c>
      <c r="E4490" s="16">
        <v>0</v>
      </c>
      <c r="F4490" s="16" t="s">
        <v>64</v>
      </c>
      <c r="G4490" s="16" t="s">
        <v>64</v>
      </c>
    </row>
    <row r="4491" spans="1:7" x14ac:dyDescent="0.2">
      <c r="A4491" t="s">
        <v>64</v>
      </c>
      <c r="B4491" t="s">
        <v>64</v>
      </c>
      <c r="C4491" s="3" t="s">
        <v>64</v>
      </c>
      <c r="D4491" s="16" t="s">
        <v>64</v>
      </c>
      <c r="E4491" s="16">
        <v>0</v>
      </c>
      <c r="F4491" s="16" t="s">
        <v>64</v>
      </c>
      <c r="G4491" s="16" t="s">
        <v>64</v>
      </c>
    </row>
    <row r="4492" spans="1:7" x14ac:dyDescent="0.2">
      <c r="A4492" t="s">
        <v>64</v>
      </c>
      <c r="B4492" t="s">
        <v>64</v>
      </c>
      <c r="C4492" s="3" t="s">
        <v>64</v>
      </c>
      <c r="D4492" s="16" t="s">
        <v>64</v>
      </c>
      <c r="E4492" s="16">
        <v>0</v>
      </c>
      <c r="F4492" s="16" t="s">
        <v>64</v>
      </c>
      <c r="G4492" s="16" t="s">
        <v>64</v>
      </c>
    </row>
    <row r="4493" spans="1:7" x14ac:dyDescent="0.2">
      <c r="A4493" t="s">
        <v>64</v>
      </c>
      <c r="B4493" t="s">
        <v>64</v>
      </c>
      <c r="C4493" s="3" t="s">
        <v>64</v>
      </c>
      <c r="D4493" s="16" t="s">
        <v>64</v>
      </c>
      <c r="E4493" s="16">
        <v>0</v>
      </c>
      <c r="F4493" s="16" t="s">
        <v>64</v>
      </c>
      <c r="G4493" s="16" t="s">
        <v>64</v>
      </c>
    </row>
    <row r="4494" spans="1:7" x14ac:dyDescent="0.2">
      <c r="A4494" t="s">
        <v>64</v>
      </c>
      <c r="B4494" t="s">
        <v>64</v>
      </c>
      <c r="C4494" s="3" t="s">
        <v>64</v>
      </c>
      <c r="D4494" s="16" t="s">
        <v>64</v>
      </c>
      <c r="E4494" s="16">
        <v>0</v>
      </c>
      <c r="F4494" s="16" t="s">
        <v>64</v>
      </c>
      <c r="G4494" s="16" t="s">
        <v>64</v>
      </c>
    </row>
    <row r="4495" spans="1:7" x14ac:dyDescent="0.2">
      <c r="A4495" t="s">
        <v>64</v>
      </c>
      <c r="B4495" t="s">
        <v>64</v>
      </c>
      <c r="C4495" s="3" t="s">
        <v>64</v>
      </c>
      <c r="D4495" s="16" t="s">
        <v>64</v>
      </c>
      <c r="E4495" s="16">
        <v>0</v>
      </c>
      <c r="F4495" s="16" t="s">
        <v>64</v>
      </c>
      <c r="G4495" s="16" t="s">
        <v>64</v>
      </c>
    </row>
    <row r="4496" spans="1:7" x14ac:dyDescent="0.2">
      <c r="A4496" t="s">
        <v>64</v>
      </c>
      <c r="B4496" t="s">
        <v>64</v>
      </c>
      <c r="C4496" s="3" t="s">
        <v>64</v>
      </c>
      <c r="D4496" s="16" t="s">
        <v>64</v>
      </c>
      <c r="E4496" s="16">
        <v>0</v>
      </c>
      <c r="F4496" s="16" t="s">
        <v>64</v>
      </c>
      <c r="G4496" s="16" t="s">
        <v>64</v>
      </c>
    </row>
    <row r="4497" spans="1:7" x14ac:dyDescent="0.2">
      <c r="A4497" t="s">
        <v>64</v>
      </c>
      <c r="B4497" t="s">
        <v>64</v>
      </c>
      <c r="C4497" s="3" t="s">
        <v>64</v>
      </c>
      <c r="D4497" s="16" t="s">
        <v>64</v>
      </c>
      <c r="E4497" s="16">
        <v>0</v>
      </c>
      <c r="F4497" s="16" t="s">
        <v>64</v>
      </c>
      <c r="G4497" s="16" t="s">
        <v>64</v>
      </c>
    </row>
    <row r="4498" spans="1:7" x14ac:dyDescent="0.2">
      <c r="A4498" t="s">
        <v>64</v>
      </c>
      <c r="B4498" t="s">
        <v>64</v>
      </c>
      <c r="C4498" s="3" t="s">
        <v>64</v>
      </c>
      <c r="D4498" s="16" t="s">
        <v>64</v>
      </c>
      <c r="E4498" s="16">
        <v>0</v>
      </c>
      <c r="F4498" s="16" t="s">
        <v>64</v>
      </c>
      <c r="G4498" s="16" t="s">
        <v>64</v>
      </c>
    </row>
    <row r="4499" spans="1:7" x14ac:dyDescent="0.2">
      <c r="A4499" t="s">
        <v>64</v>
      </c>
      <c r="B4499" t="s">
        <v>64</v>
      </c>
      <c r="C4499" s="3" t="s">
        <v>64</v>
      </c>
      <c r="D4499" s="16" t="s">
        <v>64</v>
      </c>
      <c r="E4499" s="16">
        <v>0</v>
      </c>
      <c r="F4499" s="16" t="s">
        <v>64</v>
      </c>
      <c r="G4499" s="16" t="s">
        <v>64</v>
      </c>
    </row>
    <row r="4500" spans="1:7" x14ac:dyDescent="0.2">
      <c r="A4500" t="s">
        <v>64</v>
      </c>
      <c r="B4500" t="s">
        <v>64</v>
      </c>
      <c r="C4500" s="3" t="s">
        <v>64</v>
      </c>
      <c r="D4500" s="16" t="s">
        <v>64</v>
      </c>
      <c r="E4500" s="16">
        <v>0</v>
      </c>
      <c r="F4500" s="16" t="s">
        <v>64</v>
      </c>
      <c r="G4500" s="16" t="s">
        <v>64</v>
      </c>
    </row>
    <row r="4501" spans="1:7" x14ac:dyDescent="0.2">
      <c r="A4501" t="s">
        <v>64</v>
      </c>
      <c r="B4501" t="s">
        <v>64</v>
      </c>
      <c r="C4501" s="3" t="s">
        <v>64</v>
      </c>
      <c r="D4501" s="16" t="s">
        <v>64</v>
      </c>
      <c r="E4501" s="16">
        <v>0</v>
      </c>
      <c r="F4501" s="16" t="s">
        <v>64</v>
      </c>
      <c r="G4501" s="16" t="s">
        <v>64</v>
      </c>
    </row>
    <row r="4502" spans="1:7" x14ac:dyDescent="0.2">
      <c r="A4502" t="s">
        <v>64</v>
      </c>
      <c r="B4502" t="s">
        <v>64</v>
      </c>
      <c r="C4502" s="3" t="s">
        <v>64</v>
      </c>
      <c r="D4502" s="16" t="s">
        <v>64</v>
      </c>
      <c r="E4502" s="16">
        <v>0</v>
      </c>
      <c r="F4502" s="16" t="s">
        <v>64</v>
      </c>
      <c r="G4502" s="16" t="s">
        <v>64</v>
      </c>
    </row>
    <row r="4503" spans="1:7" x14ac:dyDescent="0.2">
      <c r="A4503" t="s">
        <v>64</v>
      </c>
      <c r="B4503" t="s">
        <v>64</v>
      </c>
      <c r="C4503" s="3" t="s">
        <v>64</v>
      </c>
      <c r="D4503" s="16" t="s">
        <v>64</v>
      </c>
      <c r="E4503" s="16">
        <v>0</v>
      </c>
      <c r="F4503" s="16" t="s">
        <v>64</v>
      </c>
      <c r="G4503" s="16" t="s">
        <v>64</v>
      </c>
    </row>
    <row r="4504" spans="1:7" x14ac:dyDescent="0.2">
      <c r="A4504" t="s">
        <v>64</v>
      </c>
      <c r="B4504" t="s">
        <v>64</v>
      </c>
      <c r="C4504" s="3" t="s">
        <v>64</v>
      </c>
      <c r="D4504" s="16" t="s">
        <v>64</v>
      </c>
      <c r="E4504" s="16">
        <v>0</v>
      </c>
      <c r="F4504" s="16" t="s">
        <v>64</v>
      </c>
      <c r="G4504" s="16" t="s">
        <v>64</v>
      </c>
    </row>
    <row r="4505" spans="1:7" x14ac:dyDescent="0.2">
      <c r="A4505" t="s">
        <v>64</v>
      </c>
      <c r="B4505" t="s">
        <v>64</v>
      </c>
      <c r="C4505" s="3" t="s">
        <v>64</v>
      </c>
      <c r="D4505" s="16" t="s">
        <v>64</v>
      </c>
      <c r="E4505" s="16">
        <v>0</v>
      </c>
      <c r="F4505" s="16" t="s">
        <v>64</v>
      </c>
      <c r="G4505" s="16" t="s">
        <v>64</v>
      </c>
    </row>
    <row r="4506" spans="1:7" x14ac:dyDescent="0.2">
      <c r="A4506" t="s">
        <v>64</v>
      </c>
      <c r="B4506" t="s">
        <v>64</v>
      </c>
      <c r="C4506" s="3" t="s">
        <v>64</v>
      </c>
      <c r="D4506" s="16" t="s">
        <v>64</v>
      </c>
      <c r="E4506" s="16">
        <v>0</v>
      </c>
      <c r="F4506" s="16" t="s">
        <v>64</v>
      </c>
      <c r="G4506" s="16" t="s">
        <v>64</v>
      </c>
    </row>
    <row r="4507" spans="1:7" x14ac:dyDescent="0.2">
      <c r="A4507" t="s">
        <v>64</v>
      </c>
      <c r="B4507" t="s">
        <v>64</v>
      </c>
      <c r="C4507" s="3" t="s">
        <v>64</v>
      </c>
      <c r="D4507" s="16" t="s">
        <v>64</v>
      </c>
      <c r="E4507" s="16">
        <v>0</v>
      </c>
      <c r="F4507" s="16" t="s">
        <v>64</v>
      </c>
      <c r="G4507" s="16" t="s">
        <v>64</v>
      </c>
    </row>
    <row r="4508" spans="1:7" x14ac:dyDescent="0.2">
      <c r="A4508" t="s">
        <v>64</v>
      </c>
      <c r="B4508" t="s">
        <v>64</v>
      </c>
      <c r="C4508" s="3" t="s">
        <v>64</v>
      </c>
      <c r="D4508" s="16" t="s">
        <v>64</v>
      </c>
      <c r="E4508" s="16">
        <v>0</v>
      </c>
      <c r="F4508" s="16" t="s">
        <v>64</v>
      </c>
      <c r="G4508" s="16" t="s">
        <v>64</v>
      </c>
    </row>
    <row r="4509" spans="1:7" x14ac:dyDescent="0.2">
      <c r="A4509" t="s">
        <v>64</v>
      </c>
      <c r="B4509" t="s">
        <v>64</v>
      </c>
      <c r="C4509" s="3" t="s">
        <v>64</v>
      </c>
      <c r="D4509" s="16" t="s">
        <v>64</v>
      </c>
      <c r="E4509" s="16">
        <v>0</v>
      </c>
      <c r="F4509" s="16" t="s">
        <v>64</v>
      </c>
      <c r="G4509" s="16" t="s">
        <v>64</v>
      </c>
    </row>
    <row r="4510" spans="1:7" x14ac:dyDescent="0.2">
      <c r="A4510" t="s">
        <v>64</v>
      </c>
      <c r="B4510" t="s">
        <v>64</v>
      </c>
      <c r="C4510" s="3" t="s">
        <v>64</v>
      </c>
      <c r="D4510" s="16" t="s">
        <v>64</v>
      </c>
      <c r="E4510" s="16">
        <v>0</v>
      </c>
      <c r="F4510" s="16" t="s">
        <v>64</v>
      </c>
      <c r="G4510" s="16" t="s">
        <v>64</v>
      </c>
    </row>
    <row r="4511" spans="1:7" x14ac:dyDescent="0.2">
      <c r="A4511" t="s">
        <v>64</v>
      </c>
      <c r="B4511" t="s">
        <v>64</v>
      </c>
      <c r="C4511" s="3" t="s">
        <v>64</v>
      </c>
      <c r="D4511" s="16" t="s">
        <v>64</v>
      </c>
      <c r="E4511" s="16">
        <v>0</v>
      </c>
      <c r="F4511" s="16" t="s">
        <v>64</v>
      </c>
      <c r="G4511" s="16" t="s">
        <v>64</v>
      </c>
    </row>
    <row r="4512" spans="1:7" x14ac:dyDescent="0.2">
      <c r="A4512" t="s">
        <v>64</v>
      </c>
      <c r="B4512" t="s">
        <v>64</v>
      </c>
      <c r="C4512" s="3" t="s">
        <v>64</v>
      </c>
      <c r="D4512" s="16" t="s">
        <v>64</v>
      </c>
      <c r="E4512" s="16">
        <v>0</v>
      </c>
      <c r="F4512" s="16" t="s">
        <v>64</v>
      </c>
      <c r="G4512" s="16" t="s">
        <v>64</v>
      </c>
    </row>
    <row r="4513" spans="1:7" x14ac:dyDescent="0.2">
      <c r="A4513" t="s">
        <v>64</v>
      </c>
      <c r="B4513" t="s">
        <v>64</v>
      </c>
      <c r="C4513" s="3" t="s">
        <v>64</v>
      </c>
      <c r="D4513" s="16" t="s">
        <v>64</v>
      </c>
      <c r="E4513" s="16">
        <v>0</v>
      </c>
      <c r="F4513" s="16" t="s">
        <v>64</v>
      </c>
      <c r="G4513" s="16" t="s">
        <v>64</v>
      </c>
    </row>
    <row r="4514" spans="1:7" x14ac:dyDescent="0.2">
      <c r="A4514" t="s">
        <v>64</v>
      </c>
      <c r="B4514" t="s">
        <v>64</v>
      </c>
      <c r="C4514" s="3" t="s">
        <v>64</v>
      </c>
      <c r="D4514" s="16" t="s">
        <v>64</v>
      </c>
      <c r="E4514" s="16">
        <v>0</v>
      </c>
      <c r="F4514" s="16" t="s">
        <v>64</v>
      </c>
      <c r="G4514" s="16" t="s">
        <v>64</v>
      </c>
    </row>
    <row r="4515" spans="1:7" x14ac:dyDescent="0.2">
      <c r="A4515" t="s">
        <v>64</v>
      </c>
      <c r="B4515" t="s">
        <v>64</v>
      </c>
      <c r="C4515" s="3" t="s">
        <v>64</v>
      </c>
      <c r="D4515" s="16" t="s">
        <v>64</v>
      </c>
      <c r="E4515" s="16">
        <v>0</v>
      </c>
      <c r="F4515" s="16" t="s">
        <v>64</v>
      </c>
      <c r="G4515" s="16" t="s">
        <v>64</v>
      </c>
    </row>
    <row r="4516" spans="1:7" x14ac:dyDescent="0.2">
      <c r="A4516" t="s">
        <v>64</v>
      </c>
      <c r="B4516" t="s">
        <v>64</v>
      </c>
      <c r="C4516" s="3" t="s">
        <v>64</v>
      </c>
      <c r="D4516" s="16" t="s">
        <v>64</v>
      </c>
      <c r="E4516" s="16">
        <v>0</v>
      </c>
      <c r="F4516" s="16" t="s">
        <v>64</v>
      </c>
      <c r="G4516" s="16" t="s">
        <v>64</v>
      </c>
    </row>
    <row r="4517" spans="1:7" x14ac:dyDescent="0.2">
      <c r="A4517" t="s">
        <v>64</v>
      </c>
      <c r="B4517" t="s">
        <v>64</v>
      </c>
      <c r="C4517" s="3" t="s">
        <v>64</v>
      </c>
      <c r="D4517" s="16" t="s">
        <v>64</v>
      </c>
      <c r="E4517" s="16">
        <v>0</v>
      </c>
      <c r="F4517" s="16" t="s">
        <v>64</v>
      </c>
      <c r="G4517" s="16" t="s">
        <v>64</v>
      </c>
    </row>
    <row r="4518" spans="1:7" x14ac:dyDescent="0.2">
      <c r="A4518" t="s">
        <v>64</v>
      </c>
      <c r="B4518" t="s">
        <v>64</v>
      </c>
      <c r="C4518" s="3" t="s">
        <v>64</v>
      </c>
      <c r="D4518" s="16" t="s">
        <v>64</v>
      </c>
      <c r="E4518" s="16">
        <v>0</v>
      </c>
      <c r="F4518" s="16" t="s">
        <v>64</v>
      </c>
      <c r="G4518" s="16" t="s">
        <v>64</v>
      </c>
    </row>
    <row r="4519" spans="1:7" x14ac:dyDescent="0.2">
      <c r="A4519" t="s">
        <v>64</v>
      </c>
      <c r="B4519" t="s">
        <v>64</v>
      </c>
      <c r="C4519" s="3" t="s">
        <v>64</v>
      </c>
      <c r="D4519" s="16" t="s">
        <v>64</v>
      </c>
      <c r="E4519" s="16">
        <v>0</v>
      </c>
      <c r="F4519" s="16" t="s">
        <v>64</v>
      </c>
      <c r="G4519" s="16" t="s">
        <v>64</v>
      </c>
    </row>
    <row r="4520" spans="1:7" x14ac:dyDescent="0.2">
      <c r="A4520" t="s">
        <v>64</v>
      </c>
      <c r="B4520" t="s">
        <v>64</v>
      </c>
      <c r="C4520" s="3" t="s">
        <v>64</v>
      </c>
      <c r="D4520" s="16" t="s">
        <v>64</v>
      </c>
      <c r="E4520" s="16">
        <v>0</v>
      </c>
      <c r="F4520" s="16" t="s">
        <v>64</v>
      </c>
      <c r="G4520" s="16" t="s">
        <v>64</v>
      </c>
    </row>
    <row r="4521" spans="1:7" x14ac:dyDescent="0.2">
      <c r="A4521" t="s">
        <v>64</v>
      </c>
      <c r="B4521" t="s">
        <v>64</v>
      </c>
      <c r="C4521" s="3" t="s">
        <v>64</v>
      </c>
      <c r="D4521" s="16" t="s">
        <v>64</v>
      </c>
      <c r="E4521" s="16">
        <v>0</v>
      </c>
      <c r="F4521" s="16" t="s">
        <v>64</v>
      </c>
      <c r="G4521" s="16" t="s">
        <v>64</v>
      </c>
    </row>
    <row r="4522" spans="1:7" x14ac:dyDescent="0.2">
      <c r="A4522" t="s">
        <v>64</v>
      </c>
      <c r="B4522" t="s">
        <v>64</v>
      </c>
      <c r="C4522" s="3" t="s">
        <v>64</v>
      </c>
      <c r="D4522" s="16" t="s">
        <v>64</v>
      </c>
      <c r="E4522" s="16">
        <v>0</v>
      </c>
      <c r="F4522" s="16" t="s">
        <v>64</v>
      </c>
      <c r="G4522" s="16" t="s">
        <v>64</v>
      </c>
    </row>
    <row r="4523" spans="1:7" x14ac:dyDescent="0.2">
      <c r="A4523" t="s">
        <v>64</v>
      </c>
      <c r="B4523" t="s">
        <v>64</v>
      </c>
      <c r="C4523" s="3" t="s">
        <v>64</v>
      </c>
      <c r="D4523" s="16" t="s">
        <v>64</v>
      </c>
      <c r="E4523" s="16">
        <v>0</v>
      </c>
      <c r="F4523" s="16" t="s">
        <v>64</v>
      </c>
      <c r="G4523" s="16" t="s">
        <v>64</v>
      </c>
    </row>
    <row r="4524" spans="1:7" x14ac:dyDescent="0.2">
      <c r="A4524" t="s">
        <v>64</v>
      </c>
      <c r="B4524" t="s">
        <v>64</v>
      </c>
      <c r="C4524" s="3" t="s">
        <v>64</v>
      </c>
      <c r="D4524" s="16" t="s">
        <v>64</v>
      </c>
      <c r="E4524" s="16">
        <v>0</v>
      </c>
      <c r="F4524" s="16" t="s">
        <v>64</v>
      </c>
      <c r="G4524" s="16" t="s">
        <v>64</v>
      </c>
    </row>
    <row r="4525" spans="1:7" x14ac:dyDescent="0.2">
      <c r="A4525" t="s">
        <v>64</v>
      </c>
      <c r="B4525" t="s">
        <v>64</v>
      </c>
      <c r="C4525" s="3" t="s">
        <v>64</v>
      </c>
      <c r="D4525" s="16" t="s">
        <v>64</v>
      </c>
      <c r="E4525" s="16">
        <v>0</v>
      </c>
      <c r="F4525" s="16" t="s">
        <v>64</v>
      </c>
      <c r="G4525" s="16" t="s">
        <v>64</v>
      </c>
    </row>
    <row r="4526" spans="1:7" x14ac:dyDescent="0.2">
      <c r="A4526" t="s">
        <v>64</v>
      </c>
      <c r="B4526" t="s">
        <v>64</v>
      </c>
      <c r="C4526" s="3" t="s">
        <v>64</v>
      </c>
      <c r="D4526" s="16" t="s">
        <v>64</v>
      </c>
      <c r="E4526" s="16">
        <v>0</v>
      </c>
      <c r="F4526" s="16" t="s">
        <v>64</v>
      </c>
      <c r="G4526" s="16" t="s">
        <v>64</v>
      </c>
    </row>
    <row r="4527" spans="1:7" x14ac:dyDescent="0.2">
      <c r="A4527" t="s">
        <v>64</v>
      </c>
      <c r="B4527" t="s">
        <v>64</v>
      </c>
      <c r="C4527" s="3" t="s">
        <v>64</v>
      </c>
      <c r="D4527" s="16" t="s">
        <v>64</v>
      </c>
      <c r="E4527" s="16">
        <v>0</v>
      </c>
      <c r="F4527" s="16" t="s">
        <v>64</v>
      </c>
      <c r="G4527" s="16" t="s">
        <v>64</v>
      </c>
    </row>
    <row r="4528" spans="1:7" x14ac:dyDescent="0.2">
      <c r="A4528" t="s">
        <v>64</v>
      </c>
      <c r="B4528" t="s">
        <v>64</v>
      </c>
      <c r="C4528" s="3" t="s">
        <v>64</v>
      </c>
      <c r="D4528" s="16" t="s">
        <v>64</v>
      </c>
      <c r="E4528" s="16">
        <v>0</v>
      </c>
      <c r="F4528" s="16" t="s">
        <v>64</v>
      </c>
      <c r="G4528" s="16" t="s">
        <v>64</v>
      </c>
    </row>
    <row r="4529" spans="1:7" x14ac:dyDescent="0.2">
      <c r="A4529" t="s">
        <v>64</v>
      </c>
      <c r="B4529" t="s">
        <v>64</v>
      </c>
      <c r="C4529" s="3" t="s">
        <v>64</v>
      </c>
      <c r="D4529" s="16" t="s">
        <v>64</v>
      </c>
      <c r="E4529" s="16">
        <v>0</v>
      </c>
      <c r="F4529" s="16" t="s">
        <v>64</v>
      </c>
      <c r="G4529" s="16" t="s">
        <v>64</v>
      </c>
    </row>
    <row r="4530" spans="1:7" x14ac:dyDescent="0.2">
      <c r="A4530" t="s">
        <v>64</v>
      </c>
      <c r="B4530" t="s">
        <v>64</v>
      </c>
      <c r="C4530" s="3" t="s">
        <v>64</v>
      </c>
      <c r="D4530" s="16" t="s">
        <v>64</v>
      </c>
      <c r="E4530" s="16">
        <v>0</v>
      </c>
      <c r="F4530" s="16" t="s">
        <v>64</v>
      </c>
      <c r="G4530" s="16" t="s">
        <v>64</v>
      </c>
    </row>
    <row r="4531" spans="1:7" x14ac:dyDescent="0.2">
      <c r="A4531" t="s">
        <v>64</v>
      </c>
      <c r="B4531" t="s">
        <v>64</v>
      </c>
      <c r="C4531" s="3" t="s">
        <v>64</v>
      </c>
      <c r="D4531" s="16" t="s">
        <v>64</v>
      </c>
      <c r="E4531" s="16">
        <v>0</v>
      </c>
      <c r="F4531" s="16" t="s">
        <v>64</v>
      </c>
      <c r="G4531" s="16" t="s">
        <v>64</v>
      </c>
    </row>
    <row r="4532" spans="1:7" x14ac:dyDescent="0.2">
      <c r="A4532" t="s">
        <v>64</v>
      </c>
      <c r="B4532" t="s">
        <v>64</v>
      </c>
      <c r="C4532" s="3" t="s">
        <v>64</v>
      </c>
      <c r="D4532" s="16" t="s">
        <v>64</v>
      </c>
      <c r="E4532" s="16">
        <v>0</v>
      </c>
      <c r="F4532" s="16" t="s">
        <v>64</v>
      </c>
      <c r="G4532" s="16" t="s">
        <v>64</v>
      </c>
    </row>
    <row r="4533" spans="1:7" x14ac:dyDescent="0.2">
      <c r="A4533" t="s">
        <v>64</v>
      </c>
      <c r="B4533" t="s">
        <v>64</v>
      </c>
      <c r="C4533" s="3" t="s">
        <v>64</v>
      </c>
      <c r="D4533" s="16" t="s">
        <v>64</v>
      </c>
      <c r="E4533" s="16">
        <v>0</v>
      </c>
      <c r="F4533" s="16" t="s">
        <v>64</v>
      </c>
      <c r="G4533" s="16" t="s">
        <v>64</v>
      </c>
    </row>
    <row r="4534" spans="1:7" x14ac:dyDescent="0.2">
      <c r="A4534" t="s">
        <v>64</v>
      </c>
      <c r="B4534" t="s">
        <v>64</v>
      </c>
      <c r="C4534" s="3" t="s">
        <v>64</v>
      </c>
      <c r="D4534" s="16" t="s">
        <v>64</v>
      </c>
      <c r="E4534" s="16">
        <v>0</v>
      </c>
      <c r="F4534" s="16" t="s">
        <v>64</v>
      </c>
      <c r="G4534" s="16" t="s">
        <v>64</v>
      </c>
    </row>
    <row r="4535" spans="1:7" x14ac:dyDescent="0.2">
      <c r="A4535" t="s">
        <v>64</v>
      </c>
      <c r="B4535" t="s">
        <v>64</v>
      </c>
      <c r="C4535" s="3" t="s">
        <v>64</v>
      </c>
      <c r="D4535" s="16" t="s">
        <v>64</v>
      </c>
      <c r="E4535" s="16">
        <v>0</v>
      </c>
      <c r="F4535" s="16" t="s">
        <v>64</v>
      </c>
      <c r="G4535" s="16" t="s">
        <v>64</v>
      </c>
    </row>
    <row r="4536" spans="1:7" x14ac:dyDescent="0.2">
      <c r="A4536" t="s">
        <v>64</v>
      </c>
      <c r="B4536" t="s">
        <v>64</v>
      </c>
      <c r="C4536" s="3" t="s">
        <v>64</v>
      </c>
      <c r="D4536" s="16" t="s">
        <v>64</v>
      </c>
      <c r="E4536" s="16">
        <v>0</v>
      </c>
      <c r="F4536" s="16" t="s">
        <v>64</v>
      </c>
      <c r="G4536" s="16" t="s">
        <v>64</v>
      </c>
    </row>
    <row r="4537" spans="1:7" x14ac:dyDescent="0.2">
      <c r="A4537" t="s">
        <v>64</v>
      </c>
      <c r="B4537" t="s">
        <v>64</v>
      </c>
      <c r="C4537" s="3" t="s">
        <v>64</v>
      </c>
      <c r="D4537" s="16" t="s">
        <v>64</v>
      </c>
      <c r="E4537" s="16">
        <v>0</v>
      </c>
      <c r="F4537" s="16" t="s">
        <v>64</v>
      </c>
      <c r="G4537" s="16" t="s">
        <v>64</v>
      </c>
    </row>
    <row r="4538" spans="1:7" x14ac:dyDescent="0.2">
      <c r="A4538" t="s">
        <v>64</v>
      </c>
      <c r="B4538" t="s">
        <v>64</v>
      </c>
      <c r="C4538" s="3" t="s">
        <v>64</v>
      </c>
      <c r="D4538" s="16" t="s">
        <v>64</v>
      </c>
      <c r="E4538" s="16">
        <v>0</v>
      </c>
      <c r="F4538" s="16" t="s">
        <v>64</v>
      </c>
      <c r="G4538" s="16" t="s">
        <v>64</v>
      </c>
    </row>
    <row r="4539" spans="1:7" x14ac:dyDescent="0.2">
      <c r="A4539" t="s">
        <v>64</v>
      </c>
      <c r="B4539" t="s">
        <v>64</v>
      </c>
      <c r="C4539" s="3" t="s">
        <v>64</v>
      </c>
      <c r="D4539" s="16" t="s">
        <v>64</v>
      </c>
      <c r="E4539" s="16">
        <v>0</v>
      </c>
      <c r="F4539" s="16" t="s">
        <v>64</v>
      </c>
      <c r="G4539" s="16" t="s">
        <v>64</v>
      </c>
    </row>
    <row r="4540" spans="1:7" x14ac:dyDescent="0.2">
      <c r="A4540" t="s">
        <v>64</v>
      </c>
      <c r="B4540" t="s">
        <v>64</v>
      </c>
      <c r="C4540" s="3" t="s">
        <v>64</v>
      </c>
      <c r="D4540" s="16" t="s">
        <v>64</v>
      </c>
      <c r="E4540" s="16">
        <v>0</v>
      </c>
      <c r="F4540" s="16" t="s">
        <v>64</v>
      </c>
      <c r="G4540" s="16" t="s">
        <v>64</v>
      </c>
    </row>
    <row r="4541" spans="1:7" x14ac:dyDescent="0.2">
      <c r="A4541" t="s">
        <v>64</v>
      </c>
      <c r="B4541" t="s">
        <v>64</v>
      </c>
      <c r="C4541" s="3" t="s">
        <v>64</v>
      </c>
      <c r="D4541" s="16" t="s">
        <v>64</v>
      </c>
      <c r="E4541" s="16">
        <v>0</v>
      </c>
      <c r="F4541" s="16" t="s">
        <v>64</v>
      </c>
      <c r="G4541" s="16" t="s">
        <v>64</v>
      </c>
    </row>
    <row r="4542" spans="1:7" x14ac:dyDescent="0.2">
      <c r="A4542" t="s">
        <v>64</v>
      </c>
      <c r="B4542" t="s">
        <v>64</v>
      </c>
      <c r="C4542" s="3" t="s">
        <v>64</v>
      </c>
      <c r="D4542" s="16" t="s">
        <v>64</v>
      </c>
      <c r="E4542" s="16">
        <v>0</v>
      </c>
      <c r="F4542" s="16" t="s">
        <v>64</v>
      </c>
      <c r="G4542" s="16" t="s">
        <v>64</v>
      </c>
    </row>
    <row r="4543" spans="1:7" x14ac:dyDescent="0.2">
      <c r="A4543" t="s">
        <v>64</v>
      </c>
      <c r="B4543" t="s">
        <v>64</v>
      </c>
      <c r="C4543" s="3" t="s">
        <v>64</v>
      </c>
      <c r="D4543" s="16" t="s">
        <v>64</v>
      </c>
      <c r="E4543" s="16">
        <v>0</v>
      </c>
      <c r="F4543" s="16" t="s">
        <v>64</v>
      </c>
      <c r="G4543" s="16" t="s">
        <v>64</v>
      </c>
    </row>
    <row r="4544" spans="1:7" x14ac:dyDescent="0.2">
      <c r="A4544" t="s">
        <v>64</v>
      </c>
      <c r="B4544" t="s">
        <v>64</v>
      </c>
      <c r="C4544" s="3" t="s">
        <v>64</v>
      </c>
      <c r="D4544" s="16" t="s">
        <v>64</v>
      </c>
      <c r="E4544" s="16">
        <v>0</v>
      </c>
      <c r="F4544" s="16" t="s">
        <v>64</v>
      </c>
      <c r="G4544" s="16" t="s">
        <v>64</v>
      </c>
    </row>
    <row r="4545" spans="1:7" x14ac:dyDescent="0.2">
      <c r="A4545" t="s">
        <v>64</v>
      </c>
      <c r="B4545" t="s">
        <v>64</v>
      </c>
      <c r="C4545" s="3" t="s">
        <v>64</v>
      </c>
      <c r="D4545" s="16" t="s">
        <v>64</v>
      </c>
      <c r="E4545" s="16">
        <v>0</v>
      </c>
      <c r="F4545" s="16" t="s">
        <v>64</v>
      </c>
      <c r="G4545" s="16" t="s">
        <v>64</v>
      </c>
    </row>
    <row r="4546" spans="1:7" x14ac:dyDescent="0.2">
      <c r="A4546" t="s">
        <v>64</v>
      </c>
      <c r="B4546" t="s">
        <v>64</v>
      </c>
      <c r="C4546" s="3" t="s">
        <v>64</v>
      </c>
      <c r="D4546" s="16" t="s">
        <v>64</v>
      </c>
      <c r="E4546" s="16">
        <v>0</v>
      </c>
      <c r="F4546" s="16" t="s">
        <v>64</v>
      </c>
      <c r="G4546" s="16" t="s">
        <v>64</v>
      </c>
    </row>
    <row r="4547" spans="1:7" x14ac:dyDescent="0.2">
      <c r="A4547" t="s">
        <v>64</v>
      </c>
      <c r="B4547" t="s">
        <v>64</v>
      </c>
      <c r="C4547" s="3" t="s">
        <v>64</v>
      </c>
      <c r="D4547" s="16" t="s">
        <v>64</v>
      </c>
      <c r="E4547" s="16">
        <v>0</v>
      </c>
      <c r="F4547" s="16" t="s">
        <v>64</v>
      </c>
      <c r="G4547" s="16" t="s">
        <v>64</v>
      </c>
    </row>
    <row r="4548" spans="1:7" x14ac:dyDescent="0.2">
      <c r="A4548" t="s">
        <v>64</v>
      </c>
      <c r="B4548" t="s">
        <v>64</v>
      </c>
      <c r="C4548" s="3" t="s">
        <v>64</v>
      </c>
      <c r="D4548" s="16" t="s">
        <v>64</v>
      </c>
      <c r="E4548" s="16">
        <v>0</v>
      </c>
      <c r="F4548" s="16" t="s">
        <v>64</v>
      </c>
      <c r="G4548" s="16" t="s">
        <v>64</v>
      </c>
    </row>
    <row r="4549" spans="1:7" x14ac:dyDescent="0.2">
      <c r="A4549" t="s">
        <v>64</v>
      </c>
      <c r="B4549" t="s">
        <v>64</v>
      </c>
      <c r="C4549" s="3" t="s">
        <v>64</v>
      </c>
      <c r="D4549" s="16" t="s">
        <v>64</v>
      </c>
      <c r="E4549" s="16">
        <v>0</v>
      </c>
      <c r="F4549" s="16" t="s">
        <v>64</v>
      </c>
      <c r="G4549" s="16" t="s">
        <v>64</v>
      </c>
    </row>
    <row r="4550" spans="1:7" x14ac:dyDescent="0.2">
      <c r="A4550" t="s">
        <v>64</v>
      </c>
      <c r="B4550" t="s">
        <v>64</v>
      </c>
      <c r="C4550" s="3" t="s">
        <v>64</v>
      </c>
      <c r="D4550" s="16" t="s">
        <v>64</v>
      </c>
      <c r="E4550" s="16">
        <v>0</v>
      </c>
      <c r="F4550" s="16" t="s">
        <v>64</v>
      </c>
      <c r="G4550" s="16" t="s">
        <v>64</v>
      </c>
    </row>
    <row r="4551" spans="1:7" x14ac:dyDescent="0.2">
      <c r="A4551" t="s">
        <v>64</v>
      </c>
      <c r="B4551" t="s">
        <v>64</v>
      </c>
      <c r="C4551" s="3" t="s">
        <v>64</v>
      </c>
      <c r="D4551" s="16" t="s">
        <v>64</v>
      </c>
      <c r="E4551" s="16">
        <v>0</v>
      </c>
      <c r="F4551" s="16" t="s">
        <v>64</v>
      </c>
      <c r="G4551" s="16" t="s">
        <v>64</v>
      </c>
    </row>
    <row r="4552" spans="1:7" x14ac:dyDescent="0.2">
      <c r="A4552" t="s">
        <v>64</v>
      </c>
      <c r="B4552" t="s">
        <v>64</v>
      </c>
      <c r="C4552" s="3" t="s">
        <v>64</v>
      </c>
      <c r="D4552" s="16" t="s">
        <v>64</v>
      </c>
      <c r="E4552" s="16">
        <v>0</v>
      </c>
      <c r="F4552" s="16" t="s">
        <v>64</v>
      </c>
      <c r="G4552" s="16" t="s">
        <v>64</v>
      </c>
    </row>
    <row r="4553" spans="1:7" x14ac:dyDescent="0.2">
      <c r="A4553" t="s">
        <v>64</v>
      </c>
      <c r="B4553" t="s">
        <v>64</v>
      </c>
      <c r="C4553" s="3" t="s">
        <v>64</v>
      </c>
      <c r="D4553" s="16" t="s">
        <v>64</v>
      </c>
      <c r="E4553" s="16">
        <v>0</v>
      </c>
      <c r="F4553" s="16" t="s">
        <v>64</v>
      </c>
      <c r="G4553" s="16" t="s">
        <v>64</v>
      </c>
    </row>
    <row r="4554" spans="1:7" x14ac:dyDescent="0.2">
      <c r="A4554" t="s">
        <v>64</v>
      </c>
      <c r="B4554" t="s">
        <v>64</v>
      </c>
      <c r="C4554" s="3" t="s">
        <v>64</v>
      </c>
      <c r="D4554" s="16" t="s">
        <v>64</v>
      </c>
      <c r="E4554" s="16">
        <v>0</v>
      </c>
      <c r="F4554" s="16" t="s">
        <v>64</v>
      </c>
      <c r="G4554" s="16" t="s">
        <v>64</v>
      </c>
    </row>
    <row r="4555" spans="1:7" x14ac:dyDescent="0.2">
      <c r="A4555" t="s">
        <v>64</v>
      </c>
      <c r="B4555" t="s">
        <v>64</v>
      </c>
      <c r="C4555" s="3" t="s">
        <v>64</v>
      </c>
      <c r="D4555" s="16" t="s">
        <v>64</v>
      </c>
      <c r="E4555" s="16">
        <v>0</v>
      </c>
      <c r="F4555" s="16" t="s">
        <v>64</v>
      </c>
      <c r="G4555" s="16" t="s">
        <v>64</v>
      </c>
    </row>
    <row r="4556" spans="1:7" x14ac:dyDescent="0.2">
      <c r="A4556" t="s">
        <v>64</v>
      </c>
      <c r="B4556" t="s">
        <v>64</v>
      </c>
      <c r="C4556" s="3" t="s">
        <v>64</v>
      </c>
      <c r="D4556" s="16" t="s">
        <v>64</v>
      </c>
      <c r="E4556" s="16">
        <v>0</v>
      </c>
      <c r="F4556" s="16" t="s">
        <v>64</v>
      </c>
      <c r="G4556" s="16" t="s">
        <v>64</v>
      </c>
    </row>
    <row r="4557" spans="1:7" x14ac:dyDescent="0.2">
      <c r="A4557" t="s">
        <v>64</v>
      </c>
      <c r="B4557" t="s">
        <v>64</v>
      </c>
      <c r="C4557" s="3" t="s">
        <v>64</v>
      </c>
      <c r="D4557" s="16" t="s">
        <v>64</v>
      </c>
      <c r="E4557" s="16">
        <v>0</v>
      </c>
      <c r="F4557" s="16" t="s">
        <v>64</v>
      </c>
      <c r="G4557" s="16" t="s">
        <v>64</v>
      </c>
    </row>
    <row r="4558" spans="1:7" x14ac:dyDescent="0.2">
      <c r="A4558" t="s">
        <v>64</v>
      </c>
      <c r="B4558" t="s">
        <v>64</v>
      </c>
      <c r="C4558" s="3" t="s">
        <v>64</v>
      </c>
      <c r="D4558" s="16" t="s">
        <v>64</v>
      </c>
      <c r="E4558" s="16">
        <v>0</v>
      </c>
      <c r="F4558" s="16" t="s">
        <v>64</v>
      </c>
      <c r="G4558" s="16" t="s">
        <v>64</v>
      </c>
    </row>
    <row r="4559" spans="1:7" x14ac:dyDescent="0.2">
      <c r="A4559" t="s">
        <v>64</v>
      </c>
      <c r="B4559" t="s">
        <v>64</v>
      </c>
      <c r="C4559" s="3" t="s">
        <v>64</v>
      </c>
      <c r="D4559" s="16" t="s">
        <v>64</v>
      </c>
      <c r="E4559" s="16">
        <v>0</v>
      </c>
      <c r="F4559" s="16" t="s">
        <v>64</v>
      </c>
      <c r="G4559" s="16" t="s">
        <v>64</v>
      </c>
    </row>
    <row r="4560" spans="1:7" x14ac:dyDescent="0.2">
      <c r="A4560" t="s">
        <v>64</v>
      </c>
      <c r="B4560" t="s">
        <v>64</v>
      </c>
      <c r="C4560" s="3" t="s">
        <v>64</v>
      </c>
      <c r="D4560" s="16" t="s">
        <v>64</v>
      </c>
      <c r="E4560" s="16">
        <v>0</v>
      </c>
      <c r="F4560" s="16" t="s">
        <v>64</v>
      </c>
      <c r="G4560" s="16" t="s">
        <v>64</v>
      </c>
    </row>
    <row r="4561" spans="1:7" x14ac:dyDescent="0.2">
      <c r="A4561" t="s">
        <v>64</v>
      </c>
      <c r="B4561" t="s">
        <v>64</v>
      </c>
      <c r="C4561" s="3" t="s">
        <v>64</v>
      </c>
      <c r="D4561" s="16" t="s">
        <v>64</v>
      </c>
      <c r="E4561" s="16">
        <v>0</v>
      </c>
      <c r="F4561" s="16" t="s">
        <v>64</v>
      </c>
      <c r="G4561" s="16" t="s">
        <v>64</v>
      </c>
    </row>
    <row r="4562" spans="1:7" x14ac:dyDescent="0.2">
      <c r="A4562" t="s">
        <v>64</v>
      </c>
      <c r="B4562" t="s">
        <v>64</v>
      </c>
      <c r="C4562" s="3" t="s">
        <v>64</v>
      </c>
      <c r="D4562" s="16" t="s">
        <v>64</v>
      </c>
      <c r="E4562" s="16">
        <v>0</v>
      </c>
      <c r="F4562" s="16" t="s">
        <v>64</v>
      </c>
      <c r="G4562" s="16" t="s">
        <v>64</v>
      </c>
    </row>
    <row r="4563" spans="1:7" x14ac:dyDescent="0.2">
      <c r="A4563" t="s">
        <v>64</v>
      </c>
      <c r="B4563" t="s">
        <v>64</v>
      </c>
      <c r="C4563" s="3" t="s">
        <v>64</v>
      </c>
      <c r="D4563" s="16" t="s">
        <v>64</v>
      </c>
      <c r="E4563" s="16">
        <v>0</v>
      </c>
      <c r="F4563" s="16" t="s">
        <v>64</v>
      </c>
      <c r="G4563" s="16" t="s">
        <v>64</v>
      </c>
    </row>
    <row r="4564" spans="1:7" x14ac:dyDescent="0.2">
      <c r="A4564" t="s">
        <v>64</v>
      </c>
      <c r="B4564" t="s">
        <v>64</v>
      </c>
      <c r="C4564" s="3" t="s">
        <v>64</v>
      </c>
      <c r="D4564" s="16" t="s">
        <v>64</v>
      </c>
      <c r="E4564" s="16">
        <v>0</v>
      </c>
      <c r="F4564" s="16" t="s">
        <v>64</v>
      </c>
      <c r="G4564" s="16" t="s">
        <v>64</v>
      </c>
    </row>
    <row r="4565" spans="1:7" x14ac:dyDescent="0.2">
      <c r="A4565" t="s">
        <v>64</v>
      </c>
      <c r="B4565" t="s">
        <v>64</v>
      </c>
      <c r="C4565" s="3" t="s">
        <v>64</v>
      </c>
      <c r="D4565" s="16" t="s">
        <v>64</v>
      </c>
      <c r="E4565" s="16">
        <v>0</v>
      </c>
      <c r="F4565" s="16" t="s">
        <v>64</v>
      </c>
      <c r="G4565" s="16" t="s">
        <v>64</v>
      </c>
    </row>
    <row r="4566" spans="1:7" x14ac:dyDescent="0.2">
      <c r="A4566" t="s">
        <v>64</v>
      </c>
      <c r="B4566" t="s">
        <v>64</v>
      </c>
      <c r="C4566" s="3" t="s">
        <v>64</v>
      </c>
      <c r="D4566" s="16" t="s">
        <v>64</v>
      </c>
      <c r="E4566" s="16">
        <v>0</v>
      </c>
      <c r="F4566" s="16" t="s">
        <v>64</v>
      </c>
      <c r="G4566" s="16" t="s">
        <v>64</v>
      </c>
    </row>
    <row r="4567" spans="1:7" x14ac:dyDescent="0.2">
      <c r="A4567" t="s">
        <v>64</v>
      </c>
      <c r="B4567" t="s">
        <v>64</v>
      </c>
      <c r="C4567" s="3" t="s">
        <v>64</v>
      </c>
      <c r="D4567" s="16" t="s">
        <v>64</v>
      </c>
      <c r="E4567" s="16">
        <v>0</v>
      </c>
      <c r="F4567" s="16" t="s">
        <v>64</v>
      </c>
      <c r="G4567" s="16" t="s">
        <v>64</v>
      </c>
    </row>
    <row r="4568" spans="1:7" x14ac:dyDescent="0.2">
      <c r="A4568" t="s">
        <v>64</v>
      </c>
      <c r="B4568" t="s">
        <v>64</v>
      </c>
      <c r="C4568" s="3" t="s">
        <v>64</v>
      </c>
      <c r="D4568" s="16" t="s">
        <v>64</v>
      </c>
      <c r="E4568" s="16">
        <v>0</v>
      </c>
      <c r="F4568" s="16" t="s">
        <v>64</v>
      </c>
      <c r="G4568" s="16" t="s">
        <v>64</v>
      </c>
    </row>
    <row r="4569" spans="1:7" x14ac:dyDescent="0.2">
      <c r="A4569" t="s">
        <v>64</v>
      </c>
      <c r="B4569" t="s">
        <v>64</v>
      </c>
      <c r="C4569" s="3" t="s">
        <v>64</v>
      </c>
      <c r="D4569" s="16" t="s">
        <v>64</v>
      </c>
      <c r="E4569" s="16">
        <v>0</v>
      </c>
      <c r="F4569" s="16" t="s">
        <v>64</v>
      </c>
      <c r="G4569" s="16" t="s">
        <v>64</v>
      </c>
    </row>
    <row r="4570" spans="1:7" x14ac:dyDescent="0.2">
      <c r="A4570" t="s">
        <v>64</v>
      </c>
      <c r="B4570" t="s">
        <v>64</v>
      </c>
      <c r="C4570" s="3" t="s">
        <v>64</v>
      </c>
      <c r="D4570" s="16" t="s">
        <v>64</v>
      </c>
      <c r="E4570" s="16">
        <v>0</v>
      </c>
      <c r="F4570" s="16" t="s">
        <v>64</v>
      </c>
      <c r="G4570" s="16" t="s">
        <v>64</v>
      </c>
    </row>
    <row r="4571" spans="1:7" x14ac:dyDescent="0.2">
      <c r="A4571" t="s">
        <v>64</v>
      </c>
      <c r="B4571" t="s">
        <v>64</v>
      </c>
      <c r="C4571" s="3" t="s">
        <v>64</v>
      </c>
      <c r="D4571" s="16" t="s">
        <v>64</v>
      </c>
      <c r="E4571" s="16">
        <v>0</v>
      </c>
      <c r="F4571" s="16" t="s">
        <v>64</v>
      </c>
      <c r="G4571" s="16" t="s">
        <v>64</v>
      </c>
    </row>
    <row r="4572" spans="1:7" x14ac:dyDescent="0.2">
      <c r="A4572" t="s">
        <v>64</v>
      </c>
      <c r="B4572" t="s">
        <v>64</v>
      </c>
      <c r="C4572" s="3" t="s">
        <v>64</v>
      </c>
      <c r="D4572" s="16" t="s">
        <v>64</v>
      </c>
      <c r="E4572" s="16">
        <v>0</v>
      </c>
      <c r="F4572" s="16" t="s">
        <v>64</v>
      </c>
      <c r="G4572" s="16" t="s">
        <v>64</v>
      </c>
    </row>
    <row r="4573" spans="1:7" x14ac:dyDescent="0.2">
      <c r="A4573" t="s">
        <v>64</v>
      </c>
      <c r="B4573" t="s">
        <v>64</v>
      </c>
      <c r="C4573" s="3" t="s">
        <v>64</v>
      </c>
      <c r="D4573" s="16" t="s">
        <v>64</v>
      </c>
      <c r="E4573" s="16">
        <v>0</v>
      </c>
      <c r="F4573" s="16" t="s">
        <v>64</v>
      </c>
      <c r="G4573" s="16" t="s">
        <v>64</v>
      </c>
    </row>
    <row r="4574" spans="1:7" x14ac:dyDescent="0.2">
      <c r="A4574" t="s">
        <v>64</v>
      </c>
      <c r="B4574" t="s">
        <v>64</v>
      </c>
      <c r="C4574" s="3" t="s">
        <v>64</v>
      </c>
      <c r="D4574" s="16" t="s">
        <v>64</v>
      </c>
      <c r="E4574" s="16">
        <v>0</v>
      </c>
      <c r="F4574" s="16" t="s">
        <v>64</v>
      </c>
      <c r="G4574" s="16" t="s">
        <v>64</v>
      </c>
    </row>
    <row r="4575" spans="1:7" x14ac:dyDescent="0.2">
      <c r="A4575" t="s">
        <v>64</v>
      </c>
      <c r="B4575" t="s">
        <v>64</v>
      </c>
      <c r="C4575" s="3" t="s">
        <v>64</v>
      </c>
      <c r="D4575" s="16" t="s">
        <v>64</v>
      </c>
      <c r="E4575" s="16">
        <v>0</v>
      </c>
      <c r="F4575" s="16" t="s">
        <v>64</v>
      </c>
      <c r="G4575" s="16" t="s">
        <v>64</v>
      </c>
    </row>
    <row r="4576" spans="1:7" x14ac:dyDescent="0.2">
      <c r="A4576" t="s">
        <v>64</v>
      </c>
      <c r="B4576" t="s">
        <v>64</v>
      </c>
      <c r="C4576" s="3" t="s">
        <v>64</v>
      </c>
      <c r="D4576" s="16" t="s">
        <v>64</v>
      </c>
      <c r="E4576" s="16">
        <v>0</v>
      </c>
      <c r="F4576" s="16" t="s">
        <v>64</v>
      </c>
      <c r="G4576" s="16" t="s">
        <v>64</v>
      </c>
    </row>
    <row r="4577" spans="1:7" x14ac:dyDescent="0.2">
      <c r="A4577" t="s">
        <v>64</v>
      </c>
      <c r="B4577" t="s">
        <v>64</v>
      </c>
      <c r="C4577" s="3" t="s">
        <v>64</v>
      </c>
      <c r="D4577" s="16" t="s">
        <v>64</v>
      </c>
      <c r="E4577" s="16">
        <v>0</v>
      </c>
      <c r="F4577" s="16" t="s">
        <v>64</v>
      </c>
      <c r="G4577" s="16" t="s">
        <v>64</v>
      </c>
    </row>
    <row r="4578" spans="1:7" x14ac:dyDescent="0.2">
      <c r="A4578" t="s">
        <v>64</v>
      </c>
      <c r="B4578" t="s">
        <v>64</v>
      </c>
      <c r="C4578" s="3" t="s">
        <v>64</v>
      </c>
      <c r="D4578" s="16" t="s">
        <v>64</v>
      </c>
      <c r="E4578" s="16">
        <v>0</v>
      </c>
      <c r="F4578" s="16" t="s">
        <v>64</v>
      </c>
      <c r="G4578" s="16" t="s">
        <v>64</v>
      </c>
    </row>
    <row r="4579" spans="1:7" x14ac:dyDescent="0.2">
      <c r="A4579" t="s">
        <v>64</v>
      </c>
      <c r="B4579" t="s">
        <v>64</v>
      </c>
      <c r="C4579" s="3" t="s">
        <v>64</v>
      </c>
      <c r="D4579" s="16" t="s">
        <v>64</v>
      </c>
      <c r="E4579" s="16">
        <v>0</v>
      </c>
      <c r="F4579" s="16" t="s">
        <v>64</v>
      </c>
      <c r="G4579" s="16" t="s">
        <v>64</v>
      </c>
    </row>
    <row r="4580" spans="1:7" x14ac:dyDescent="0.2">
      <c r="A4580" t="s">
        <v>64</v>
      </c>
      <c r="B4580" t="s">
        <v>64</v>
      </c>
      <c r="C4580" s="3" t="s">
        <v>64</v>
      </c>
      <c r="D4580" s="16" t="s">
        <v>64</v>
      </c>
      <c r="E4580" s="16">
        <v>0</v>
      </c>
      <c r="F4580" s="16" t="s">
        <v>64</v>
      </c>
      <c r="G4580" s="16" t="s">
        <v>64</v>
      </c>
    </row>
    <row r="4581" spans="1:7" x14ac:dyDescent="0.2">
      <c r="A4581" t="s">
        <v>64</v>
      </c>
      <c r="B4581" t="s">
        <v>64</v>
      </c>
      <c r="C4581" s="3" t="s">
        <v>64</v>
      </c>
      <c r="D4581" s="16" t="s">
        <v>64</v>
      </c>
      <c r="E4581" s="16">
        <v>0</v>
      </c>
      <c r="F4581" s="16" t="s">
        <v>64</v>
      </c>
      <c r="G4581" s="16" t="s">
        <v>64</v>
      </c>
    </row>
    <row r="4582" spans="1:7" x14ac:dyDescent="0.2">
      <c r="A4582" t="s">
        <v>64</v>
      </c>
      <c r="B4582" t="s">
        <v>64</v>
      </c>
      <c r="C4582" s="3" t="s">
        <v>64</v>
      </c>
      <c r="D4582" s="16" t="s">
        <v>64</v>
      </c>
      <c r="E4582" s="16">
        <v>0</v>
      </c>
      <c r="F4582" s="16" t="s">
        <v>64</v>
      </c>
      <c r="G4582" s="16" t="s">
        <v>64</v>
      </c>
    </row>
    <row r="4583" spans="1:7" x14ac:dyDescent="0.2">
      <c r="A4583" t="s">
        <v>64</v>
      </c>
      <c r="B4583" t="s">
        <v>64</v>
      </c>
      <c r="C4583" s="3" t="s">
        <v>64</v>
      </c>
      <c r="D4583" s="16" t="s">
        <v>64</v>
      </c>
      <c r="E4583" s="16">
        <v>0</v>
      </c>
      <c r="F4583" s="16" t="s">
        <v>64</v>
      </c>
      <c r="G4583" s="16" t="s">
        <v>64</v>
      </c>
    </row>
    <row r="4584" spans="1:7" x14ac:dyDescent="0.2">
      <c r="A4584" t="s">
        <v>64</v>
      </c>
      <c r="B4584" t="s">
        <v>64</v>
      </c>
      <c r="C4584" s="3" t="s">
        <v>64</v>
      </c>
      <c r="D4584" s="16" t="s">
        <v>64</v>
      </c>
      <c r="E4584" s="16">
        <v>0</v>
      </c>
      <c r="F4584" s="16" t="s">
        <v>64</v>
      </c>
      <c r="G4584" s="16" t="s">
        <v>64</v>
      </c>
    </row>
    <row r="4585" spans="1:7" x14ac:dyDescent="0.2">
      <c r="A4585" t="s">
        <v>64</v>
      </c>
      <c r="B4585" t="s">
        <v>64</v>
      </c>
      <c r="C4585" s="3" t="s">
        <v>64</v>
      </c>
      <c r="D4585" s="16" t="s">
        <v>64</v>
      </c>
      <c r="E4585" s="16">
        <v>0</v>
      </c>
      <c r="F4585" s="16" t="s">
        <v>64</v>
      </c>
      <c r="G4585" s="16" t="s">
        <v>64</v>
      </c>
    </row>
    <row r="4586" spans="1:7" x14ac:dyDescent="0.2">
      <c r="A4586" t="s">
        <v>64</v>
      </c>
      <c r="B4586" t="s">
        <v>64</v>
      </c>
      <c r="C4586" s="3" t="s">
        <v>64</v>
      </c>
      <c r="D4586" s="16" t="s">
        <v>64</v>
      </c>
      <c r="E4586" s="16">
        <v>0</v>
      </c>
      <c r="F4586" s="16" t="s">
        <v>64</v>
      </c>
      <c r="G4586" s="16" t="s">
        <v>64</v>
      </c>
    </row>
    <row r="4587" spans="1:7" x14ac:dyDescent="0.2">
      <c r="A4587" t="s">
        <v>64</v>
      </c>
      <c r="B4587" t="s">
        <v>64</v>
      </c>
      <c r="C4587" s="3" t="s">
        <v>64</v>
      </c>
      <c r="D4587" s="16" t="s">
        <v>64</v>
      </c>
      <c r="E4587" s="16">
        <v>0</v>
      </c>
      <c r="F4587" s="16" t="s">
        <v>64</v>
      </c>
      <c r="G4587" s="16" t="s">
        <v>64</v>
      </c>
    </row>
    <row r="4588" spans="1:7" x14ac:dyDescent="0.2">
      <c r="A4588" t="s">
        <v>64</v>
      </c>
      <c r="B4588" t="s">
        <v>64</v>
      </c>
      <c r="C4588" s="3" t="s">
        <v>64</v>
      </c>
      <c r="D4588" s="16" t="s">
        <v>64</v>
      </c>
      <c r="E4588" s="16">
        <v>0</v>
      </c>
      <c r="F4588" s="16" t="s">
        <v>64</v>
      </c>
      <c r="G4588" s="16" t="s">
        <v>64</v>
      </c>
    </row>
    <row r="4589" spans="1:7" x14ac:dyDescent="0.2">
      <c r="A4589" t="s">
        <v>64</v>
      </c>
      <c r="B4589" t="s">
        <v>64</v>
      </c>
      <c r="C4589" s="3" t="s">
        <v>64</v>
      </c>
      <c r="D4589" s="16" t="s">
        <v>64</v>
      </c>
      <c r="E4589" s="16">
        <v>0</v>
      </c>
      <c r="F4589" s="16" t="s">
        <v>64</v>
      </c>
      <c r="G4589" s="16" t="s">
        <v>64</v>
      </c>
    </row>
    <row r="4590" spans="1:7" x14ac:dyDescent="0.2">
      <c r="A4590" t="s">
        <v>64</v>
      </c>
      <c r="B4590" t="s">
        <v>64</v>
      </c>
      <c r="C4590" s="3" t="s">
        <v>64</v>
      </c>
      <c r="D4590" s="16" t="s">
        <v>64</v>
      </c>
      <c r="E4590" s="16">
        <v>0</v>
      </c>
      <c r="F4590" s="16" t="s">
        <v>64</v>
      </c>
      <c r="G4590" s="16" t="s">
        <v>64</v>
      </c>
    </row>
    <row r="4591" spans="1:7" x14ac:dyDescent="0.2">
      <c r="A4591" t="s">
        <v>64</v>
      </c>
      <c r="B4591" t="s">
        <v>64</v>
      </c>
      <c r="C4591" s="3" t="s">
        <v>64</v>
      </c>
      <c r="D4591" s="16" t="s">
        <v>64</v>
      </c>
      <c r="E4591" s="16">
        <v>0</v>
      </c>
      <c r="F4591" s="16" t="s">
        <v>64</v>
      </c>
      <c r="G4591" s="16" t="s">
        <v>64</v>
      </c>
    </row>
    <row r="4592" spans="1:7" x14ac:dyDescent="0.2">
      <c r="A4592" t="s">
        <v>64</v>
      </c>
      <c r="B4592" t="s">
        <v>64</v>
      </c>
      <c r="C4592" s="3" t="s">
        <v>64</v>
      </c>
      <c r="D4592" s="16" t="s">
        <v>64</v>
      </c>
      <c r="E4592" s="16">
        <v>0</v>
      </c>
      <c r="F4592" s="16" t="s">
        <v>64</v>
      </c>
      <c r="G4592" s="16" t="s">
        <v>64</v>
      </c>
    </row>
    <row r="4593" spans="1:7" x14ac:dyDescent="0.2">
      <c r="A4593" t="s">
        <v>64</v>
      </c>
      <c r="B4593" t="s">
        <v>64</v>
      </c>
      <c r="C4593" s="3" t="s">
        <v>64</v>
      </c>
      <c r="D4593" s="16" t="s">
        <v>64</v>
      </c>
      <c r="E4593" s="16">
        <v>0</v>
      </c>
      <c r="F4593" s="16" t="s">
        <v>64</v>
      </c>
      <c r="G4593" s="16" t="s">
        <v>64</v>
      </c>
    </row>
    <row r="4594" spans="1:7" x14ac:dyDescent="0.2">
      <c r="A4594" t="s">
        <v>64</v>
      </c>
      <c r="B4594" t="s">
        <v>64</v>
      </c>
      <c r="C4594" s="3" t="s">
        <v>64</v>
      </c>
      <c r="D4594" s="16" t="s">
        <v>64</v>
      </c>
      <c r="E4594" s="16">
        <v>0</v>
      </c>
      <c r="F4594" s="16" t="s">
        <v>64</v>
      </c>
      <c r="G4594" s="16" t="s">
        <v>64</v>
      </c>
    </row>
    <row r="4595" spans="1:7" x14ac:dyDescent="0.2">
      <c r="A4595" t="s">
        <v>64</v>
      </c>
      <c r="B4595" t="s">
        <v>64</v>
      </c>
      <c r="C4595" s="3" t="s">
        <v>64</v>
      </c>
      <c r="D4595" s="16" t="s">
        <v>64</v>
      </c>
      <c r="E4595" s="16">
        <v>0</v>
      </c>
      <c r="F4595" s="16" t="s">
        <v>64</v>
      </c>
      <c r="G4595" s="16" t="s">
        <v>64</v>
      </c>
    </row>
    <row r="4596" spans="1:7" x14ac:dyDescent="0.2">
      <c r="A4596" t="s">
        <v>64</v>
      </c>
      <c r="B4596" t="s">
        <v>64</v>
      </c>
      <c r="C4596" s="3" t="s">
        <v>64</v>
      </c>
      <c r="D4596" s="16" t="s">
        <v>64</v>
      </c>
      <c r="E4596" s="16">
        <v>0</v>
      </c>
      <c r="F4596" s="16" t="s">
        <v>64</v>
      </c>
      <c r="G4596" s="16" t="s">
        <v>64</v>
      </c>
    </row>
    <row r="4597" spans="1:7" x14ac:dyDescent="0.2">
      <c r="A4597" t="s">
        <v>64</v>
      </c>
      <c r="B4597" t="s">
        <v>64</v>
      </c>
      <c r="C4597" s="3" t="s">
        <v>64</v>
      </c>
      <c r="D4597" s="16" t="s">
        <v>64</v>
      </c>
      <c r="E4597" s="16">
        <v>0</v>
      </c>
      <c r="F4597" s="16" t="s">
        <v>64</v>
      </c>
      <c r="G4597" s="16" t="s">
        <v>64</v>
      </c>
    </row>
    <row r="4598" spans="1:7" x14ac:dyDescent="0.2">
      <c r="A4598" t="s">
        <v>64</v>
      </c>
      <c r="B4598" t="s">
        <v>64</v>
      </c>
      <c r="C4598" s="3" t="s">
        <v>64</v>
      </c>
      <c r="D4598" s="16" t="s">
        <v>64</v>
      </c>
      <c r="E4598" s="16">
        <v>0</v>
      </c>
      <c r="F4598" s="16" t="s">
        <v>64</v>
      </c>
      <c r="G4598" s="16" t="s">
        <v>64</v>
      </c>
    </row>
    <row r="4599" spans="1:7" x14ac:dyDescent="0.2">
      <c r="A4599" t="s">
        <v>64</v>
      </c>
      <c r="B4599" t="s">
        <v>64</v>
      </c>
      <c r="C4599" s="3" t="s">
        <v>64</v>
      </c>
      <c r="D4599" s="16" t="s">
        <v>64</v>
      </c>
      <c r="E4599" s="16">
        <v>0</v>
      </c>
      <c r="F4599" s="16" t="s">
        <v>64</v>
      </c>
      <c r="G4599" s="16" t="s">
        <v>64</v>
      </c>
    </row>
    <row r="4600" spans="1:7" x14ac:dyDescent="0.2">
      <c r="A4600" t="s">
        <v>64</v>
      </c>
      <c r="B4600" t="s">
        <v>64</v>
      </c>
      <c r="C4600" s="3" t="s">
        <v>64</v>
      </c>
      <c r="D4600" s="16" t="s">
        <v>64</v>
      </c>
      <c r="E4600" s="16">
        <v>0</v>
      </c>
      <c r="F4600" s="16" t="s">
        <v>64</v>
      </c>
      <c r="G4600" s="16" t="s">
        <v>64</v>
      </c>
    </row>
    <row r="4601" spans="1:7" x14ac:dyDescent="0.2">
      <c r="A4601" t="s">
        <v>64</v>
      </c>
      <c r="B4601" t="s">
        <v>64</v>
      </c>
      <c r="C4601" s="3" t="s">
        <v>64</v>
      </c>
      <c r="D4601" s="16" t="s">
        <v>64</v>
      </c>
      <c r="E4601" s="16">
        <v>0</v>
      </c>
      <c r="F4601" s="16" t="s">
        <v>64</v>
      </c>
      <c r="G4601" s="16" t="s">
        <v>64</v>
      </c>
    </row>
    <row r="4602" spans="1:7" x14ac:dyDescent="0.2">
      <c r="A4602" t="s">
        <v>64</v>
      </c>
      <c r="B4602" t="s">
        <v>64</v>
      </c>
      <c r="C4602" s="3" t="s">
        <v>64</v>
      </c>
      <c r="D4602" s="16" t="s">
        <v>64</v>
      </c>
      <c r="E4602" s="16">
        <v>0</v>
      </c>
      <c r="F4602" s="16" t="s">
        <v>64</v>
      </c>
      <c r="G4602" s="16" t="s">
        <v>64</v>
      </c>
    </row>
    <row r="4603" spans="1:7" x14ac:dyDescent="0.2">
      <c r="A4603" t="s">
        <v>64</v>
      </c>
      <c r="B4603" t="s">
        <v>64</v>
      </c>
      <c r="C4603" s="3" t="s">
        <v>64</v>
      </c>
      <c r="D4603" s="16" t="s">
        <v>64</v>
      </c>
      <c r="E4603" s="16">
        <v>0</v>
      </c>
      <c r="F4603" s="16" t="s">
        <v>64</v>
      </c>
      <c r="G4603" s="16" t="s">
        <v>64</v>
      </c>
    </row>
    <row r="4604" spans="1:7" x14ac:dyDescent="0.2">
      <c r="A4604" t="s">
        <v>64</v>
      </c>
      <c r="B4604" t="s">
        <v>64</v>
      </c>
      <c r="C4604" s="3" t="s">
        <v>64</v>
      </c>
      <c r="D4604" s="16" t="s">
        <v>64</v>
      </c>
      <c r="E4604" s="16">
        <v>0</v>
      </c>
      <c r="F4604" s="16" t="s">
        <v>64</v>
      </c>
      <c r="G4604" s="16" t="s">
        <v>64</v>
      </c>
    </row>
    <row r="4605" spans="1:7" x14ac:dyDescent="0.2">
      <c r="A4605" t="s">
        <v>64</v>
      </c>
      <c r="B4605" t="s">
        <v>64</v>
      </c>
      <c r="C4605" s="3" t="s">
        <v>64</v>
      </c>
      <c r="D4605" s="16" t="s">
        <v>64</v>
      </c>
      <c r="E4605" s="16">
        <v>0</v>
      </c>
      <c r="F4605" s="16" t="s">
        <v>64</v>
      </c>
      <c r="G4605" s="16" t="s">
        <v>64</v>
      </c>
    </row>
    <row r="4606" spans="1:7" x14ac:dyDescent="0.2">
      <c r="A4606" t="s">
        <v>64</v>
      </c>
      <c r="B4606" t="s">
        <v>64</v>
      </c>
      <c r="C4606" s="3" t="s">
        <v>64</v>
      </c>
      <c r="D4606" s="16" t="s">
        <v>64</v>
      </c>
      <c r="E4606" s="16">
        <v>0</v>
      </c>
      <c r="F4606" s="16" t="s">
        <v>64</v>
      </c>
      <c r="G4606" s="16" t="s">
        <v>64</v>
      </c>
    </row>
    <row r="4607" spans="1:7" x14ac:dyDescent="0.2">
      <c r="A4607" t="s">
        <v>64</v>
      </c>
      <c r="B4607" t="s">
        <v>64</v>
      </c>
      <c r="C4607" s="3" t="s">
        <v>64</v>
      </c>
      <c r="D4607" s="16" t="s">
        <v>64</v>
      </c>
      <c r="E4607" s="16">
        <v>0</v>
      </c>
      <c r="F4607" s="16" t="s">
        <v>64</v>
      </c>
      <c r="G4607" s="16" t="s">
        <v>64</v>
      </c>
    </row>
    <row r="4608" spans="1:7" x14ac:dyDescent="0.2">
      <c r="A4608" t="s">
        <v>64</v>
      </c>
      <c r="B4608" t="s">
        <v>64</v>
      </c>
      <c r="C4608" s="3" t="s">
        <v>64</v>
      </c>
      <c r="D4608" s="16" t="s">
        <v>64</v>
      </c>
      <c r="E4608" s="16">
        <v>0</v>
      </c>
      <c r="F4608" s="16" t="s">
        <v>64</v>
      </c>
      <c r="G4608" s="16" t="s">
        <v>64</v>
      </c>
    </row>
    <row r="4609" spans="1:7" x14ac:dyDescent="0.2">
      <c r="A4609" t="s">
        <v>64</v>
      </c>
      <c r="B4609" t="s">
        <v>64</v>
      </c>
      <c r="C4609" s="3" t="s">
        <v>64</v>
      </c>
      <c r="D4609" s="16" t="s">
        <v>64</v>
      </c>
      <c r="E4609" s="16">
        <v>0</v>
      </c>
      <c r="F4609" s="16" t="s">
        <v>64</v>
      </c>
      <c r="G4609" s="16" t="s">
        <v>64</v>
      </c>
    </row>
    <row r="4610" spans="1:7" x14ac:dyDescent="0.2">
      <c r="A4610" t="s">
        <v>64</v>
      </c>
      <c r="B4610" t="s">
        <v>64</v>
      </c>
      <c r="C4610" s="3" t="s">
        <v>64</v>
      </c>
      <c r="D4610" s="16" t="s">
        <v>64</v>
      </c>
      <c r="E4610" s="16">
        <v>0</v>
      </c>
      <c r="F4610" s="16" t="s">
        <v>64</v>
      </c>
      <c r="G4610" s="16" t="s">
        <v>64</v>
      </c>
    </row>
    <row r="4611" spans="1:7" x14ac:dyDescent="0.2">
      <c r="A4611" t="s">
        <v>64</v>
      </c>
      <c r="B4611" t="s">
        <v>64</v>
      </c>
      <c r="C4611" s="3" t="s">
        <v>64</v>
      </c>
      <c r="D4611" s="16" t="s">
        <v>64</v>
      </c>
      <c r="E4611" s="16">
        <v>0</v>
      </c>
      <c r="F4611" s="16" t="s">
        <v>64</v>
      </c>
      <c r="G4611" s="16" t="s">
        <v>64</v>
      </c>
    </row>
    <row r="4612" spans="1:7" x14ac:dyDescent="0.2">
      <c r="A4612" t="s">
        <v>64</v>
      </c>
      <c r="B4612" t="s">
        <v>64</v>
      </c>
      <c r="C4612" s="3" t="s">
        <v>64</v>
      </c>
      <c r="D4612" s="16" t="s">
        <v>64</v>
      </c>
      <c r="E4612" s="16">
        <v>0</v>
      </c>
      <c r="F4612" s="16" t="s">
        <v>64</v>
      </c>
      <c r="G4612" s="16" t="s">
        <v>64</v>
      </c>
    </row>
    <row r="4613" spans="1:7" x14ac:dyDescent="0.2">
      <c r="A4613" t="s">
        <v>64</v>
      </c>
      <c r="B4613" t="s">
        <v>64</v>
      </c>
      <c r="C4613" s="3" t="s">
        <v>64</v>
      </c>
      <c r="D4613" s="16" t="s">
        <v>64</v>
      </c>
      <c r="E4613" s="16">
        <v>0</v>
      </c>
      <c r="F4613" s="16" t="s">
        <v>64</v>
      </c>
      <c r="G4613" s="16" t="s">
        <v>64</v>
      </c>
    </row>
    <row r="4614" spans="1:7" x14ac:dyDescent="0.2">
      <c r="A4614" t="s">
        <v>64</v>
      </c>
      <c r="B4614" t="s">
        <v>64</v>
      </c>
      <c r="C4614" s="3" t="s">
        <v>64</v>
      </c>
      <c r="D4614" s="16" t="s">
        <v>64</v>
      </c>
      <c r="E4614" s="16">
        <v>0</v>
      </c>
      <c r="F4614" s="16" t="s">
        <v>64</v>
      </c>
      <c r="G4614" s="16" t="s">
        <v>64</v>
      </c>
    </row>
    <row r="4615" spans="1:7" x14ac:dyDescent="0.2">
      <c r="A4615" t="s">
        <v>64</v>
      </c>
      <c r="B4615" t="s">
        <v>64</v>
      </c>
      <c r="C4615" s="3" t="s">
        <v>64</v>
      </c>
      <c r="D4615" s="16" t="s">
        <v>64</v>
      </c>
      <c r="E4615" s="16">
        <v>0</v>
      </c>
      <c r="F4615" s="16" t="s">
        <v>64</v>
      </c>
      <c r="G4615" s="16" t="s">
        <v>64</v>
      </c>
    </row>
    <row r="4616" spans="1:7" x14ac:dyDescent="0.2">
      <c r="A4616" t="s">
        <v>64</v>
      </c>
      <c r="B4616" t="s">
        <v>64</v>
      </c>
      <c r="C4616" s="3" t="s">
        <v>64</v>
      </c>
      <c r="D4616" s="16" t="s">
        <v>64</v>
      </c>
      <c r="E4616" s="16">
        <v>0</v>
      </c>
      <c r="F4616" s="16" t="s">
        <v>64</v>
      </c>
      <c r="G4616" s="16" t="s">
        <v>64</v>
      </c>
    </row>
    <row r="4617" spans="1:7" x14ac:dyDescent="0.2">
      <c r="A4617" t="s">
        <v>64</v>
      </c>
      <c r="B4617" t="s">
        <v>64</v>
      </c>
      <c r="C4617" s="3" t="s">
        <v>64</v>
      </c>
      <c r="D4617" s="16" t="s">
        <v>64</v>
      </c>
      <c r="E4617" s="16">
        <v>0</v>
      </c>
      <c r="F4617" s="16" t="s">
        <v>64</v>
      </c>
      <c r="G4617" s="16" t="s">
        <v>64</v>
      </c>
    </row>
    <row r="4618" spans="1:7" x14ac:dyDescent="0.2">
      <c r="A4618" t="s">
        <v>64</v>
      </c>
      <c r="B4618" t="s">
        <v>64</v>
      </c>
      <c r="C4618" s="3" t="s">
        <v>64</v>
      </c>
      <c r="D4618" s="16" t="s">
        <v>64</v>
      </c>
      <c r="E4618" s="16">
        <v>0</v>
      </c>
      <c r="F4618" s="16" t="s">
        <v>64</v>
      </c>
      <c r="G4618" s="16" t="s">
        <v>64</v>
      </c>
    </row>
    <row r="4619" spans="1:7" x14ac:dyDescent="0.2">
      <c r="A4619" t="s">
        <v>64</v>
      </c>
      <c r="B4619" t="s">
        <v>64</v>
      </c>
      <c r="C4619" s="3" t="s">
        <v>64</v>
      </c>
      <c r="D4619" s="16" t="s">
        <v>64</v>
      </c>
      <c r="E4619" s="16">
        <v>0</v>
      </c>
      <c r="F4619" s="16" t="s">
        <v>64</v>
      </c>
      <c r="G4619" s="16" t="s">
        <v>64</v>
      </c>
    </row>
    <row r="4620" spans="1:7" x14ac:dyDescent="0.2">
      <c r="A4620" t="s">
        <v>64</v>
      </c>
      <c r="B4620" t="s">
        <v>64</v>
      </c>
      <c r="C4620" s="3" t="s">
        <v>64</v>
      </c>
      <c r="D4620" s="16" t="s">
        <v>64</v>
      </c>
      <c r="E4620" s="16">
        <v>0</v>
      </c>
      <c r="F4620" s="16" t="s">
        <v>64</v>
      </c>
      <c r="G4620" s="16" t="s">
        <v>64</v>
      </c>
    </row>
    <row r="4621" spans="1:7" x14ac:dyDescent="0.2">
      <c r="A4621" t="s">
        <v>64</v>
      </c>
      <c r="B4621" t="s">
        <v>64</v>
      </c>
      <c r="C4621" s="3" t="s">
        <v>64</v>
      </c>
      <c r="D4621" s="16" t="s">
        <v>64</v>
      </c>
      <c r="E4621" s="16">
        <v>0</v>
      </c>
      <c r="F4621" s="16" t="s">
        <v>64</v>
      </c>
      <c r="G4621" s="16" t="s">
        <v>64</v>
      </c>
    </row>
    <row r="4622" spans="1:7" x14ac:dyDescent="0.2">
      <c r="A4622" t="s">
        <v>64</v>
      </c>
      <c r="B4622" t="s">
        <v>64</v>
      </c>
      <c r="C4622" s="3" t="s">
        <v>64</v>
      </c>
      <c r="D4622" s="16" t="s">
        <v>64</v>
      </c>
      <c r="E4622" s="16">
        <v>0</v>
      </c>
      <c r="F4622" s="16" t="s">
        <v>64</v>
      </c>
      <c r="G4622" s="16" t="s">
        <v>64</v>
      </c>
    </row>
    <row r="4623" spans="1:7" x14ac:dyDescent="0.2">
      <c r="A4623" t="s">
        <v>64</v>
      </c>
      <c r="B4623" t="s">
        <v>64</v>
      </c>
      <c r="C4623" s="3" t="s">
        <v>64</v>
      </c>
      <c r="D4623" s="16" t="s">
        <v>64</v>
      </c>
      <c r="E4623" s="16">
        <v>0</v>
      </c>
      <c r="F4623" s="16" t="s">
        <v>64</v>
      </c>
      <c r="G4623" s="16" t="s">
        <v>64</v>
      </c>
    </row>
    <row r="4624" spans="1:7" x14ac:dyDescent="0.2">
      <c r="A4624" t="s">
        <v>64</v>
      </c>
      <c r="B4624" t="s">
        <v>64</v>
      </c>
      <c r="C4624" s="3" t="s">
        <v>64</v>
      </c>
      <c r="D4624" s="16" t="s">
        <v>64</v>
      </c>
      <c r="E4624" s="16">
        <v>0</v>
      </c>
      <c r="F4624" s="16" t="s">
        <v>64</v>
      </c>
      <c r="G4624" s="16" t="s">
        <v>64</v>
      </c>
    </row>
    <row r="4625" spans="1:7" x14ac:dyDescent="0.2">
      <c r="A4625" t="s">
        <v>64</v>
      </c>
      <c r="B4625" t="s">
        <v>64</v>
      </c>
      <c r="C4625" s="3" t="s">
        <v>64</v>
      </c>
      <c r="D4625" s="16" t="s">
        <v>64</v>
      </c>
      <c r="E4625" s="16">
        <v>0</v>
      </c>
      <c r="F4625" s="16" t="s">
        <v>64</v>
      </c>
      <c r="G4625" s="16" t="s">
        <v>64</v>
      </c>
    </row>
    <row r="4626" spans="1:7" x14ac:dyDescent="0.2">
      <c r="A4626" t="s">
        <v>64</v>
      </c>
      <c r="B4626" t="s">
        <v>64</v>
      </c>
      <c r="C4626" s="3" t="s">
        <v>64</v>
      </c>
      <c r="D4626" s="16" t="s">
        <v>64</v>
      </c>
      <c r="E4626" s="16">
        <v>0</v>
      </c>
      <c r="F4626" s="16" t="s">
        <v>64</v>
      </c>
      <c r="G4626" s="16" t="s">
        <v>64</v>
      </c>
    </row>
    <row r="4627" spans="1:7" x14ac:dyDescent="0.2">
      <c r="A4627" t="s">
        <v>64</v>
      </c>
      <c r="B4627" t="s">
        <v>64</v>
      </c>
      <c r="C4627" s="3" t="s">
        <v>64</v>
      </c>
      <c r="D4627" s="16" t="s">
        <v>64</v>
      </c>
      <c r="E4627" s="16">
        <v>0</v>
      </c>
      <c r="F4627" s="16" t="s">
        <v>64</v>
      </c>
      <c r="G4627" s="16" t="s">
        <v>64</v>
      </c>
    </row>
    <row r="4628" spans="1:7" x14ac:dyDescent="0.2">
      <c r="A4628" t="s">
        <v>64</v>
      </c>
      <c r="B4628" t="s">
        <v>64</v>
      </c>
      <c r="C4628" s="3" t="s">
        <v>64</v>
      </c>
      <c r="D4628" s="16" t="s">
        <v>64</v>
      </c>
      <c r="E4628" s="16">
        <v>0</v>
      </c>
      <c r="F4628" s="16" t="s">
        <v>64</v>
      </c>
      <c r="G4628" s="16" t="s">
        <v>64</v>
      </c>
    </row>
    <row r="4629" spans="1:7" x14ac:dyDescent="0.2">
      <c r="A4629" t="s">
        <v>64</v>
      </c>
      <c r="B4629" t="s">
        <v>64</v>
      </c>
      <c r="C4629" s="3" t="s">
        <v>64</v>
      </c>
      <c r="D4629" s="16" t="s">
        <v>64</v>
      </c>
      <c r="E4629" s="16">
        <v>0</v>
      </c>
      <c r="F4629" s="16" t="s">
        <v>64</v>
      </c>
      <c r="G4629" s="16" t="s">
        <v>64</v>
      </c>
    </row>
    <row r="4630" spans="1:7" x14ac:dyDescent="0.2">
      <c r="A4630" t="s">
        <v>64</v>
      </c>
      <c r="B4630" t="s">
        <v>64</v>
      </c>
      <c r="C4630" s="3" t="s">
        <v>64</v>
      </c>
      <c r="D4630" s="16" t="s">
        <v>64</v>
      </c>
      <c r="E4630" s="16">
        <v>0</v>
      </c>
      <c r="F4630" s="16" t="s">
        <v>64</v>
      </c>
      <c r="G4630" s="16" t="s">
        <v>64</v>
      </c>
    </row>
    <row r="4631" spans="1:7" x14ac:dyDescent="0.2">
      <c r="A4631" t="s">
        <v>64</v>
      </c>
      <c r="B4631" t="s">
        <v>64</v>
      </c>
      <c r="C4631" s="3" t="s">
        <v>64</v>
      </c>
      <c r="D4631" s="16" t="s">
        <v>64</v>
      </c>
      <c r="E4631" s="16">
        <v>0</v>
      </c>
      <c r="F4631" s="16" t="s">
        <v>64</v>
      </c>
      <c r="G4631" s="16" t="s">
        <v>64</v>
      </c>
    </row>
    <row r="4632" spans="1:7" x14ac:dyDescent="0.2">
      <c r="A4632" t="s">
        <v>64</v>
      </c>
      <c r="B4632" t="s">
        <v>64</v>
      </c>
      <c r="C4632" s="3" t="s">
        <v>64</v>
      </c>
      <c r="D4632" s="16" t="s">
        <v>64</v>
      </c>
      <c r="E4632" s="16">
        <v>0</v>
      </c>
      <c r="F4632" s="16" t="s">
        <v>64</v>
      </c>
      <c r="G4632" s="16" t="s">
        <v>64</v>
      </c>
    </row>
    <row r="4633" spans="1:7" x14ac:dyDescent="0.2">
      <c r="A4633" t="s">
        <v>64</v>
      </c>
      <c r="B4633" t="s">
        <v>64</v>
      </c>
      <c r="C4633" s="3" t="s">
        <v>64</v>
      </c>
      <c r="D4633" s="16" t="s">
        <v>64</v>
      </c>
      <c r="E4633" s="16">
        <v>0</v>
      </c>
      <c r="F4633" s="16" t="s">
        <v>64</v>
      </c>
      <c r="G4633" s="16" t="s">
        <v>64</v>
      </c>
    </row>
    <row r="4634" spans="1:7" x14ac:dyDescent="0.2">
      <c r="A4634" t="s">
        <v>64</v>
      </c>
      <c r="B4634" t="s">
        <v>64</v>
      </c>
      <c r="C4634" s="3" t="s">
        <v>64</v>
      </c>
      <c r="D4634" s="16" t="s">
        <v>64</v>
      </c>
      <c r="E4634" s="16">
        <v>0</v>
      </c>
      <c r="F4634" s="16" t="s">
        <v>64</v>
      </c>
      <c r="G4634" s="16" t="s">
        <v>64</v>
      </c>
    </row>
    <row r="4635" spans="1:7" x14ac:dyDescent="0.2">
      <c r="A4635" t="s">
        <v>64</v>
      </c>
      <c r="B4635" t="s">
        <v>64</v>
      </c>
      <c r="C4635" s="3" t="s">
        <v>64</v>
      </c>
      <c r="D4635" s="16" t="s">
        <v>64</v>
      </c>
      <c r="E4635" s="16">
        <v>0</v>
      </c>
      <c r="F4635" s="16" t="s">
        <v>64</v>
      </c>
      <c r="G4635" s="16" t="s">
        <v>64</v>
      </c>
    </row>
    <row r="4636" spans="1:7" x14ac:dyDescent="0.2">
      <c r="A4636" t="s">
        <v>64</v>
      </c>
      <c r="B4636" t="s">
        <v>64</v>
      </c>
      <c r="C4636" s="3" t="s">
        <v>64</v>
      </c>
      <c r="D4636" s="16" t="s">
        <v>64</v>
      </c>
      <c r="E4636" s="16">
        <v>0</v>
      </c>
      <c r="F4636" s="16" t="s">
        <v>64</v>
      </c>
      <c r="G4636" s="16" t="s">
        <v>64</v>
      </c>
    </row>
    <row r="4637" spans="1:7" x14ac:dyDescent="0.2">
      <c r="A4637" t="s">
        <v>64</v>
      </c>
      <c r="B4637" t="s">
        <v>64</v>
      </c>
      <c r="C4637" s="3" t="s">
        <v>64</v>
      </c>
      <c r="D4637" s="16" t="s">
        <v>64</v>
      </c>
      <c r="E4637" s="16">
        <v>0</v>
      </c>
      <c r="F4637" s="16" t="s">
        <v>64</v>
      </c>
      <c r="G4637" s="16" t="s">
        <v>64</v>
      </c>
    </row>
    <row r="4638" spans="1:7" x14ac:dyDescent="0.2">
      <c r="A4638" t="s">
        <v>64</v>
      </c>
      <c r="B4638" t="s">
        <v>64</v>
      </c>
      <c r="C4638" s="3" t="s">
        <v>64</v>
      </c>
      <c r="D4638" s="16" t="s">
        <v>64</v>
      </c>
      <c r="E4638" s="16">
        <v>0</v>
      </c>
      <c r="F4638" s="16" t="s">
        <v>64</v>
      </c>
      <c r="G4638" s="16" t="s">
        <v>64</v>
      </c>
    </row>
    <row r="4639" spans="1:7" x14ac:dyDescent="0.2">
      <c r="A4639" t="s">
        <v>64</v>
      </c>
      <c r="B4639" t="s">
        <v>64</v>
      </c>
      <c r="C4639" s="3" t="s">
        <v>64</v>
      </c>
      <c r="D4639" s="16" t="s">
        <v>64</v>
      </c>
      <c r="E4639" s="16">
        <v>0</v>
      </c>
      <c r="F4639" s="16" t="s">
        <v>64</v>
      </c>
      <c r="G4639" s="16" t="s">
        <v>64</v>
      </c>
    </row>
    <row r="4640" spans="1:7" x14ac:dyDescent="0.2">
      <c r="A4640" t="s">
        <v>64</v>
      </c>
      <c r="B4640" t="s">
        <v>64</v>
      </c>
      <c r="C4640" s="3" t="s">
        <v>64</v>
      </c>
      <c r="D4640" s="16" t="s">
        <v>64</v>
      </c>
      <c r="E4640" s="16">
        <v>0</v>
      </c>
      <c r="F4640" s="16" t="s">
        <v>64</v>
      </c>
      <c r="G4640" s="16" t="s">
        <v>64</v>
      </c>
    </row>
    <row r="4641" spans="1:7" x14ac:dyDescent="0.2">
      <c r="A4641" t="s">
        <v>64</v>
      </c>
      <c r="B4641" t="s">
        <v>64</v>
      </c>
      <c r="C4641" s="3" t="s">
        <v>64</v>
      </c>
      <c r="D4641" s="16" t="s">
        <v>64</v>
      </c>
      <c r="E4641" s="16">
        <v>0</v>
      </c>
      <c r="F4641" s="16" t="s">
        <v>64</v>
      </c>
      <c r="G4641" s="16" t="s">
        <v>64</v>
      </c>
    </row>
    <row r="4642" spans="1:7" x14ac:dyDescent="0.2">
      <c r="A4642" t="s">
        <v>64</v>
      </c>
      <c r="B4642" t="s">
        <v>64</v>
      </c>
      <c r="C4642" s="3" t="s">
        <v>64</v>
      </c>
      <c r="D4642" s="16" t="s">
        <v>64</v>
      </c>
      <c r="E4642" s="16">
        <v>0</v>
      </c>
      <c r="F4642" s="16" t="s">
        <v>64</v>
      </c>
      <c r="G4642" s="16" t="s">
        <v>64</v>
      </c>
    </row>
    <row r="4643" spans="1:7" x14ac:dyDescent="0.2">
      <c r="A4643" t="s">
        <v>64</v>
      </c>
      <c r="B4643" t="s">
        <v>64</v>
      </c>
      <c r="C4643" s="3" t="s">
        <v>64</v>
      </c>
      <c r="D4643" s="16" t="s">
        <v>64</v>
      </c>
      <c r="E4643" s="16">
        <v>0</v>
      </c>
      <c r="F4643" s="16" t="s">
        <v>64</v>
      </c>
      <c r="G4643" s="16" t="s">
        <v>64</v>
      </c>
    </row>
    <row r="4644" spans="1:7" x14ac:dyDescent="0.2">
      <c r="A4644" t="s">
        <v>64</v>
      </c>
      <c r="B4644" t="s">
        <v>64</v>
      </c>
      <c r="C4644" s="3" t="s">
        <v>64</v>
      </c>
      <c r="D4644" s="16" t="s">
        <v>64</v>
      </c>
      <c r="E4644" s="16">
        <v>0</v>
      </c>
      <c r="F4644" s="16" t="s">
        <v>64</v>
      </c>
      <c r="G4644" s="16" t="s">
        <v>64</v>
      </c>
    </row>
    <row r="4645" spans="1:7" x14ac:dyDescent="0.2">
      <c r="A4645" t="s">
        <v>64</v>
      </c>
      <c r="B4645" t="s">
        <v>64</v>
      </c>
      <c r="C4645" s="3" t="s">
        <v>64</v>
      </c>
      <c r="D4645" s="16" t="s">
        <v>64</v>
      </c>
      <c r="E4645" s="16">
        <v>0</v>
      </c>
      <c r="F4645" s="16" t="s">
        <v>64</v>
      </c>
      <c r="G4645" s="16" t="s">
        <v>64</v>
      </c>
    </row>
    <row r="4646" spans="1:7" x14ac:dyDescent="0.2">
      <c r="A4646" t="s">
        <v>64</v>
      </c>
      <c r="B4646" t="s">
        <v>64</v>
      </c>
      <c r="C4646" s="3" t="s">
        <v>64</v>
      </c>
      <c r="D4646" s="16" t="s">
        <v>64</v>
      </c>
      <c r="E4646" s="16">
        <v>0</v>
      </c>
      <c r="F4646" s="16" t="s">
        <v>64</v>
      </c>
      <c r="G4646" s="16" t="s">
        <v>64</v>
      </c>
    </row>
    <row r="4647" spans="1:7" x14ac:dyDescent="0.2">
      <c r="A4647" t="s">
        <v>64</v>
      </c>
      <c r="B4647" t="s">
        <v>64</v>
      </c>
      <c r="C4647" s="3" t="s">
        <v>64</v>
      </c>
      <c r="D4647" s="16" t="s">
        <v>64</v>
      </c>
      <c r="E4647" s="16">
        <v>0</v>
      </c>
      <c r="F4647" s="16" t="s">
        <v>64</v>
      </c>
      <c r="G4647" s="16" t="s">
        <v>64</v>
      </c>
    </row>
    <row r="4648" spans="1:7" x14ac:dyDescent="0.2">
      <c r="A4648" t="s">
        <v>64</v>
      </c>
      <c r="B4648" t="s">
        <v>64</v>
      </c>
      <c r="C4648" s="3" t="s">
        <v>64</v>
      </c>
      <c r="D4648" s="16" t="s">
        <v>64</v>
      </c>
      <c r="E4648" s="16">
        <v>0</v>
      </c>
      <c r="F4648" s="16" t="s">
        <v>64</v>
      </c>
      <c r="G4648" s="16" t="s">
        <v>64</v>
      </c>
    </row>
    <row r="4649" spans="1:7" x14ac:dyDescent="0.2">
      <c r="A4649" t="s">
        <v>64</v>
      </c>
      <c r="B4649" t="s">
        <v>64</v>
      </c>
      <c r="C4649" s="3" t="s">
        <v>64</v>
      </c>
      <c r="D4649" s="16" t="s">
        <v>64</v>
      </c>
      <c r="E4649" s="16">
        <v>0</v>
      </c>
      <c r="F4649" s="16" t="s">
        <v>64</v>
      </c>
      <c r="G4649" s="16" t="s">
        <v>64</v>
      </c>
    </row>
    <row r="4650" spans="1:7" x14ac:dyDescent="0.2">
      <c r="A4650" t="s">
        <v>64</v>
      </c>
      <c r="B4650" t="s">
        <v>64</v>
      </c>
      <c r="C4650" s="3" t="s">
        <v>64</v>
      </c>
      <c r="D4650" s="16" t="s">
        <v>64</v>
      </c>
      <c r="E4650" s="16">
        <v>0</v>
      </c>
      <c r="F4650" s="16" t="s">
        <v>64</v>
      </c>
      <c r="G4650" s="16" t="s">
        <v>64</v>
      </c>
    </row>
    <row r="4651" spans="1:7" x14ac:dyDescent="0.2">
      <c r="A4651" t="s">
        <v>64</v>
      </c>
      <c r="B4651" t="s">
        <v>64</v>
      </c>
      <c r="C4651" s="3" t="s">
        <v>64</v>
      </c>
      <c r="D4651" s="16" t="s">
        <v>64</v>
      </c>
      <c r="E4651" s="16">
        <v>0</v>
      </c>
      <c r="F4651" s="16" t="s">
        <v>64</v>
      </c>
      <c r="G4651" s="16" t="s">
        <v>64</v>
      </c>
    </row>
    <row r="4652" spans="1:7" x14ac:dyDescent="0.2">
      <c r="A4652" t="s">
        <v>64</v>
      </c>
      <c r="B4652" t="s">
        <v>64</v>
      </c>
      <c r="C4652" s="3" t="s">
        <v>64</v>
      </c>
      <c r="D4652" s="16" t="s">
        <v>64</v>
      </c>
      <c r="E4652" s="16">
        <v>0</v>
      </c>
      <c r="F4652" s="16" t="s">
        <v>64</v>
      </c>
      <c r="G4652" s="16" t="s">
        <v>64</v>
      </c>
    </row>
    <row r="4653" spans="1:7" x14ac:dyDescent="0.2">
      <c r="A4653" t="s">
        <v>64</v>
      </c>
      <c r="B4653" t="s">
        <v>64</v>
      </c>
      <c r="C4653" s="3" t="s">
        <v>64</v>
      </c>
      <c r="D4653" s="16" t="s">
        <v>64</v>
      </c>
      <c r="E4653" s="16">
        <v>0</v>
      </c>
      <c r="F4653" s="16" t="s">
        <v>64</v>
      </c>
      <c r="G4653" s="16" t="s">
        <v>64</v>
      </c>
    </row>
    <row r="4654" spans="1:7" x14ac:dyDescent="0.2">
      <c r="A4654" t="s">
        <v>64</v>
      </c>
      <c r="B4654" t="s">
        <v>64</v>
      </c>
      <c r="C4654" s="3" t="s">
        <v>64</v>
      </c>
      <c r="D4654" s="16" t="s">
        <v>64</v>
      </c>
      <c r="E4654" s="16">
        <v>0</v>
      </c>
      <c r="F4654" s="16" t="s">
        <v>64</v>
      </c>
      <c r="G4654" s="16" t="s">
        <v>64</v>
      </c>
    </row>
    <row r="4655" spans="1:7" x14ac:dyDescent="0.2">
      <c r="A4655" t="s">
        <v>64</v>
      </c>
      <c r="B4655" t="s">
        <v>64</v>
      </c>
      <c r="C4655" s="3" t="s">
        <v>64</v>
      </c>
      <c r="D4655" s="16" t="s">
        <v>64</v>
      </c>
      <c r="E4655" s="16">
        <v>0</v>
      </c>
      <c r="F4655" s="16" t="s">
        <v>64</v>
      </c>
      <c r="G4655" s="16" t="s">
        <v>64</v>
      </c>
    </row>
    <row r="4656" spans="1:7" x14ac:dyDescent="0.2">
      <c r="A4656" t="s">
        <v>64</v>
      </c>
      <c r="B4656" t="s">
        <v>64</v>
      </c>
      <c r="C4656" s="3" t="s">
        <v>64</v>
      </c>
      <c r="D4656" s="16" t="s">
        <v>64</v>
      </c>
      <c r="E4656" s="16">
        <v>0</v>
      </c>
      <c r="F4656" s="16" t="s">
        <v>64</v>
      </c>
      <c r="G4656" s="16" t="s">
        <v>64</v>
      </c>
    </row>
    <row r="4657" spans="1:7" x14ac:dyDescent="0.2">
      <c r="A4657" t="s">
        <v>64</v>
      </c>
      <c r="B4657" t="s">
        <v>64</v>
      </c>
      <c r="C4657" s="3" t="s">
        <v>64</v>
      </c>
      <c r="D4657" s="16" t="s">
        <v>64</v>
      </c>
      <c r="E4657" s="16">
        <v>0</v>
      </c>
      <c r="F4657" s="16" t="s">
        <v>64</v>
      </c>
      <c r="G4657" s="16" t="s">
        <v>64</v>
      </c>
    </row>
    <row r="4658" spans="1:7" x14ac:dyDescent="0.2">
      <c r="A4658" t="s">
        <v>64</v>
      </c>
      <c r="B4658" t="s">
        <v>64</v>
      </c>
      <c r="C4658" s="3" t="s">
        <v>64</v>
      </c>
      <c r="D4658" s="16" t="s">
        <v>64</v>
      </c>
      <c r="E4658" s="16">
        <v>0</v>
      </c>
      <c r="F4658" s="16" t="s">
        <v>64</v>
      </c>
      <c r="G4658" s="16" t="s">
        <v>64</v>
      </c>
    </row>
    <row r="4659" spans="1:7" x14ac:dyDescent="0.2">
      <c r="A4659" t="s">
        <v>64</v>
      </c>
      <c r="B4659" t="s">
        <v>64</v>
      </c>
      <c r="C4659" s="3" t="s">
        <v>64</v>
      </c>
      <c r="D4659" s="16" t="s">
        <v>64</v>
      </c>
      <c r="E4659" s="16">
        <v>0</v>
      </c>
      <c r="F4659" s="16" t="s">
        <v>64</v>
      </c>
      <c r="G4659" s="16" t="s">
        <v>64</v>
      </c>
    </row>
    <row r="4660" spans="1:7" x14ac:dyDescent="0.2">
      <c r="A4660" t="s">
        <v>64</v>
      </c>
      <c r="B4660" t="s">
        <v>64</v>
      </c>
      <c r="C4660" s="3" t="s">
        <v>64</v>
      </c>
      <c r="D4660" s="16" t="s">
        <v>64</v>
      </c>
      <c r="E4660" s="16">
        <v>0</v>
      </c>
      <c r="F4660" s="16" t="s">
        <v>64</v>
      </c>
      <c r="G4660" s="16" t="s">
        <v>64</v>
      </c>
    </row>
    <row r="4661" spans="1:7" x14ac:dyDescent="0.2">
      <c r="A4661" t="s">
        <v>64</v>
      </c>
      <c r="B4661" t="s">
        <v>64</v>
      </c>
      <c r="C4661" s="3" t="s">
        <v>64</v>
      </c>
      <c r="D4661" s="16" t="s">
        <v>64</v>
      </c>
      <c r="E4661" s="16">
        <v>0</v>
      </c>
      <c r="F4661" s="16" t="s">
        <v>64</v>
      </c>
      <c r="G4661" s="16" t="s">
        <v>64</v>
      </c>
    </row>
    <row r="4662" spans="1:7" x14ac:dyDescent="0.2">
      <c r="A4662" t="s">
        <v>64</v>
      </c>
      <c r="B4662" t="s">
        <v>64</v>
      </c>
      <c r="C4662" s="3" t="s">
        <v>64</v>
      </c>
      <c r="D4662" s="16" t="s">
        <v>64</v>
      </c>
      <c r="E4662" s="16">
        <v>0</v>
      </c>
      <c r="F4662" s="16" t="s">
        <v>64</v>
      </c>
      <c r="G4662" s="16" t="s">
        <v>64</v>
      </c>
    </row>
    <row r="4663" spans="1:7" x14ac:dyDescent="0.2">
      <c r="A4663" t="s">
        <v>64</v>
      </c>
      <c r="B4663" t="s">
        <v>64</v>
      </c>
      <c r="C4663" s="3" t="s">
        <v>64</v>
      </c>
      <c r="D4663" s="16" t="s">
        <v>64</v>
      </c>
      <c r="E4663" s="16">
        <v>0</v>
      </c>
      <c r="F4663" s="16" t="s">
        <v>64</v>
      </c>
      <c r="G4663" s="16" t="s">
        <v>64</v>
      </c>
    </row>
    <row r="4664" spans="1:7" x14ac:dyDescent="0.2">
      <c r="A4664" t="s">
        <v>64</v>
      </c>
      <c r="B4664" t="s">
        <v>64</v>
      </c>
      <c r="C4664" s="3" t="s">
        <v>64</v>
      </c>
      <c r="D4664" s="16" t="s">
        <v>64</v>
      </c>
      <c r="E4664" s="16">
        <v>0</v>
      </c>
      <c r="F4664" s="16" t="s">
        <v>64</v>
      </c>
      <c r="G4664" s="16" t="s">
        <v>64</v>
      </c>
    </row>
    <row r="4665" spans="1:7" x14ac:dyDescent="0.2">
      <c r="A4665" t="s">
        <v>64</v>
      </c>
      <c r="B4665" t="s">
        <v>64</v>
      </c>
      <c r="C4665" s="3" t="s">
        <v>64</v>
      </c>
      <c r="D4665" s="16" t="s">
        <v>64</v>
      </c>
      <c r="E4665" s="16">
        <v>0</v>
      </c>
      <c r="F4665" s="16" t="s">
        <v>64</v>
      </c>
      <c r="G4665" s="16" t="s">
        <v>64</v>
      </c>
    </row>
    <row r="4666" spans="1:7" x14ac:dyDescent="0.2">
      <c r="A4666" t="s">
        <v>64</v>
      </c>
      <c r="B4666" t="s">
        <v>64</v>
      </c>
      <c r="C4666" s="3" t="s">
        <v>64</v>
      </c>
      <c r="D4666" s="16" t="s">
        <v>64</v>
      </c>
      <c r="E4666" s="16">
        <v>0</v>
      </c>
      <c r="F4666" s="16" t="s">
        <v>64</v>
      </c>
      <c r="G4666" s="16" t="s">
        <v>64</v>
      </c>
    </row>
    <row r="4667" spans="1:7" x14ac:dyDescent="0.2">
      <c r="A4667" t="s">
        <v>64</v>
      </c>
      <c r="B4667" t="s">
        <v>64</v>
      </c>
      <c r="C4667" s="3" t="s">
        <v>64</v>
      </c>
      <c r="D4667" s="16" t="s">
        <v>64</v>
      </c>
      <c r="E4667" s="16">
        <v>0</v>
      </c>
      <c r="F4667" s="16" t="s">
        <v>64</v>
      </c>
      <c r="G4667" s="16" t="s">
        <v>64</v>
      </c>
    </row>
    <row r="4668" spans="1:7" x14ac:dyDescent="0.2">
      <c r="A4668" t="s">
        <v>64</v>
      </c>
      <c r="B4668" t="s">
        <v>64</v>
      </c>
      <c r="C4668" s="3" t="s">
        <v>64</v>
      </c>
      <c r="D4668" s="16" t="s">
        <v>64</v>
      </c>
      <c r="E4668" s="16">
        <v>0</v>
      </c>
      <c r="F4668" s="16" t="s">
        <v>64</v>
      </c>
      <c r="G4668" s="16" t="s">
        <v>64</v>
      </c>
    </row>
    <row r="4669" spans="1:7" x14ac:dyDescent="0.2">
      <c r="A4669" t="s">
        <v>64</v>
      </c>
      <c r="B4669" t="s">
        <v>64</v>
      </c>
      <c r="C4669" s="3" t="s">
        <v>64</v>
      </c>
      <c r="D4669" s="16" t="s">
        <v>64</v>
      </c>
      <c r="E4669" s="16">
        <v>0</v>
      </c>
      <c r="F4669" s="16" t="s">
        <v>64</v>
      </c>
      <c r="G4669" s="16" t="s">
        <v>64</v>
      </c>
    </row>
    <row r="4670" spans="1:7" x14ac:dyDescent="0.2">
      <c r="A4670" t="s">
        <v>64</v>
      </c>
      <c r="B4670" t="s">
        <v>64</v>
      </c>
      <c r="C4670" s="3" t="s">
        <v>64</v>
      </c>
      <c r="D4670" s="16" t="s">
        <v>64</v>
      </c>
      <c r="E4670" s="16">
        <v>0</v>
      </c>
      <c r="F4670" s="16" t="s">
        <v>64</v>
      </c>
      <c r="G4670" s="16" t="s">
        <v>64</v>
      </c>
    </row>
    <row r="4671" spans="1:7" x14ac:dyDescent="0.2">
      <c r="A4671" t="s">
        <v>64</v>
      </c>
      <c r="B4671" t="s">
        <v>64</v>
      </c>
      <c r="C4671" s="3" t="s">
        <v>64</v>
      </c>
      <c r="D4671" s="16" t="s">
        <v>64</v>
      </c>
      <c r="E4671" s="16">
        <v>0</v>
      </c>
      <c r="F4671" s="16" t="s">
        <v>64</v>
      </c>
      <c r="G4671" s="16" t="s">
        <v>64</v>
      </c>
    </row>
    <row r="4672" spans="1:7" x14ac:dyDescent="0.2">
      <c r="A4672" t="s">
        <v>64</v>
      </c>
      <c r="B4672" t="s">
        <v>64</v>
      </c>
      <c r="C4672" s="3" t="s">
        <v>64</v>
      </c>
      <c r="D4672" s="16" t="s">
        <v>64</v>
      </c>
      <c r="E4672" s="16">
        <v>0</v>
      </c>
      <c r="F4672" s="16" t="s">
        <v>64</v>
      </c>
      <c r="G4672" s="16" t="s">
        <v>64</v>
      </c>
    </row>
    <row r="4673" spans="1:7" x14ac:dyDescent="0.2">
      <c r="A4673" t="s">
        <v>64</v>
      </c>
      <c r="B4673" t="s">
        <v>64</v>
      </c>
      <c r="C4673" s="3" t="s">
        <v>64</v>
      </c>
      <c r="D4673" s="16" t="s">
        <v>64</v>
      </c>
      <c r="E4673" s="16">
        <v>0</v>
      </c>
      <c r="F4673" s="16" t="s">
        <v>64</v>
      </c>
      <c r="G4673" s="16" t="s">
        <v>64</v>
      </c>
    </row>
    <row r="4674" spans="1:7" x14ac:dyDescent="0.2">
      <c r="A4674" t="s">
        <v>64</v>
      </c>
      <c r="B4674" t="s">
        <v>64</v>
      </c>
      <c r="C4674" s="3" t="s">
        <v>64</v>
      </c>
      <c r="D4674" s="16" t="s">
        <v>64</v>
      </c>
      <c r="E4674" s="16">
        <v>0</v>
      </c>
      <c r="F4674" s="16" t="s">
        <v>64</v>
      </c>
      <c r="G4674" s="16" t="s">
        <v>64</v>
      </c>
    </row>
    <row r="4675" spans="1:7" x14ac:dyDescent="0.2">
      <c r="A4675" t="s">
        <v>64</v>
      </c>
      <c r="B4675" t="s">
        <v>64</v>
      </c>
      <c r="C4675" s="3" t="s">
        <v>64</v>
      </c>
      <c r="D4675" s="16" t="s">
        <v>64</v>
      </c>
      <c r="E4675" s="16">
        <v>0</v>
      </c>
      <c r="F4675" s="16" t="s">
        <v>64</v>
      </c>
      <c r="G4675" s="16" t="s">
        <v>64</v>
      </c>
    </row>
    <row r="4676" spans="1:7" x14ac:dyDescent="0.2">
      <c r="A4676" t="s">
        <v>64</v>
      </c>
      <c r="B4676" t="s">
        <v>64</v>
      </c>
      <c r="C4676" s="3" t="s">
        <v>64</v>
      </c>
      <c r="D4676" s="16" t="s">
        <v>64</v>
      </c>
      <c r="E4676" s="16">
        <v>0</v>
      </c>
      <c r="F4676" s="16" t="s">
        <v>64</v>
      </c>
      <c r="G4676" s="16" t="s">
        <v>64</v>
      </c>
    </row>
    <row r="4677" spans="1:7" x14ac:dyDescent="0.2">
      <c r="A4677" t="s">
        <v>64</v>
      </c>
      <c r="B4677" t="s">
        <v>64</v>
      </c>
      <c r="C4677" s="3" t="s">
        <v>64</v>
      </c>
      <c r="D4677" s="16" t="s">
        <v>64</v>
      </c>
      <c r="E4677" s="16">
        <v>0</v>
      </c>
      <c r="F4677" s="16" t="s">
        <v>64</v>
      </c>
      <c r="G4677" s="16" t="s">
        <v>64</v>
      </c>
    </row>
    <row r="4678" spans="1:7" x14ac:dyDescent="0.2">
      <c r="A4678" t="s">
        <v>64</v>
      </c>
      <c r="B4678" t="s">
        <v>64</v>
      </c>
      <c r="C4678" s="3" t="s">
        <v>64</v>
      </c>
      <c r="D4678" s="16" t="s">
        <v>64</v>
      </c>
      <c r="E4678" s="16">
        <v>0</v>
      </c>
      <c r="F4678" s="16" t="s">
        <v>64</v>
      </c>
      <c r="G4678" s="16" t="s">
        <v>64</v>
      </c>
    </row>
    <row r="4679" spans="1:7" x14ac:dyDescent="0.2">
      <c r="A4679" t="s">
        <v>64</v>
      </c>
      <c r="B4679" t="s">
        <v>64</v>
      </c>
      <c r="C4679" s="3" t="s">
        <v>64</v>
      </c>
      <c r="D4679" s="16" t="s">
        <v>64</v>
      </c>
      <c r="E4679" s="16">
        <v>0</v>
      </c>
      <c r="F4679" s="16" t="s">
        <v>64</v>
      </c>
      <c r="G4679" s="16" t="s">
        <v>64</v>
      </c>
    </row>
    <row r="4680" spans="1:7" x14ac:dyDescent="0.2">
      <c r="A4680" t="s">
        <v>64</v>
      </c>
      <c r="B4680" t="s">
        <v>64</v>
      </c>
      <c r="C4680" s="3" t="s">
        <v>64</v>
      </c>
      <c r="D4680" s="16" t="s">
        <v>64</v>
      </c>
      <c r="E4680" s="16">
        <v>0</v>
      </c>
      <c r="F4680" s="16" t="s">
        <v>64</v>
      </c>
      <c r="G4680" s="16" t="s">
        <v>64</v>
      </c>
    </row>
    <row r="4681" spans="1:7" x14ac:dyDescent="0.2">
      <c r="A4681" t="s">
        <v>64</v>
      </c>
      <c r="B4681" t="s">
        <v>64</v>
      </c>
      <c r="C4681" s="3" t="s">
        <v>64</v>
      </c>
      <c r="D4681" s="16" t="s">
        <v>64</v>
      </c>
      <c r="E4681" s="16">
        <v>0</v>
      </c>
      <c r="F4681" s="16" t="s">
        <v>64</v>
      </c>
      <c r="G4681" s="16" t="s">
        <v>64</v>
      </c>
    </row>
    <row r="4682" spans="1:7" x14ac:dyDescent="0.2">
      <c r="A4682" t="s">
        <v>64</v>
      </c>
      <c r="B4682" t="s">
        <v>64</v>
      </c>
      <c r="C4682" s="3" t="s">
        <v>64</v>
      </c>
      <c r="D4682" s="16" t="s">
        <v>64</v>
      </c>
      <c r="E4682" s="16">
        <v>0</v>
      </c>
      <c r="F4682" s="16" t="s">
        <v>64</v>
      </c>
      <c r="G4682" s="16" t="s">
        <v>64</v>
      </c>
    </row>
    <row r="4683" spans="1:7" x14ac:dyDescent="0.2">
      <c r="A4683" t="s">
        <v>64</v>
      </c>
      <c r="B4683" t="s">
        <v>64</v>
      </c>
      <c r="C4683" s="3" t="s">
        <v>64</v>
      </c>
      <c r="D4683" s="16" t="s">
        <v>64</v>
      </c>
      <c r="E4683" s="16">
        <v>0</v>
      </c>
      <c r="F4683" s="16" t="s">
        <v>64</v>
      </c>
      <c r="G4683" s="16" t="s">
        <v>64</v>
      </c>
    </row>
    <row r="4684" spans="1:7" x14ac:dyDescent="0.2">
      <c r="A4684" t="s">
        <v>64</v>
      </c>
      <c r="B4684" t="s">
        <v>64</v>
      </c>
      <c r="C4684" s="3" t="s">
        <v>64</v>
      </c>
      <c r="D4684" s="16" t="s">
        <v>64</v>
      </c>
      <c r="E4684" s="16">
        <v>0</v>
      </c>
      <c r="F4684" s="16" t="s">
        <v>64</v>
      </c>
      <c r="G4684" s="16" t="s">
        <v>64</v>
      </c>
    </row>
    <row r="4685" spans="1:7" x14ac:dyDescent="0.2">
      <c r="A4685" t="s">
        <v>64</v>
      </c>
      <c r="B4685" t="s">
        <v>64</v>
      </c>
      <c r="C4685" s="3" t="s">
        <v>64</v>
      </c>
      <c r="D4685" s="16" t="s">
        <v>64</v>
      </c>
      <c r="E4685" s="16">
        <v>0</v>
      </c>
      <c r="F4685" s="16" t="s">
        <v>64</v>
      </c>
      <c r="G4685" s="16" t="s">
        <v>64</v>
      </c>
    </row>
    <row r="4686" spans="1:7" x14ac:dyDescent="0.2">
      <c r="A4686" t="s">
        <v>64</v>
      </c>
      <c r="B4686" t="s">
        <v>64</v>
      </c>
      <c r="C4686" s="3" t="s">
        <v>64</v>
      </c>
      <c r="D4686" s="16" t="s">
        <v>64</v>
      </c>
      <c r="E4686" s="16">
        <v>0</v>
      </c>
      <c r="F4686" s="16" t="s">
        <v>64</v>
      </c>
      <c r="G4686" s="16" t="s">
        <v>64</v>
      </c>
    </row>
    <row r="4687" spans="1:7" x14ac:dyDescent="0.2">
      <c r="A4687" t="s">
        <v>64</v>
      </c>
      <c r="B4687" t="s">
        <v>64</v>
      </c>
      <c r="C4687" s="3" t="s">
        <v>64</v>
      </c>
      <c r="D4687" s="16" t="s">
        <v>64</v>
      </c>
      <c r="E4687" s="16">
        <v>0</v>
      </c>
      <c r="F4687" s="16" t="s">
        <v>64</v>
      </c>
      <c r="G4687" s="16" t="s">
        <v>64</v>
      </c>
    </row>
    <row r="4688" spans="1:7" x14ac:dyDescent="0.2">
      <c r="A4688" t="s">
        <v>64</v>
      </c>
      <c r="B4688" t="s">
        <v>64</v>
      </c>
      <c r="C4688" s="3" t="s">
        <v>64</v>
      </c>
      <c r="D4688" s="16" t="s">
        <v>64</v>
      </c>
      <c r="E4688" s="16">
        <v>0</v>
      </c>
      <c r="F4688" s="16" t="s">
        <v>64</v>
      </c>
      <c r="G4688" s="16" t="s">
        <v>64</v>
      </c>
    </row>
    <row r="4689" spans="1:7" x14ac:dyDescent="0.2">
      <c r="A4689" t="s">
        <v>64</v>
      </c>
      <c r="B4689" t="s">
        <v>64</v>
      </c>
      <c r="C4689" s="3" t="s">
        <v>64</v>
      </c>
      <c r="D4689" s="16" t="s">
        <v>64</v>
      </c>
      <c r="E4689" s="16">
        <v>0</v>
      </c>
      <c r="F4689" s="16" t="s">
        <v>64</v>
      </c>
      <c r="G4689" s="16" t="s">
        <v>64</v>
      </c>
    </row>
    <row r="4690" spans="1:7" x14ac:dyDescent="0.2">
      <c r="A4690" t="s">
        <v>64</v>
      </c>
      <c r="B4690" t="s">
        <v>64</v>
      </c>
      <c r="C4690" s="3" t="s">
        <v>64</v>
      </c>
      <c r="D4690" s="16" t="s">
        <v>64</v>
      </c>
      <c r="E4690" s="16">
        <v>0</v>
      </c>
      <c r="F4690" s="16" t="s">
        <v>64</v>
      </c>
      <c r="G4690" s="16" t="s">
        <v>64</v>
      </c>
    </row>
    <row r="4691" spans="1:7" x14ac:dyDescent="0.2">
      <c r="A4691" t="s">
        <v>64</v>
      </c>
      <c r="B4691" t="s">
        <v>64</v>
      </c>
      <c r="C4691" s="3" t="s">
        <v>64</v>
      </c>
      <c r="D4691" s="16" t="s">
        <v>64</v>
      </c>
      <c r="E4691" s="16">
        <v>0</v>
      </c>
      <c r="F4691" s="16" t="s">
        <v>64</v>
      </c>
      <c r="G4691" s="16" t="s">
        <v>64</v>
      </c>
    </row>
    <row r="4692" spans="1:7" x14ac:dyDescent="0.2">
      <c r="A4692" t="s">
        <v>64</v>
      </c>
      <c r="B4692" t="s">
        <v>64</v>
      </c>
      <c r="C4692" s="3" t="s">
        <v>64</v>
      </c>
      <c r="D4692" s="16" t="s">
        <v>64</v>
      </c>
      <c r="E4692" s="16">
        <v>0</v>
      </c>
      <c r="F4692" s="16" t="s">
        <v>64</v>
      </c>
      <c r="G4692" s="16" t="s">
        <v>64</v>
      </c>
    </row>
    <row r="4693" spans="1:7" x14ac:dyDescent="0.2">
      <c r="A4693" t="s">
        <v>64</v>
      </c>
      <c r="B4693" t="s">
        <v>64</v>
      </c>
      <c r="C4693" s="3" t="s">
        <v>64</v>
      </c>
      <c r="D4693" s="16" t="s">
        <v>64</v>
      </c>
      <c r="E4693" s="16">
        <v>0</v>
      </c>
      <c r="F4693" s="16" t="s">
        <v>64</v>
      </c>
      <c r="G4693" s="16" t="s">
        <v>64</v>
      </c>
    </row>
    <row r="4694" spans="1:7" x14ac:dyDescent="0.2">
      <c r="A4694" t="s">
        <v>64</v>
      </c>
      <c r="B4694" t="s">
        <v>64</v>
      </c>
      <c r="C4694" s="3" t="s">
        <v>64</v>
      </c>
      <c r="D4694" s="16" t="s">
        <v>64</v>
      </c>
      <c r="E4694" s="16">
        <v>0</v>
      </c>
      <c r="F4694" s="16" t="s">
        <v>64</v>
      </c>
      <c r="G4694" s="16" t="s">
        <v>64</v>
      </c>
    </row>
    <row r="4695" spans="1:7" x14ac:dyDescent="0.2">
      <c r="A4695" t="s">
        <v>64</v>
      </c>
      <c r="B4695" t="s">
        <v>64</v>
      </c>
      <c r="C4695" s="3" t="s">
        <v>64</v>
      </c>
      <c r="D4695" s="16" t="s">
        <v>64</v>
      </c>
      <c r="E4695" s="16">
        <v>0</v>
      </c>
      <c r="F4695" s="16" t="s">
        <v>64</v>
      </c>
      <c r="G4695" s="16" t="s">
        <v>64</v>
      </c>
    </row>
    <row r="4696" spans="1:7" x14ac:dyDescent="0.2">
      <c r="A4696" t="s">
        <v>64</v>
      </c>
      <c r="B4696" t="s">
        <v>64</v>
      </c>
      <c r="C4696" s="3" t="s">
        <v>64</v>
      </c>
      <c r="D4696" s="16" t="s">
        <v>64</v>
      </c>
      <c r="E4696" s="16">
        <v>0</v>
      </c>
      <c r="F4696" s="16" t="s">
        <v>64</v>
      </c>
      <c r="G4696" s="16" t="s">
        <v>64</v>
      </c>
    </row>
    <row r="4697" spans="1:7" x14ac:dyDescent="0.2">
      <c r="A4697" t="s">
        <v>64</v>
      </c>
      <c r="B4697" t="s">
        <v>64</v>
      </c>
      <c r="C4697" s="3" t="s">
        <v>64</v>
      </c>
      <c r="D4697" s="16" t="s">
        <v>64</v>
      </c>
      <c r="E4697" s="16">
        <v>0</v>
      </c>
      <c r="F4697" s="16" t="s">
        <v>64</v>
      </c>
      <c r="G4697" s="16" t="s">
        <v>64</v>
      </c>
    </row>
    <row r="4698" spans="1:7" x14ac:dyDescent="0.2">
      <c r="A4698" t="s">
        <v>64</v>
      </c>
      <c r="B4698" t="s">
        <v>64</v>
      </c>
      <c r="C4698" s="3" t="s">
        <v>64</v>
      </c>
      <c r="D4698" s="16" t="s">
        <v>64</v>
      </c>
      <c r="E4698" s="16">
        <v>0</v>
      </c>
      <c r="F4698" s="16" t="s">
        <v>64</v>
      </c>
      <c r="G4698" s="16" t="s">
        <v>64</v>
      </c>
    </row>
    <row r="4699" spans="1:7" x14ac:dyDescent="0.2">
      <c r="A4699" t="s">
        <v>64</v>
      </c>
      <c r="B4699" t="s">
        <v>64</v>
      </c>
      <c r="C4699" s="3" t="s">
        <v>64</v>
      </c>
      <c r="D4699" s="16" t="s">
        <v>64</v>
      </c>
      <c r="E4699" s="16">
        <v>0</v>
      </c>
      <c r="F4699" s="16" t="s">
        <v>64</v>
      </c>
      <c r="G4699" s="16" t="s">
        <v>64</v>
      </c>
    </row>
    <row r="4700" spans="1:7" x14ac:dyDescent="0.2">
      <c r="A4700" t="s">
        <v>64</v>
      </c>
      <c r="B4700" t="s">
        <v>64</v>
      </c>
      <c r="C4700" s="3" t="s">
        <v>64</v>
      </c>
      <c r="D4700" s="16" t="s">
        <v>64</v>
      </c>
      <c r="E4700" s="16">
        <v>0</v>
      </c>
      <c r="F4700" s="16" t="s">
        <v>64</v>
      </c>
      <c r="G4700" s="16" t="s">
        <v>64</v>
      </c>
    </row>
    <row r="4701" spans="1:7" x14ac:dyDescent="0.2">
      <c r="A4701" t="s">
        <v>64</v>
      </c>
      <c r="B4701" t="s">
        <v>64</v>
      </c>
      <c r="C4701" s="3" t="s">
        <v>64</v>
      </c>
      <c r="D4701" s="16" t="s">
        <v>64</v>
      </c>
      <c r="E4701" s="16">
        <v>0</v>
      </c>
      <c r="F4701" s="16" t="s">
        <v>64</v>
      </c>
      <c r="G4701" s="16" t="s">
        <v>64</v>
      </c>
    </row>
    <row r="4702" spans="1:7" x14ac:dyDescent="0.2">
      <c r="A4702" t="s">
        <v>64</v>
      </c>
      <c r="B4702" t="s">
        <v>64</v>
      </c>
      <c r="C4702" s="3" t="s">
        <v>64</v>
      </c>
      <c r="D4702" s="16" t="s">
        <v>64</v>
      </c>
      <c r="E4702" s="16">
        <v>0</v>
      </c>
      <c r="F4702" s="16" t="s">
        <v>64</v>
      </c>
      <c r="G4702" s="16" t="s">
        <v>64</v>
      </c>
    </row>
    <row r="4703" spans="1:7" x14ac:dyDescent="0.2">
      <c r="A4703" t="s">
        <v>64</v>
      </c>
      <c r="B4703" t="s">
        <v>64</v>
      </c>
      <c r="C4703" s="3" t="s">
        <v>64</v>
      </c>
      <c r="D4703" s="16" t="s">
        <v>64</v>
      </c>
      <c r="E4703" s="16">
        <v>0</v>
      </c>
      <c r="F4703" s="16" t="s">
        <v>64</v>
      </c>
      <c r="G4703" s="16" t="s">
        <v>64</v>
      </c>
    </row>
    <row r="4704" spans="1:7" x14ac:dyDescent="0.2">
      <c r="A4704" t="s">
        <v>64</v>
      </c>
      <c r="B4704" t="s">
        <v>64</v>
      </c>
      <c r="C4704" s="3" t="s">
        <v>64</v>
      </c>
      <c r="D4704" s="16" t="s">
        <v>64</v>
      </c>
      <c r="E4704" s="16">
        <v>0</v>
      </c>
      <c r="F4704" s="16" t="s">
        <v>64</v>
      </c>
      <c r="G4704" s="16" t="s">
        <v>64</v>
      </c>
    </row>
    <row r="4705" spans="1:7" x14ac:dyDescent="0.2">
      <c r="A4705" t="s">
        <v>64</v>
      </c>
      <c r="B4705" t="s">
        <v>64</v>
      </c>
      <c r="C4705" s="3" t="s">
        <v>64</v>
      </c>
      <c r="D4705" s="16" t="s">
        <v>64</v>
      </c>
      <c r="E4705" s="16">
        <v>0</v>
      </c>
      <c r="F4705" s="16" t="s">
        <v>64</v>
      </c>
      <c r="G4705" s="16" t="s">
        <v>64</v>
      </c>
    </row>
    <row r="4706" spans="1:7" x14ac:dyDescent="0.2">
      <c r="A4706" t="s">
        <v>64</v>
      </c>
      <c r="B4706" t="s">
        <v>64</v>
      </c>
      <c r="C4706" s="3" t="s">
        <v>64</v>
      </c>
      <c r="D4706" s="16" t="s">
        <v>64</v>
      </c>
      <c r="E4706" s="16">
        <v>0</v>
      </c>
      <c r="F4706" s="16" t="s">
        <v>64</v>
      </c>
      <c r="G4706" s="16" t="s">
        <v>64</v>
      </c>
    </row>
    <row r="4707" spans="1:7" x14ac:dyDescent="0.2">
      <c r="A4707" t="s">
        <v>64</v>
      </c>
      <c r="B4707" t="s">
        <v>64</v>
      </c>
      <c r="C4707" s="3" t="s">
        <v>64</v>
      </c>
      <c r="D4707" s="16" t="s">
        <v>64</v>
      </c>
      <c r="E4707" s="16">
        <v>0</v>
      </c>
      <c r="F4707" s="16" t="s">
        <v>64</v>
      </c>
      <c r="G4707" s="16" t="s">
        <v>64</v>
      </c>
    </row>
    <row r="4708" spans="1:7" x14ac:dyDescent="0.2">
      <c r="A4708" t="s">
        <v>64</v>
      </c>
      <c r="B4708" t="s">
        <v>64</v>
      </c>
      <c r="C4708" s="3" t="s">
        <v>64</v>
      </c>
      <c r="D4708" s="16" t="s">
        <v>64</v>
      </c>
      <c r="E4708" s="16">
        <v>0</v>
      </c>
      <c r="F4708" s="16" t="s">
        <v>64</v>
      </c>
      <c r="G4708" s="16" t="s">
        <v>64</v>
      </c>
    </row>
    <row r="4709" spans="1:7" x14ac:dyDescent="0.2">
      <c r="A4709" t="s">
        <v>64</v>
      </c>
      <c r="B4709" t="s">
        <v>64</v>
      </c>
      <c r="C4709" s="3" t="s">
        <v>64</v>
      </c>
      <c r="D4709" s="16" t="s">
        <v>64</v>
      </c>
      <c r="E4709" s="16">
        <v>0</v>
      </c>
      <c r="F4709" s="16" t="s">
        <v>64</v>
      </c>
      <c r="G4709" s="16" t="s">
        <v>64</v>
      </c>
    </row>
    <row r="4710" spans="1:7" x14ac:dyDescent="0.2">
      <c r="A4710" t="s">
        <v>64</v>
      </c>
      <c r="B4710" t="s">
        <v>64</v>
      </c>
      <c r="C4710" s="3" t="s">
        <v>64</v>
      </c>
      <c r="D4710" s="16" t="s">
        <v>64</v>
      </c>
      <c r="E4710" s="16">
        <v>0</v>
      </c>
      <c r="F4710" s="16" t="s">
        <v>64</v>
      </c>
      <c r="G4710" s="16" t="s">
        <v>64</v>
      </c>
    </row>
    <row r="4711" spans="1:7" x14ac:dyDescent="0.2">
      <c r="A4711" t="s">
        <v>64</v>
      </c>
      <c r="B4711" t="s">
        <v>64</v>
      </c>
      <c r="C4711" s="3" t="s">
        <v>64</v>
      </c>
      <c r="D4711" s="16" t="s">
        <v>64</v>
      </c>
      <c r="E4711" s="16">
        <v>0</v>
      </c>
      <c r="F4711" s="16" t="s">
        <v>64</v>
      </c>
      <c r="G4711" s="16" t="s">
        <v>64</v>
      </c>
    </row>
    <row r="4712" spans="1:7" x14ac:dyDescent="0.2">
      <c r="A4712" t="s">
        <v>64</v>
      </c>
      <c r="B4712" t="s">
        <v>64</v>
      </c>
      <c r="C4712" s="3" t="s">
        <v>64</v>
      </c>
      <c r="D4712" s="16" t="s">
        <v>64</v>
      </c>
      <c r="E4712" s="16">
        <v>0</v>
      </c>
      <c r="F4712" s="16" t="s">
        <v>64</v>
      </c>
      <c r="G4712" s="16" t="s">
        <v>64</v>
      </c>
    </row>
    <row r="4713" spans="1:7" x14ac:dyDescent="0.2">
      <c r="A4713" t="s">
        <v>64</v>
      </c>
      <c r="B4713" t="s">
        <v>64</v>
      </c>
      <c r="C4713" s="3" t="s">
        <v>64</v>
      </c>
      <c r="D4713" s="16" t="s">
        <v>64</v>
      </c>
      <c r="E4713" s="16">
        <v>0</v>
      </c>
      <c r="F4713" s="16" t="s">
        <v>64</v>
      </c>
      <c r="G4713" s="16" t="s">
        <v>64</v>
      </c>
    </row>
    <row r="4714" spans="1:7" x14ac:dyDescent="0.2">
      <c r="A4714" t="s">
        <v>64</v>
      </c>
      <c r="B4714" t="s">
        <v>64</v>
      </c>
      <c r="C4714" s="3" t="s">
        <v>64</v>
      </c>
      <c r="D4714" s="16" t="s">
        <v>64</v>
      </c>
      <c r="E4714" s="16">
        <v>0</v>
      </c>
      <c r="F4714" s="16" t="s">
        <v>64</v>
      </c>
      <c r="G4714" s="16" t="s">
        <v>64</v>
      </c>
    </row>
    <row r="4715" spans="1:7" x14ac:dyDescent="0.2">
      <c r="A4715" t="s">
        <v>64</v>
      </c>
      <c r="B4715" t="s">
        <v>64</v>
      </c>
      <c r="C4715" s="3" t="s">
        <v>64</v>
      </c>
      <c r="D4715" s="16" t="s">
        <v>64</v>
      </c>
      <c r="E4715" s="16">
        <v>0</v>
      </c>
      <c r="F4715" s="16" t="s">
        <v>64</v>
      </c>
      <c r="G4715" s="16" t="s">
        <v>64</v>
      </c>
    </row>
    <row r="4716" spans="1:7" x14ac:dyDescent="0.2">
      <c r="A4716" t="s">
        <v>64</v>
      </c>
      <c r="B4716" t="s">
        <v>64</v>
      </c>
      <c r="C4716" s="3" t="s">
        <v>64</v>
      </c>
      <c r="D4716" s="16" t="s">
        <v>64</v>
      </c>
      <c r="E4716" s="16">
        <v>0</v>
      </c>
      <c r="F4716" s="16" t="s">
        <v>64</v>
      </c>
      <c r="G4716" s="16" t="s">
        <v>64</v>
      </c>
    </row>
    <row r="4717" spans="1:7" x14ac:dyDescent="0.2">
      <c r="A4717" t="s">
        <v>64</v>
      </c>
      <c r="B4717" t="s">
        <v>64</v>
      </c>
      <c r="C4717" s="3" t="s">
        <v>64</v>
      </c>
      <c r="D4717" s="16" t="s">
        <v>64</v>
      </c>
      <c r="E4717" s="16">
        <v>0</v>
      </c>
      <c r="F4717" s="16" t="s">
        <v>64</v>
      </c>
      <c r="G4717" s="16" t="s">
        <v>64</v>
      </c>
    </row>
    <row r="4718" spans="1:7" x14ac:dyDescent="0.2">
      <c r="A4718" t="s">
        <v>64</v>
      </c>
      <c r="B4718" t="s">
        <v>64</v>
      </c>
      <c r="C4718" s="3" t="s">
        <v>64</v>
      </c>
      <c r="D4718" s="16" t="s">
        <v>64</v>
      </c>
      <c r="E4718" s="16">
        <v>0</v>
      </c>
      <c r="F4718" s="16" t="s">
        <v>64</v>
      </c>
      <c r="G4718" s="16" t="s">
        <v>64</v>
      </c>
    </row>
    <row r="4719" spans="1:7" x14ac:dyDescent="0.2">
      <c r="A4719" t="s">
        <v>64</v>
      </c>
      <c r="B4719" t="s">
        <v>64</v>
      </c>
      <c r="C4719" s="3" t="s">
        <v>64</v>
      </c>
      <c r="D4719" s="16" t="s">
        <v>64</v>
      </c>
      <c r="E4719" s="16">
        <v>0</v>
      </c>
      <c r="F4719" s="16" t="s">
        <v>64</v>
      </c>
      <c r="G4719" s="16" t="s">
        <v>64</v>
      </c>
    </row>
    <row r="4720" spans="1:7" x14ac:dyDescent="0.2">
      <c r="A4720" t="s">
        <v>64</v>
      </c>
      <c r="B4720" t="s">
        <v>64</v>
      </c>
      <c r="C4720" s="3" t="s">
        <v>64</v>
      </c>
      <c r="D4720" s="16" t="s">
        <v>64</v>
      </c>
      <c r="E4720" s="16">
        <v>0</v>
      </c>
      <c r="F4720" s="16" t="s">
        <v>64</v>
      </c>
      <c r="G4720" s="16" t="s">
        <v>64</v>
      </c>
    </row>
    <row r="4721" spans="1:7" x14ac:dyDescent="0.2">
      <c r="A4721" t="s">
        <v>64</v>
      </c>
      <c r="B4721" t="s">
        <v>64</v>
      </c>
      <c r="C4721" s="3" t="s">
        <v>64</v>
      </c>
      <c r="D4721" s="16" t="s">
        <v>64</v>
      </c>
      <c r="E4721" s="16">
        <v>0</v>
      </c>
      <c r="F4721" s="16" t="s">
        <v>64</v>
      </c>
      <c r="G4721" s="16" t="s">
        <v>64</v>
      </c>
    </row>
    <row r="4722" spans="1:7" x14ac:dyDescent="0.2">
      <c r="A4722" t="s">
        <v>64</v>
      </c>
      <c r="B4722" t="s">
        <v>64</v>
      </c>
      <c r="C4722" s="3" t="s">
        <v>64</v>
      </c>
      <c r="D4722" s="16" t="s">
        <v>64</v>
      </c>
      <c r="E4722" s="16">
        <v>0</v>
      </c>
      <c r="F4722" s="16" t="s">
        <v>64</v>
      </c>
      <c r="G4722" s="16" t="s">
        <v>64</v>
      </c>
    </row>
    <row r="4723" spans="1:7" x14ac:dyDescent="0.2">
      <c r="A4723" t="s">
        <v>64</v>
      </c>
      <c r="B4723" t="s">
        <v>64</v>
      </c>
      <c r="C4723" s="3" t="s">
        <v>64</v>
      </c>
      <c r="D4723" s="16" t="s">
        <v>64</v>
      </c>
      <c r="E4723" s="16">
        <v>0</v>
      </c>
      <c r="F4723" s="16" t="s">
        <v>64</v>
      </c>
      <c r="G4723" s="16" t="s">
        <v>64</v>
      </c>
    </row>
    <row r="4724" spans="1:7" x14ac:dyDescent="0.2">
      <c r="A4724" t="s">
        <v>64</v>
      </c>
      <c r="B4724" t="s">
        <v>64</v>
      </c>
      <c r="C4724" s="3" t="s">
        <v>64</v>
      </c>
      <c r="D4724" s="16" t="s">
        <v>64</v>
      </c>
      <c r="E4724" s="16">
        <v>0</v>
      </c>
      <c r="F4724" s="16" t="s">
        <v>64</v>
      </c>
      <c r="G4724" s="16" t="s">
        <v>64</v>
      </c>
    </row>
    <row r="4725" spans="1:7" x14ac:dyDescent="0.2">
      <c r="A4725" t="s">
        <v>64</v>
      </c>
      <c r="B4725" t="s">
        <v>64</v>
      </c>
      <c r="C4725" s="3" t="s">
        <v>64</v>
      </c>
      <c r="D4725" s="16" t="s">
        <v>64</v>
      </c>
      <c r="E4725" s="16">
        <v>0</v>
      </c>
      <c r="F4725" s="16" t="s">
        <v>64</v>
      </c>
      <c r="G4725" s="16" t="s">
        <v>64</v>
      </c>
    </row>
    <row r="4726" spans="1:7" x14ac:dyDescent="0.2">
      <c r="A4726" t="s">
        <v>64</v>
      </c>
      <c r="B4726" t="s">
        <v>64</v>
      </c>
      <c r="C4726" s="3" t="s">
        <v>64</v>
      </c>
      <c r="D4726" s="16" t="s">
        <v>64</v>
      </c>
      <c r="E4726" s="16">
        <v>0</v>
      </c>
      <c r="F4726" s="16" t="s">
        <v>64</v>
      </c>
      <c r="G4726" s="16" t="s">
        <v>64</v>
      </c>
    </row>
    <row r="4727" spans="1:7" x14ac:dyDescent="0.2">
      <c r="A4727" t="s">
        <v>64</v>
      </c>
      <c r="B4727" t="s">
        <v>64</v>
      </c>
      <c r="C4727" s="3" t="s">
        <v>64</v>
      </c>
      <c r="D4727" s="16" t="s">
        <v>64</v>
      </c>
      <c r="E4727" s="16">
        <v>0</v>
      </c>
      <c r="F4727" s="16" t="s">
        <v>64</v>
      </c>
      <c r="G4727" s="16" t="s">
        <v>64</v>
      </c>
    </row>
    <row r="4728" spans="1:7" x14ac:dyDescent="0.2">
      <c r="A4728" t="s">
        <v>64</v>
      </c>
      <c r="B4728" t="s">
        <v>64</v>
      </c>
      <c r="C4728" s="3" t="s">
        <v>64</v>
      </c>
      <c r="D4728" s="16" t="s">
        <v>64</v>
      </c>
      <c r="E4728" s="16">
        <v>0</v>
      </c>
      <c r="F4728" s="16" t="s">
        <v>64</v>
      </c>
      <c r="G4728" s="16" t="s">
        <v>64</v>
      </c>
    </row>
    <row r="4729" spans="1:7" x14ac:dyDescent="0.2">
      <c r="A4729" t="s">
        <v>64</v>
      </c>
      <c r="B4729" t="s">
        <v>64</v>
      </c>
      <c r="C4729" s="3" t="s">
        <v>64</v>
      </c>
      <c r="D4729" s="16" t="s">
        <v>64</v>
      </c>
      <c r="E4729" s="16">
        <v>0</v>
      </c>
      <c r="F4729" s="16" t="s">
        <v>64</v>
      </c>
      <c r="G4729" s="16" t="s">
        <v>64</v>
      </c>
    </row>
    <row r="4730" spans="1:7" x14ac:dyDescent="0.2">
      <c r="A4730" t="s">
        <v>64</v>
      </c>
      <c r="B4730" t="s">
        <v>64</v>
      </c>
      <c r="C4730" s="3" t="s">
        <v>64</v>
      </c>
      <c r="D4730" s="16" t="s">
        <v>64</v>
      </c>
      <c r="E4730" s="16">
        <v>0</v>
      </c>
      <c r="F4730" s="16" t="s">
        <v>64</v>
      </c>
      <c r="G4730" s="16" t="s">
        <v>64</v>
      </c>
    </row>
    <row r="4731" spans="1:7" x14ac:dyDescent="0.2">
      <c r="A4731" t="s">
        <v>64</v>
      </c>
      <c r="B4731" t="s">
        <v>64</v>
      </c>
      <c r="C4731" s="3" t="s">
        <v>64</v>
      </c>
      <c r="D4731" s="16" t="s">
        <v>64</v>
      </c>
      <c r="E4731" s="16">
        <v>0</v>
      </c>
      <c r="F4731" s="16" t="s">
        <v>64</v>
      </c>
      <c r="G4731" s="16" t="s">
        <v>64</v>
      </c>
    </row>
    <row r="4732" spans="1:7" x14ac:dyDescent="0.2">
      <c r="A4732" t="s">
        <v>64</v>
      </c>
      <c r="B4732" t="s">
        <v>64</v>
      </c>
      <c r="C4732" s="3" t="s">
        <v>64</v>
      </c>
      <c r="D4732" s="16" t="s">
        <v>64</v>
      </c>
      <c r="E4732" s="16">
        <v>0</v>
      </c>
      <c r="F4732" s="16" t="s">
        <v>64</v>
      </c>
      <c r="G4732" s="16" t="s">
        <v>64</v>
      </c>
    </row>
    <row r="4733" spans="1:7" x14ac:dyDescent="0.2">
      <c r="A4733" t="s">
        <v>64</v>
      </c>
      <c r="B4733" t="s">
        <v>64</v>
      </c>
      <c r="C4733" s="3" t="s">
        <v>64</v>
      </c>
      <c r="D4733" s="16" t="s">
        <v>64</v>
      </c>
      <c r="E4733" s="16">
        <v>0</v>
      </c>
      <c r="F4733" s="16" t="s">
        <v>64</v>
      </c>
      <c r="G4733" s="16" t="s">
        <v>64</v>
      </c>
    </row>
    <row r="4734" spans="1:7" x14ac:dyDescent="0.2">
      <c r="A4734" t="s">
        <v>64</v>
      </c>
      <c r="B4734" t="s">
        <v>64</v>
      </c>
      <c r="C4734" s="3" t="s">
        <v>64</v>
      </c>
      <c r="D4734" s="16" t="s">
        <v>64</v>
      </c>
      <c r="E4734" s="16">
        <v>0</v>
      </c>
      <c r="F4734" s="16" t="s">
        <v>64</v>
      </c>
      <c r="G4734" s="16" t="s">
        <v>64</v>
      </c>
    </row>
    <row r="4735" spans="1:7" x14ac:dyDescent="0.2">
      <c r="A4735" t="s">
        <v>64</v>
      </c>
      <c r="B4735" t="s">
        <v>64</v>
      </c>
      <c r="C4735" s="3" t="s">
        <v>64</v>
      </c>
      <c r="D4735" s="16" t="s">
        <v>64</v>
      </c>
      <c r="E4735" s="16">
        <v>0</v>
      </c>
      <c r="F4735" s="16" t="s">
        <v>64</v>
      </c>
      <c r="G4735" s="16" t="s">
        <v>64</v>
      </c>
    </row>
    <row r="4736" spans="1:7" x14ac:dyDescent="0.2">
      <c r="A4736" t="s">
        <v>64</v>
      </c>
      <c r="B4736" t="s">
        <v>64</v>
      </c>
      <c r="C4736" s="3" t="s">
        <v>64</v>
      </c>
      <c r="D4736" s="16" t="s">
        <v>64</v>
      </c>
      <c r="E4736" s="16">
        <v>0</v>
      </c>
      <c r="F4736" s="16" t="s">
        <v>64</v>
      </c>
      <c r="G4736" s="16" t="s">
        <v>64</v>
      </c>
    </row>
    <row r="4737" spans="1:7" x14ac:dyDescent="0.2">
      <c r="A4737" t="s">
        <v>64</v>
      </c>
      <c r="B4737" t="s">
        <v>64</v>
      </c>
      <c r="C4737" s="3" t="s">
        <v>64</v>
      </c>
      <c r="D4737" s="16" t="s">
        <v>64</v>
      </c>
      <c r="E4737" s="16">
        <v>0</v>
      </c>
      <c r="F4737" s="16" t="s">
        <v>64</v>
      </c>
      <c r="G4737" s="16" t="s">
        <v>64</v>
      </c>
    </row>
    <row r="4738" spans="1:7" x14ac:dyDescent="0.2">
      <c r="A4738" t="s">
        <v>64</v>
      </c>
      <c r="B4738" t="s">
        <v>64</v>
      </c>
      <c r="C4738" s="3" t="s">
        <v>64</v>
      </c>
      <c r="D4738" s="16" t="s">
        <v>64</v>
      </c>
      <c r="E4738" s="16">
        <v>0</v>
      </c>
      <c r="F4738" s="16" t="s">
        <v>64</v>
      </c>
      <c r="G4738" s="16" t="s">
        <v>64</v>
      </c>
    </row>
    <row r="4739" spans="1:7" x14ac:dyDescent="0.2">
      <c r="A4739" t="s">
        <v>64</v>
      </c>
      <c r="B4739" t="s">
        <v>64</v>
      </c>
      <c r="C4739" s="3" t="s">
        <v>64</v>
      </c>
      <c r="D4739" s="16" t="s">
        <v>64</v>
      </c>
      <c r="E4739" s="16">
        <v>0</v>
      </c>
      <c r="F4739" s="16" t="s">
        <v>64</v>
      </c>
      <c r="G4739" s="16" t="s">
        <v>64</v>
      </c>
    </row>
    <row r="4740" spans="1:7" x14ac:dyDescent="0.2">
      <c r="A4740" t="s">
        <v>64</v>
      </c>
      <c r="B4740" t="s">
        <v>64</v>
      </c>
      <c r="C4740" s="3" t="s">
        <v>64</v>
      </c>
      <c r="D4740" s="16" t="s">
        <v>64</v>
      </c>
      <c r="E4740" s="16">
        <v>0</v>
      </c>
      <c r="F4740" s="16" t="s">
        <v>64</v>
      </c>
      <c r="G4740" s="16" t="s">
        <v>64</v>
      </c>
    </row>
    <row r="4741" spans="1:7" x14ac:dyDescent="0.2">
      <c r="A4741" t="s">
        <v>64</v>
      </c>
      <c r="B4741" t="s">
        <v>64</v>
      </c>
      <c r="C4741" s="3" t="s">
        <v>64</v>
      </c>
      <c r="D4741" s="16" t="s">
        <v>64</v>
      </c>
      <c r="E4741" s="16">
        <v>0</v>
      </c>
      <c r="F4741" s="16" t="s">
        <v>64</v>
      </c>
      <c r="G4741" s="16" t="s">
        <v>64</v>
      </c>
    </row>
    <row r="4742" spans="1:7" x14ac:dyDescent="0.2">
      <c r="A4742" t="s">
        <v>64</v>
      </c>
      <c r="B4742" t="s">
        <v>64</v>
      </c>
      <c r="C4742" s="3" t="s">
        <v>64</v>
      </c>
      <c r="D4742" s="16" t="s">
        <v>64</v>
      </c>
      <c r="E4742" s="16">
        <v>0</v>
      </c>
      <c r="F4742" s="16" t="s">
        <v>64</v>
      </c>
      <c r="G4742" s="16" t="s">
        <v>64</v>
      </c>
    </row>
    <row r="4743" spans="1:7" x14ac:dyDescent="0.2">
      <c r="A4743" t="s">
        <v>64</v>
      </c>
      <c r="B4743" t="s">
        <v>64</v>
      </c>
      <c r="C4743" s="3" t="s">
        <v>64</v>
      </c>
      <c r="D4743" s="16" t="s">
        <v>64</v>
      </c>
      <c r="E4743" s="16">
        <v>0</v>
      </c>
      <c r="F4743" s="16" t="s">
        <v>64</v>
      </c>
      <c r="G4743" s="16" t="s">
        <v>64</v>
      </c>
    </row>
    <row r="4744" spans="1:7" x14ac:dyDescent="0.2">
      <c r="A4744" t="s">
        <v>64</v>
      </c>
      <c r="B4744" t="s">
        <v>64</v>
      </c>
      <c r="C4744" s="3" t="s">
        <v>64</v>
      </c>
      <c r="D4744" s="16" t="s">
        <v>64</v>
      </c>
      <c r="E4744" s="16">
        <v>0</v>
      </c>
      <c r="F4744" s="16" t="s">
        <v>64</v>
      </c>
      <c r="G4744" s="16" t="s">
        <v>64</v>
      </c>
    </row>
    <row r="4745" spans="1:7" x14ac:dyDescent="0.2">
      <c r="A4745" t="s">
        <v>64</v>
      </c>
      <c r="B4745" t="s">
        <v>64</v>
      </c>
      <c r="C4745" s="3" t="s">
        <v>64</v>
      </c>
      <c r="D4745" s="16" t="s">
        <v>64</v>
      </c>
      <c r="E4745" s="16">
        <v>0</v>
      </c>
      <c r="F4745" s="16" t="s">
        <v>64</v>
      </c>
      <c r="G4745" s="16" t="s">
        <v>64</v>
      </c>
    </row>
    <row r="4746" spans="1:7" x14ac:dyDescent="0.2">
      <c r="A4746" t="s">
        <v>64</v>
      </c>
      <c r="B4746" t="s">
        <v>64</v>
      </c>
      <c r="C4746" s="3" t="s">
        <v>64</v>
      </c>
      <c r="D4746" s="16" t="s">
        <v>64</v>
      </c>
      <c r="E4746" s="16">
        <v>0</v>
      </c>
      <c r="F4746" s="16" t="s">
        <v>64</v>
      </c>
      <c r="G4746" s="16" t="s">
        <v>64</v>
      </c>
    </row>
    <row r="4747" spans="1:7" x14ac:dyDescent="0.2">
      <c r="A4747" t="s">
        <v>64</v>
      </c>
      <c r="B4747" t="s">
        <v>64</v>
      </c>
      <c r="C4747" s="3" t="s">
        <v>64</v>
      </c>
      <c r="D4747" s="16" t="s">
        <v>64</v>
      </c>
      <c r="E4747" s="16">
        <v>0</v>
      </c>
      <c r="F4747" s="16" t="s">
        <v>64</v>
      </c>
      <c r="G4747" s="16" t="s">
        <v>64</v>
      </c>
    </row>
    <row r="4748" spans="1:7" x14ac:dyDescent="0.2">
      <c r="A4748" t="s">
        <v>64</v>
      </c>
      <c r="B4748" t="s">
        <v>64</v>
      </c>
      <c r="C4748" s="3" t="s">
        <v>64</v>
      </c>
      <c r="D4748" s="16" t="s">
        <v>64</v>
      </c>
      <c r="E4748" s="16">
        <v>0</v>
      </c>
      <c r="F4748" s="16" t="s">
        <v>64</v>
      </c>
      <c r="G4748" s="16" t="s">
        <v>64</v>
      </c>
    </row>
    <row r="4749" spans="1:7" x14ac:dyDescent="0.2">
      <c r="A4749" t="s">
        <v>64</v>
      </c>
      <c r="B4749" t="s">
        <v>64</v>
      </c>
      <c r="C4749" s="3" t="s">
        <v>64</v>
      </c>
      <c r="D4749" s="16" t="s">
        <v>64</v>
      </c>
      <c r="E4749" s="16">
        <v>0</v>
      </c>
      <c r="F4749" s="16" t="s">
        <v>64</v>
      </c>
      <c r="G4749" s="16" t="s">
        <v>64</v>
      </c>
    </row>
    <row r="4750" spans="1:7" x14ac:dyDescent="0.2">
      <c r="A4750" t="s">
        <v>64</v>
      </c>
      <c r="B4750" t="s">
        <v>64</v>
      </c>
      <c r="C4750" s="3" t="s">
        <v>64</v>
      </c>
      <c r="D4750" s="16" t="s">
        <v>64</v>
      </c>
      <c r="E4750" s="16">
        <v>0</v>
      </c>
      <c r="F4750" s="16" t="s">
        <v>64</v>
      </c>
      <c r="G4750" s="16" t="s">
        <v>64</v>
      </c>
    </row>
    <row r="4751" spans="1:7" x14ac:dyDescent="0.2">
      <c r="A4751" t="s">
        <v>64</v>
      </c>
      <c r="B4751" t="s">
        <v>64</v>
      </c>
      <c r="C4751" s="3" t="s">
        <v>64</v>
      </c>
      <c r="D4751" s="16" t="s">
        <v>64</v>
      </c>
      <c r="E4751" s="16">
        <v>0</v>
      </c>
      <c r="F4751" s="16" t="s">
        <v>64</v>
      </c>
      <c r="G4751" s="16" t="s">
        <v>64</v>
      </c>
    </row>
    <row r="4752" spans="1:7" x14ac:dyDescent="0.2">
      <c r="A4752" t="s">
        <v>64</v>
      </c>
      <c r="B4752" t="s">
        <v>64</v>
      </c>
      <c r="C4752" s="3" t="s">
        <v>64</v>
      </c>
      <c r="D4752" s="16" t="s">
        <v>64</v>
      </c>
      <c r="E4752" s="16">
        <v>0</v>
      </c>
      <c r="F4752" s="16" t="s">
        <v>64</v>
      </c>
      <c r="G4752" s="16" t="s">
        <v>64</v>
      </c>
    </row>
    <row r="4753" spans="1:7" x14ac:dyDescent="0.2">
      <c r="A4753" t="s">
        <v>64</v>
      </c>
      <c r="B4753" t="s">
        <v>64</v>
      </c>
      <c r="C4753" s="3" t="s">
        <v>64</v>
      </c>
      <c r="D4753" s="16" t="s">
        <v>64</v>
      </c>
      <c r="E4753" s="16">
        <v>0</v>
      </c>
      <c r="F4753" s="16" t="s">
        <v>64</v>
      </c>
      <c r="G4753" s="16" t="s">
        <v>64</v>
      </c>
    </row>
    <row r="4754" spans="1:7" x14ac:dyDescent="0.2">
      <c r="A4754" t="s">
        <v>64</v>
      </c>
      <c r="B4754" t="s">
        <v>64</v>
      </c>
      <c r="C4754" s="3" t="s">
        <v>64</v>
      </c>
      <c r="D4754" s="16" t="s">
        <v>64</v>
      </c>
      <c r="E4754" s="16">
        <v>0</v>
      </c>
      <c r="F4754" s="16" t="s">
        <v>64</v>
      </c>
      <c r="G4754" s="16" t="s">
        <v>64</v>
      </c>
    </row>
    <row r="4755" spans="1:7" x14ac:dyDescent="0.2">
      <c r="A4755" t="s">
        <v>64</v>
      </c>
      <c r="B4755" t="s">
        <v>64</v>
      </c>
      <c r="C4755" s="3" t="s">
        <v>64</v>
      </c>
      <c r="D4755" s="16" t="s">
        <v>64</v>
      </c>
      <c r="E4755" s="16">
        <v>0</v>
      </c>
      <c r="F4755" s="16" t="s">
        <v>64</v>
      </c>
      <c r="G4755" s="16" t="s">
        <v>64</v>
      </c>
    </row>
    <row r="4756" spans="1:7" x14ac:dyDescent="0.2">
      <c r="A4756" t="s">
        <v>64</v>
      </c>
      <c r="B4756" t="s">
        <v>64</v>
      </c>
      <c r="C4756" s="3" t="s">
        <v>64</v>
      </c>
      <c r="D4756" s="16" t="s">
        <v>64</v>
      </c>
      <c r="E4756" s="16">
        <v>0</v>
      </c>
      <c r="F4756" s="16" t="s">
        <v>64</v>
      </c>
      <c r="G4756" s="16" t="s">
        <v>64</v>
      </c>
    </row>
    <row r="4757" spans="1:7" x14ac:dyDescent="0.2">
      <c r="A4757" t="s">
        <v>64</v>
      </c>
      <c r="B4757" t="s">
        <v>64</v>
      </c>
      <c r="C4757" s="3" t="s">
        <v>64</v>
      </c>
      <c r="D4757" s="16" t="s">
        <v>64</v>
      </c>
      <c r="E4757" s="16">
        <v>0</v>
      </c>
      <c r="F4757" s="16" t="s">
        <v>64</v>
      </c>
      <c r="G4757" s="16" t="s">
        <v>64</v>
      </c>
    </row>
    <row r="4758" spans="1:7" x14ac:dyDescent="0.2">
      <c r="A4758" t="s">
        <v>64</v>
      </c>
      <c r="B4758" t="s">
        <v>64</v>
      </c>
      <c r="C4758" s="3" t="s">
        <v>64</v>
      </c>
      <c r="D4758" s="16" t="s">
        <v>64</v>
      </c>
      <c r="E4758" s="16">
        <v>0</v>
      </c>
      <c r="F4758" s="16" t="s">
        <v>64</v>
      </c>
      <c r="G4758" s="16" t="s">
        <v>64</v>
      </c>
    </row>
    <row r="4759" spans="1:7" x14ac:dyDescent="0.2">
      <c r="A4759" t="s">
        <v>64</v>
      </c>
      <c r="B4759" t="s">
        <v>64</v>
      </c>
      <c r="C4759" s="3" t="s">
        <v>64</v>
      </c>
      <c r="D4759" s="16" t="s">
        <v>64</v>
      </c>
      <c r="E4759" s="16">
        <v>0</v>
      </c>
      <c r="F4759" s="16" t="s">
        <v>64</v>
      </c>
      <c r="G4759" s="16" t="s">
        <v>64</v>
      </c>
    </row>
    <row r="4760" spans="1:7" x14ac:dyDescent="0.2">
      <c r="A4760" t="s">
        <v>64</v>
      </c>
      <c r="B4760" t="s">
        <v>64</v>
      </c>
      <c r="C4760" s="3" t="s">
        <v>64</v>
      </c>
      <c r="D4760" s="16" t="s">
        <v>64</v>
      </c>
      <c r="E4760" s="16">
        <v>0</v>
      </c>
      <c r="F4760" s="16" t="s">
        <v>64</v>
      </c>
      <c r="G4760" s="16" t="s">
        <v>64</v>
      </c>
    </row>
    <row r="4761" spans="1:7" x14ac:dyDescent="0.2">
      <c r="A4761" t="s">
        <v>64</v>
      </c>
      <c r="B4761" t="s">
        <v>64</v>
      </c>
      <c r="C4761" s="3" t="s">
        <v>64</v>
      </c>
      <c r="D4761" s="16" t="s">
        <v>64</v>
      </c>
      <c r="E4761" s="16">
        <v>0</v>
      </c>
      <c r="F4761" s="16" t="s">
        <v>64</v>
      </c>
      <c r="G4761" s="16" t="s">
        <v>64</v>
      </c>
    </row>
    <row r="4762" spans="1:7" x14ac:dyDescent="0.2">
      <c r="A4762" t="s">
        <v>64</v>
      </c>
      <c r="B4762" t="s">
        <v>64</v>
      </c>
      <c r="C4762" s="3" t="s">
        <v>64</v>
      </c>
      <c r="D4762" s="16" t="s">
        <v>64</v>
      </c>
      <c r="E4762" s="16">
        <v>0</v>
      </c>
      <c r="F4762" s="16" t="s">
        <v>64</v>
      </c>
      <c r="G4762" s="16" t="s">
        <v>64</v>
      </c>
    </row>
    <row r="4763" spans="1:7" x14ac:dyDescent="0.2">
      <c r="A4763" t="s">
        <v>64</v>
      </c>
      <c r="B4763" t="s">
        <v>64</v>
      </c>
      <c r="C4763" s="3" t="s">
        <v>64</v>
      </c>
      <c r="D4763" s="16" t="s">
        <v>64</v>
      </c>
      <c r="E4763" s="16">
        <v>0</v>
      </c>
      <c r="F4763" s="16" t="s">
        <v>64</v>
      </c>
      <c r="G4763" s="16" t="s">
        <v>64</v>
      </c>
    </row>
    <row r="4764" spans="1:7" x14ac:dyDescent="0.2">
      <c r="A4764" t="s">
        <v>64</v>
      </c>
      <c r="B4764" t="s">
        <v>64</v>
      </c>
      <c r="C4764" s="3" t="s">
        <v>64</v>
      </c>
      <c r="D4764" s="16" t="s">
        <v>64</v>
      </c>
      <c r="E4764" s="16">
        <v>0</v>
      </c>
      <c r="F4764" s="16" t="s">
        <v>64</v>
      </c>
      <c r="G4764" s="16" t="s">
        <v>64</v>
      </c>
    </row>
    <row r="4765" spans="1:7" x14ac:dyDescent="0.2">
      <c r="A4765" t="s">
        <v>64</v>
      </c>
      <c r="B4765" t="s">
        <v>64</v>
      </c>
      <c r="C4765" s="3" t="s">
        <v>64</v>
      </c>
      <c r="D4765" s="16" t="s">
        <v>64</v>
      </c>
      <c r="E4765" s="16">
        <v>0</v>
      </c>
      <c r="F4765" s="16" t="s">
        <v>64</v>
      </c>
      <c r="G4765" s="16" t="s">
        <v>64</v>
      </c>
    </row>
    <row r="4766" spans="1:7" x14ac:dyDescent="0.2">
      <c r="A4766" t="s">
        <v>64</v>
      </c>
      <c r="B4766" t="s">
        <v>64</v>
      </c>
      <c r="C4766" s="3" t="s">
        <v>64</v>
      </c>
      <c r="D4766" s="16" t="s">
        <v>64</v>
      </c>
      <c r="E4766" s="16">
        <v>0</v>
      </c>
      <c r="F4766" s="16" t="s">
        <v>64</v>
      </c>
      <c r="G4766" s="16" t="s">
        <v>64</v>
      </c>
    </row>
    <row r="4767" spans="1:7" x14ac:dyDescent="0.2">
      <c r="A4767" t="s">
        <v>64</v>
      </c>
      <c r="B4767" t="s">
        <v>64</v>
      </c>
      <c r="C4767" s="3" t="s">
        <v>64</v>
      </c>
      <c r="D4767" s="16" t="s">
        <v>64</v>
      </c>
      <c r="E4767" s="16">
        <v>0</v>
      </c>
      <c r="F4767" s="16" t="s">
        <v>64</v>
      </c>
      <c r="G4767" s="16" t="s">
        <v>64</v>
      </c>
    </row>
    <row r="4768" spans="1:7" x14ac:dyDescent="0.2">
      <c r="A4768" t="s">
        <v>64</v>
      </c>
      <c r="B4768" t="s">
        <v>64</v>
      </c>
      <c r="C4768" s="3" t="s">
        <v>64</v>
      </c>
      <c r="D4768" s="16" t="s">
        <v>64</v>
      </c>
      <c r="E4768" s="16">
        <v>0</v>
      </c>
      <c r="F4768" s="16" t="s">
        <v>64</v>
      </c>
      <c r="G4768" s="16" t="s">
        <v>64</v>
      </c>
    </row>
    <row r="4769" spans="1:7" x14ac:dyDescent="0.2">
      <c r="A4769" t="s">
        <v>64</v>
      </c>
      <c r="B4769" t="s">
        <v>64</v>
      </c>
      <c r="C4769" s="3" t="s">
        <v>64</v>
      </c>
      <c r="D4769" s="16" t="s">
        <v>64</v>
      </c>
      <c r="E4769" s="16">
        <v>0</v>
      </c>
      <c r="F4769" s="16" t="s">
        <v>64</v>
      </c>
      <c r="G4769" s="16" t="s">
        <v>64</v>
      </c>
    </row>
    <row r="4770" spans="1:7" x14ac:dyDescent="0.2">
      <c r="A4770" t="s">
        <v>64</v>
      </c>
      <c r="B4770" t="s">
        <v>64</v>
      </c>
      <c r="C4770" s="3" t="s">
        <v>64</v>
      </c>
      <c r="D4770" s="16" t="s">
        <v>64</v>
      </c>
      <c r="E4770" s="16">
        <v>0</v>
      </c>
      <c r="F4770" s="16" t="s">
        <v>64</v>
      </c>
      <c r="G4770" s="16" t="s">
        <v>64</v>
      </c>
    </row>
    <row r="4771" spans="1:7" x14ac:dyDescent="0.2">
      <c r="A4771" t="s">
        <v>64</v>
      </c>
      <c r="B4771" t="s">
        <v>64</v>
      </c>
      <c r="C4771" s="3" t="s">
        <v>64</v>
      </c>
      <c r="D4771" s="16" t="s">
        <v>64</v>
      </c>
      <c r="E4771" s="16">
        <v>0</v>
      </c>
      <c r="F4771" s="16" t="s">
        <v>64</v>
      </c>
      <c r="G4771" s="16" t="s">
        <v>64</v>
      </c>
    </row>
    <row r="4772" spans="1:7" x14ac:dyDescent="0.2">
      <c r="A4772" t="s">
        <v>64</v>
      </c>
      <c r="B4772" t="s">
        <v>64</v>
      </c>
      <c r="C4772" s="3" t="s">
        <v>64</v>
      </c>
      <c r="D4772" s="16" t="s">
        <v>64</v>
      </c>
      <c r="E4772" s="16">
        <v>0</v>
      </c>
      <c r="F4772" s="16" t="s">
        <v>64</v>
      </c>
      <c r="G4772" s="16" t="s">
        <v>64</v>
      </c>
    </row>
    <row r="4773" spans="1:7" x14ac:dyDescent="0.2">
      <c r="A4773" t="s">
        <v>64</v>
      </c>
      <c r="B4773" t="s">
        <v>64</v>
      </c>
      <c r="C4773" s="3" t="s">
        <v>64</v>
      </c>
      <c r="D4773" s="16" t="s">
        <v>64</v>
      </c>
      <c r="E4773" s="16">
        <v>0</v>
      </c>
      <c r="F4773" s="16" t="s">
        <v>64</v>
      </c>
      <c r="G4773" s="16" t="s">
        <v>64</v>
      </c>
    </row>
    <row r="4774" spans="1:7" x14ac:dyDescent="0.2">
      <c r="A4774" t="s">
        <v>64</v>
      </c>
      <c r="B4774" t="s">
        <v>64</v>
      </c>
      <c r="C4774" s="3" t="s">
        <v>64</v>
      </c>
      <c r="D4774" s="16" t="s">
        <v>64</v>
      </c>
      <c r="E4774" s="16">
        <v>0</v>
      </c>
      <c r="F4774" s="16" t="s">
        <v>64</v>
      </c>
      <c r="G4774" s="16" t="s">
        <v>64</v>
      </c>
    </row>
    <row r="4775" spans="1:7" x14ac:dyDescent="0.2">
      <c r="A4775" t="s">
        <v>64</v>
      </c>
      <c r="B4775" t="s">
        <v>64</v>
      </c>
      <c r="C4775" s="3" t="s">
        <v>64</v>
      </c>
      <c r="D4775" s="16" t="s">
        <v>64</v>
      </c>
      <c r="E4775" s="16">
        <v>0</v>
      </c>
      <c r="F4775" s="16" t="s">
        <v>64</v>
      </c>
      <c r="G4775" s="16" t="s">
        <v>64</v>
      </c>
    </row>
    <row r="4776" spans="1:7" x14ac:dyDescent="0.2">
      <c r="A4776" t="s">
        <v>64</v>
      </c>
      <c r="B4776" t="s">
        <v>64</v>
      </c>
      <c r="C4776" s="3" t="s">
        <v>64</v>
      </c>
      <c r="D4776" s="16" t="s">
        <v>64</v>
      </c>
      <c r="E4776" s="16">
        <v>0</v>
      </c>
      <c r="F4776" s="16" t="s">
        <v>64</v>
      </c>
      <c r="G4776" s="16" t="s">
        <v>64</v>
      </c>
    </row>
    <row r="4777" spans="1:7" x14ac:dyDescent="0.2">
      <c r="A4777" t="s">
        <v>64</v>
      </c>
      <c r="B4777" t="s">
        <v>64</v>
      </c>
      <c r="C4777" s="3" t="s">
        <v>64</v>
      </c>
      <c r="D4777" s="16" t="s">
        <v>64</v>
      </c>
      <c r="E4777" s="16">
        <v>0</v>
      </c>
      <c r="F4777" s="16" t="s">
        <v>64</v>
      </c>
      <c r="G4777" s="16" t="s">
        <v>64</v>
      </c>
    </row>
    <row r="4778" spans="1:7" x14ac:dyDescent="0.2">
      <c r="A4778" t="s">
        <v>64</v>
      </c>
      <c r="B4778" t="s">
        <v>64</v>
      </c>
      <c r="C4778" s="3" t="s">
        <v>64</v>
      </c>
      <c r="D4778" s="16" t="s">
        <v>64</v>
      </c>
      <c r="E4778" s="16">
        <v>0</v>
      </c>
      <c r="F4778" s="16" t="s">
        <v>64</v>
      </c>
      <c r="G4778" s="16" t="s">
        <v>64</v>
      </c>
    </row>
    <row r="4779" spans="1:7" x14ac:dyDescent="0.2">
      <c r="A4779" t="s">
        <v>64</v>
      </c>
      <c r="B4779" t="s">
        <v>64</v>
      </c>
      <c r="C4779" s="3" t="s">
        <v>64</v>
      </c>
      <c r="D4779" s="16" t="s">
        <v>64</v>
      </c>
      <c r="E4779" s="16">
        <v>0</v>
      </c>
      <c r="F4779" s="16" t="s">
        <v>64</v>
      </c>
      <c r="G4779" s="16" t="s">
        <v>64</v>
      </c>
    </row>
    <row r="4780" spans="1:7" x14ac:dyDescent="0.2">
      <c r="A4780" t="s">
        <v>64</v>
      </c>
      <c r="B4780" t="s">
        <v>64</v>
      </c>
      <c r="C4780" s="3" t="s">
        <v>64</v>
      </c>
      <c r="D4780" s="16" t="s">
        <v>64</v>
      </c>
      <c r="E4780" s="16">
        <v>0</v>
      </c>
      <c r="F4780" s="16" t="s">
        <v>64</v>
      </c>
      <c r="G4780" s="16" t="s">
        <v>64</v>
      </c>
    </row>
    <row r="4781" spans="1:7" x14ac:dyDescent="0.2">
      <c r="A4781" t="s">
        <v>64</v>
      </c>
      <c r="B4781" t="s">
        <v>64</v>
      </c>
      <c r="C4781" s="3" t="s">
        <v>64</v>
      </c>
      <c r="D4781" s="16" t="s">
        <v>64</v>
      </c>
      <c r="E4781" s="16">
        <v>0</v>
      </c>
      <c r="F4781" s="16" t="s">
        <v>64</v>
      </c>
      <c r="G4781" s="16" t="s">
        <v>64</v>
      </c>
    </row>
    <row r="4782" spans="1:7" x14ac:dyDescent="0.2">
      <c r="A4782" t="s">
        <v>64</v>
      </c>
      <c r="B4782" t="s">
        <v>64</v>
      </c>
      <c r="C4782" s="3" t="s">
        <v>64</v>
      </c>
      <c r="D4782" s="16" t="s">
        <v>64</v>
      </c>
      <c r="E4782" s="16">
        <v>0</v>
      </c>
      <c r="F4782" s="16" t="s">
        <v>64</v>
      </c>
      <c r="G4782" s="16" t="s">
        <v>64</v>
      </c>
    </row>
    <row r="4783" spans="1:7" x14ac:dyDescent="0.2">
      <c r="A4783" t="s">
        <v>64</v>
      </c>
      <c r="B4783" t="s">
        <v>64</v>
      </c>
      <c r="C4783" s="3" t="s">
        <v>64</v>
      </c>
      <c r="D4783" s="16" t="s">
        <v>64</v>
      </c>
      <c r="E4783" s="16">
        <v>0</v>
      </c>
      <c r="F4783" s="16" t="s">
        <v>64</v>
      </c>
      <c r="G4783" s="16" t="s">
        <v>64</v>
      </c>
    </row>
    <row r="4784" spans="1:7" x14ac:dyDescent="0.2">
      <c r="A4784" t="s">
        <v>64</v>
      </c>
      <c r="B4784" t="s">
        <v>64</v>
      </c>
      <c r="C4784" s="3" t="s">
        <v>64</v>
      </c>
      <c r="D4784" s="16" t="s">
        <v>64</v>
      </c>
      <c r="E4784" s="16">
        <v>0</v>
      </c>
      <c r="F4784" s="16" t="s">
        <v>64</v>
      </c>
      <c r="G4784" s="16" t="s">
        <v>64</v>
      </c>
    </row>
    <row r="4785" spans="1:7" x14ac:dyDescent="0.2">
      <c r="A4785" t="s">
        <v>64</v>
      </c>
      <c r="B4785" t="s">
        <v>64</v>
      </c>
      <c r="C4785" s="3" t="s">
        <v>64</v>
      </c>
      <c r="D4785" s="16" t="s">
        <v>64</v>
      </c>
      <c r="E4785" s="16">
        <v>0</v>
      </c>
      <c r="F4785" s="16" t="s">
        <v>64</v>
      </c>
      <c r="G4785" s="16" t="s">
        <v>64</v>
      </c>
    </row>
    <row r="4786" spans="1:7" x14ac:dyDescent="0.2">
      <c r="A4786" t="s">
        <v>64</v>
      </c>
      <c r="B4786" t="s">
        <v>64</v>
      </c>
      <c r="C4786" s="3" t="s">
        <v>64</v>
      </c>
      <c r="D4786" s="16" t="s">
        <v>64</v>
      </c>
      <c r="E4786" s="16">
        <v>0</v>
      </c>
      <c r="F4786" s="16" t="s">
        <v>64</v>
      </c>
      <c r="G4786" s="16" t="s">
        <v>64</v>
      </c>
    </row>
    <row r="4787" spans="1:7" x14ac:dyDescent="0.2">
      <c r="A4787" t="s">
        <v>64</v>
      </c>
      <c r="B4787" t="s">
        <v>64</v>
      </c>
      <c r="C4787" s="3" t="s">
        <v>64</v>
      </c>
      <c r="D4787" s="16" t="s">
        <v>64</v>
      </c>
      <c r="E4787" s="16">
        <v>0</v>
      </c>
      <c r="F4787" s="16" t="s">
        <v>64</v>
      </c>
      <c r="G4787" s="16" t="s">
        <v>64</v>
      </c>
    </row>
    <row r="4788" spans="1:7" x14ac:dyDescent="0.2">
      <c r="A4788" t="s">
        <v>64</v>
      </c>
      <c r="B4788" t="s">
        <v>64</v>
      </c>
      <c r="C4788" s="3" t="s">
        <v>64</v>
      </c>
      <c r="D4788" s="16" t="s">
        <v>64</v>
      </c>
      <c r="E4788" s="16">
        <v>0</v>
      </c>
      <c r="F4788" s="16" t="s">
        <v>64</v>
      </c>
      <c r="G4788" s="16" t="s">
        <v>64</v>
      </c>
    </row>
    <row r="4789" spans="1:7" x14ac:dyDescent="0.2">
      <c r="A4789" t="s">
        <v>64</v>
      </c>
      <c r="B4789" t="s">
        <v>64</v>
      </c>
      <c r="C4789" s="3" t="s">
        <v>64</v>
      </c>
      <c r="D4789" s="16" t="s">
        <v>64</v>
      </c>
      <c r="E4789" s="16">
        <v>0</v>
      </c>
      <c r="F4789" s="16" t="s">
        <v>64</v>
      </c>
      <c r="G4789" s="16" t="s">
        <v>64</v>
      </c>
    </row>
    <row r="4790" spans="1:7" x14ac:dyDescent="0.2">
      <c r="A4790" t="s">
        <v>64</v>
      </c>
      <c r="B4790" t="s">
        <v>64</v>
      </c>
      <c r="C4790" s="3" t="s">
        <v>64</v>
      </c>
      <c r="D4790" s="16" t="s">
        <v>64</v>
      </c>
      <c r="E4790" s="16">
        <v>0</v>
      </c>
      <c r="F4790" s="16" t="s">
        <v>64</v>
      </c>
      <c r="G4790" s="16" t="s">
        <v>64</v>
      </c>
    </row>
    <row r="4791" spans="1:7" x14ac:dyDescent="0.2">
      <c r="A4791" t="s">
        <v>64</v>
      </c>
      <c r="B4791" t="s">
        <v>64</v>
      </c>
      <c r="C4791" s="3" t="s">
        <v>64</v>
      </c>
      <c r="D4791" s="16" t="s">
        <v>64</v>
      </c>
      <c r="E4791" s="16">
        <v>0</v>
      </c>
      <c r="F4791" s="16" t="s">
        <v>64</v>
      </c>
      <c r="G4791" s="16" t="s">
        <v>64</v>
      </c>
    </row>
    <row r="4792" spans="1:7" x14ac:dyDescent="0.2">
      <c r="A4792" t="s">
        <v>64</v>
      </c>
      <c r="B4792" t="s">
        <v>64</v>
      </c>
      <c r="C4792" s="3" t="s">
        <v>64</v>
      </c>
      <c r="D4792" s="16" t="s">
        <v>64</v>
      </c>
      <c r="E4792" s="16">
        <v>0</v>
      </c>
      <c r="F4792" s="16" t="s">
        <v>64</v>
      </c>
      <c r="G4792" s="16" t="s">
        <v>64</v>
      </c>
    </row>
    <row r="4793" spans="1:7" x14ac:dyDescent="0.2">
      <c r="A4793" t="s">
        <v>64</v>
      </c>
      <c r="B4793" t="s">
        <v>64</v>
      </c>
      <c r="C4793" s="3" t="s">
        <v>64</v>
      </c>
      <c r="D4793" s="16" t="s">
        <v>64</v>
      </c>
      <c r="E4793" s="16">
        <v>0</v>
      </c>
      <c r="F4793" s="16" t="s">
        <v>64</v>
      </c>
      <c r="G4793" s="16" t="s">
        <v>64</v>
      </c>
    </row>
    <row r="4794" spans="1:7" x14ac:dyDescent="0.2">
      <c r="A4794" t="s">
        <v>64</v>
      </c>
      <c r="B4794" t="s">
        <v>64</v>
      </c>
      <c r="C4794" s="3" t="s">
        <v>64</v>
      </c>
      <c r="D4794" s="16" t="s">
        <v>64</v>
      </c>
      <c r="E4794" s="16">
        <v>0</v>
      </c>
      <c r="F4794" s="16" t="s">
        <v>64</v>
      </c>
      <c r="G4794" s="16" t="s">
        <v>64</v>
      </c>
    </row>
    <row r="4795" spans="1:7" x14ac:dyDescent="0.2">
      <c r="A4795" t="s">
        <v>64</v>
      </c>
      <c r="B4795" t="s">
        <v>64</v>
      </c>
      <c r="C4795" s="3" t="s">
        <v>64</v>
      </c>
      <c r="D4795" s="16" t="s">
        <v>64</v>
      </c>
      <c r="E4795" s="16">
        <v>0</v>
      </c>
      <c r="F4795" s="16" t="s">
        <v>64</v>
      </c>
      <c r="G4795" s="16" t="s">
        <v>64</v>
      </c>
    </row>
    <row r="4796" spans="1:7" x14ac:dyDescent="0.2">
      <c r="A4796" t="s">
        <v>64</v>
      </c>
      <c r="B4796" t="s">
        <v>64</v>
      </c>
      <c r="C4796" s="3" t="s">
        <v>64</v>
      </c>
      <c r="D4796" s="16" t="s">
        <v>64</v>
      </c>
      <c r="E4796" s="16">
        <v>0</v>
      </c>
      <c r="F4796" s="16" t="s">
        <v>64</v>
      </c>
      <c r="G4796" s="16" t="s">
        <v>64</v>
      </c>
    </row>
    <row r="4797" spans="1:7" x14ac:dyDescent="0.2">
      <c r="A4797" t="s">
        <v>64</v>
      </c>
      <c r="B4797" t="s">
        <v>64</v>
      </c>
      <c r="C4797" s="3" t="s">
        <v>64</v>
      </c>
      <c r="D4797" s="16" t="s">
        <v>64</v>
      </c>
      <c r="E4797" s="16">
        <v>0</v>
      </c>
      <c r="F4797" s="16" t="s">
        <v>64</v>
      </c>
      <c r="G4797" s="16" t="s">
        <v>64</v>
      </c>
    </row>
    <row r="4798" spans="1:7" x14ac:dyDescent="0.2">
      <c r="A4798" t="s">
        <v>64</v>
      </c>
      <c r="B4798" t="s">
        <v>64</v>
      </c>
      <c r="C4798" s="3" t="s">
        <v>64</v>
      </c>
      <c r="D4798" s="16" t="s">
        <v>64</v>
      </c>
      <c r="E4798" s="16">
        <v>0</v>
      </c>
      <c r="F4798" s="16" t="s">
        <v>64</v>
      </c>
      <c r="G4798" s="16" t="s">
        <v>64</v>
      </c>
    </row>
    <row r="4799" spans="1:7" x14ac:dyDescent="0.2">
      <c r="A4799" t="s">
        <v>64</v>
      </c>
      <c r="B4799" t="s">
        <v>64</v>
      </c>
      <c r="C4799" s="3" t="s">
        <v>64</v>
      </c>
      <c r="D4799" s="16" t="s">
        <v>64</v>
      </c>
      <c r="E4799" s="16">
        <v>0</v>
      </c>
      <c r="F4799" s="16" t="s">
        <v>64</v>
      </c>
      <c r="G4799" s="16" t="s">
        <v>64</v>
      </c>
    </row>
    <row r="4800" spans="1:7" x14ac:dyDescent="0.2">
      <c r="A4800" t="s">
        <v>64</v>
      </c>
      <c r="B4800" t="s">
        <v>64</v>
      </c>
      <c r="C4800" s="3" t="s">
        <v>64</v>
      </c>
      <c r="D4800" s="16" t="s">
        <v>64</v>
      </c>
      <c r="E4800" s="16">
        <v>0</v>
      </c>
      <c r="F4800" s="16" t="s">
        <v>64</v>
      </c>
      <c r="G4800" s="16" t="s">
        <v>64</v>
      </c>
    </row>
    <row r="4801" spans="1:7" x14ac:dyDescent="0.2">
      <c r="A4801" t="s">
        <v>64</v>
      </c>
      <c r="B4801" t="s">
        <v>64</v>
      </c>
      <c r="C4801" s="3" t="s">
        <v>64</v>
      </c>
      <c r="D4801" s="16" t="s">
        <v>64</v>
      </c>
      <c r="E4801" s="16">
        <v>0</v>
      </c>
      <c r="F4801" s="16" t="s">
        <v>64</v>
      </c>
      <c r="G4801" s="16" t="s">
        <v>64</v>
      </c>
    </row>
    <row r="4802" spans="1:7" x14ac:dyDescent="0.2">
      <c r="A4802" t="s">
        <v>64</v>
      </c>
      <c r="B4802" t="s">
        <v>64</v>
      </c>
      <c r="C4802" s="3" t="s">
        <v>64</v>
      </c>
      <c r="D4802" s="16" t="s">
        <v>64</v>
      </c>
      <c r="E4802" s="16">
        <v>0</v>
      </c>
      <c r="F4802" s="16" t="s">
        <v>64</v>
      </c>
      <c r="G4802" s="16" t="s">
        <v>64</v>
      </c>
    </row>
    <row r="4803" spans="1:7" x14ac:dyDescent="0.2">
      <c r="A4803" t="s">
        <v>64</v>
      </c>
      <c r="B4803" t="s">
        <v>64</v>
      </c>
      <c r="C4803" s="3" t="s">
        <v>64</v>
      </c>
      <c r="D4803" s="16" t="s">
        <v>64</v>
      </c>
      <c r="E4803" s="16">
        <v>0</v>
      </c>
      <c r="F4803" s="16" t="s">
        <v>64</v>
      </c>
      <c r="G4803" s="16" t="s">
        <v>64</v>
      </c>
    </row>
    <row r="4804" spans="1:7" x14ac:dyDescent="0.2">
      <c r="A4804" t="s">
        <v>64</v>
      </c>
      <c r="B4804" t="s">
        <v>64</v>
      </c>
      <c r="C4804" s="3" t="s">
        <v>64</v>
      </c>
      <c r="D4804" s="16" t="s">
        <v>64</v>
      </c>
      <c r="E4804" s="16">
        <v>0</v>
      </c>
      <c r="F4804" s="16" t="s">
        <v>64</v>
      </c>
      <c r="G4804" s="16" t="s">
        <v>64</v>
      </c>
    </row>
    <row r="4805" spans="1:7" x14ac:dyDescent="0.2">
      <c r="A4805" t="s">
        <v>64</v>
      </c>
      <c r="B4805" t="s">
        <v>64</v>
      </c>
      <c r="C4805" s="3" t="s">
        <v>64</v>
      </c>
      <c r="D4805" s="16" t="s">
        <v>64</v>
      </c>
      <c r="E4805" s="16">
        <v>0</v>
      </c>
      <c r="F4805" s="16" t="s">
        <v>64</v>
      </c>
      <c r="G4805" s="16" t="s">
        <v>64</v>
      </c>
    </row>
    <row r="4806" spans="1:7" x14ac:dyDescent="0.2">
      <c r="A4806" t="s">
        <v>64</v>
      </c>
      <c r="B4806" t="s">
        <v>64</v>
      </c>
      <c r="C4806" s="3" t="s">
        <v>64</v>
      </c>
      <c r="D4806" s="16" t="s">
        <v>64</v>
      </c>
      <c r="E4806" s="16">
        <v>0</v>
      </c>
      <c r="F4806" s="16" t="s">
        <v>64</v>
      </c>
      <c r="G4806" s="16" t="s">
        <v>64</v>
      </c>
    </row>
    <row r="4807" spans="1:7" x14ac:dyDescent="0.2">
      <c r="A4807" t="s">
        <v>64</v>
      </c>
      <c r="B4807" t="s">
        <v>64</v>
      </c>
      <c r="C4807" s="3" t="s">
        <v>64</v>
      </c>
      <c r="D4807" s="16" t="s">
        <v>64</v>
      </c>
      <c r="E4807" s="16">
        <v>0</v>
      </c>
      <c r="F4807" s="16" t="s">
        <v>64</v>
      </c>
      <c r="G4807" s="16" t="s">
        <v>64</v>
      </c>
    </row>
    <row r="4808" spans="1:7" x14ac:dyDescent="0.2">
      <c r="A4808" t="s">
        <v>64</v>
      </c>
      <c r="B4808" t="s">
        <v>64</v>
      </c>
      <c r="C4808" s="3" t="s">
        <v>64</v>
      </c>
      <c r="D4808" s="16" t="s">
        <v>64</v>
      </c>
      <c r="E4808" s="16">
        <v>0</v>
      </c>
      <c r="F4808" s="16" t="s">
        <v>64</v>
      </c>
      <c r="G4808" s="16" t="s">
        <v>64</v>
      </c>
    </row>
    <row r="4809" spans="1:7" x14ac:dyDescent="0.2">
      <c r="A4809" t="s">
        <v>64</v>
      </c>
      <c r="B4809" t="s">
        <v>64</v>
      </c>
      <c r="C4809" s="3" t="s">
        <v>64</v>
      </c>
      <c r="D4809" s="16" t="s">
        <v>64</v>
      </c>
      <c r="E4809" s="16">
        <v>0</v>
      </c>
      <c r="F4809" s="16" t="s">
        <v>64</v>
      </c>
      <c r="G4809" s="16" t="s">
        <v>64</v>
      </c>
    </row>
    <row r="4810" spans="1:7" x14ac:dyDescent="0.2">
      <c r="A4810" t="s">
        <v>64</v>
      </c>
      <c r="B4810" t="s">
        <v>64</v>
      </c>
      <c r="C4810" s="3" t="s">
        <v>64</v>
      </c>
      <c r="D4810" s="16" t="s">
        <v>64</v>
      </c>
      <c r="E4810" s="16">
        <v>0</v>
      </c>
      <c r="F4810" s="16" t="s">
        <v>64</v>
      </c>
      <c r="G4810" s="16" t="s">
        <v>64</v>
      </c>
    </row>
    <row r="4811" spans="1:7" x14ac:dyDescent="0.2">
      <c r="A4811" t="s">
        <v>64</v>
      </c>
      <c r="B4811" t="s">
        <v>64</v>
      </c>
      <c r="C4811" s="3" t="s">
        <v>64</v>
      </c>
      <c r="D4811" s="16" t="s">
        <v>64</v>
      </c>
      <c r="E4811" s="16">
        <v>0</v>
      </c>
      <c r="F4811" s="16" t="s">
        <v>64</v>
      </c>
      <c r="G4811" s="16" t="s">
        <v>64</v>
      </c>
    </row>
    <row r="4812" spans="1:7" x14ac:dyDescent="0.2">
      <c r="A4812" t="s">
        <v>64</v>
      </c>
      <c r="B4812" t="s">
        <v>64</v>
      </c>
      <c r="C4812" s="3" t="s">
        <v>64</v>
      </c>
      <c r="D4812" s="16" t="s">
        <v>64</v>
      </c>
      <c r="E4812" s="16">
        <v>0</v>
      </c>
      <c r="F4812" s="16" t="s">
        <v>64</v>
      </c>
      <c r="G4812" s="16" t="s">
        <v>64</v>
      </c>
    </row>
    <row r="4813" spans="1:7" x14ac:dyDescent="0.2">
      <c r="A4813" t="s">
        <v>64</v>
      </c>
      <c r="B4813" t="s">
        <v>64</v>
      </c>
      <c r="C4813" s="3" t="s">
        <v>64</v>
      </c>
      <c r="D4813" s="16" t="s">
        <v>64</v>
      </c>
      <c r="E4813" s="16">
        <v>0</v>
      </c>
      <c r="F4813" s="16" t="s">
        <v>64</v>
      </c>
      <c r="G4813" s="16" t="s">
        <v>64</v>
      </c>
    </row>
    <row r="4814" spans="1:7" x14ac:dyDescent="0.2">
      <c r="A4814" t="s">
        <v>64</v>
      </c>
      <c r="B4814" t="s">
        <v>64</v>
      </c>
      <c r="C4814" s="3" t="s">
        <v>64</v>
      </c>
      <c r="D4814" s="16" t="s">
        <v>64</v>
      </c>
      <c r="E4814" s="16">
        <v>0</v>
      </c>
      <c r="F4814" s="16" t="s">
        <v>64</v>
      </c>
      <c r="G4814" s="16" t="s">
        <v>64</v>
      </c>
    </row>
    <row r="4815" spans="1:7" x14ac:dyDescent="0.2">
      <c r="A4815" t="s">
        <v>64</v>
      </c>
      <c r="B4815" t="s">
        <v>64</v>
      </c>
      <c r="C4815" s="3" t="s">
        <v>64</v>
      </c>
      <c r="D4815" s="16" t="s">
        <v>64</v>
      </c>
      <c r="E4815" s="16">
        <v>0</v>
      </c>
      <c r="F4815" s="16" t="s">
        <v>64</v>
      </c>
      <c r="G4815" s="16" t="s">
        <v>64</v>
      </c>
    </row>
    <row r="4816" spans="1:7" x14ac:dyDescent="0.2">
      <c r="A4816" t="s">
        <v>64</v>
      </c>
      <c r="B4816" t="s">
        <v>64</v>
      </c>
      <c r="C4816" s="3" t="s">
        <v>64</v>
      </c>
      <c r="D4816" s="16" t="s">
        <v>64</v>
      </c>
      <c r="E4816" s="16">
        <v>0</v>
      </c>
      <c r="F4816" s="16" t="s">
        <v>64</v>
      </c>
      <c r="G4816" s="16" t="s">
        <v>64</v>
      </c>
    </row>
    <row r="4817" spans="1:7" x14ac:dyDescent="0.2">
      <c r="A4817" t="s">
        <v>64</v>
      </c>
      <c r="B4817" t="s">
        <v>64</v>
      </c>
      <c r="C4817" s="3" t="s">
        <v>64</v>
      </c>
      <c r="D4817" s="16" t="s">
        <v>64</v>
      </c>
      <c r="E4817" s="16">
        <v>0</v>
      </c>
      <c r="F4817" s="16" t="s">
        <v>64</v>
      </c>
      <c r="G4817" s="16" t="s">
        <v>64</v>
      </c>
    </row>
    <row r="4818" spans="1:7" x14ac:dyDescent="0.2">
      <c r="A4818" t="s">
        <v>64</v>
      </c>
      <c r="B4818" t="s">
        <v>64</v>
      </c>
      <c r="C4818" s="3" t="s">
        <v>64</v>
      </c>
      <c r="D4818" s="16" t="s">
        <v>64</v>
      </c>
      <c r="E4818" s="16">
        <v>0</v>
      </c>
      <c r="F4818" s="16" t="s">
        <v>64</v>
      </c>
      <c r="G4818" s="16" t="s">
        <v>64</v>
      </c>
    </row>
    <row r="4819" spans="1:7" x14ac:dyDescent="0.2">
      <c r="A4819" t="s">
        <v>64</v>
      </c>
      <c r="B4819" t="s">
        <v>64</v>
      </c>
      <c r="C4819" s="3" t="s">
        <v>64</v>
      </c>
      <c r="D4819" s="16" t="s">
        <v>64</v>
      </c>
      <c r="E4819" s="16">
        <v>0</v>
      </c>
      <c r="F4819" s="16" t="s">
        <v>64</v>
      </c>
      <c r="G4819" s="16" t="s">
        <v>64</v>
      </c>
    </row>
    <row r="4820" spans="1:7" x14ac:dyDescent="0.2">
      <c r="A4820" t="s">
        <v>64</v>
      </c>
      <c r="B4820" t="s">
        <v>64</v>
      </c>
      <c r="C4820" s="3" t="s">
        <v>64</v>
      </c>
      <c r="D4820" s="16" t="s">
        <v>64</v>
      </c>
      <c r="E4820" s="16">
        <v>0</v>
      </c>
      <c r="F4820" s="16" t="s">
        <v>64</v>
      </c>
      <c r="G4820" s="16" t="s">
        <v>64</v>
      </c>
    </row>
    <row r="4821" spans="1:7" x14ac:dyDescent="0.2">
      <c r="A4821" t="s">
        <v>64</v>
      </c>
      <c r="B4821" t="s">
        <v>64</v>
      </c>
      <c r="C4821" s="3" t="s">
        <v>64</v>
      </c>
      <c r="D4821" s="16" t="s">
        <v>64</v>
      </c>
      <c r="E4821" s="16">
        <v>0</v>
      </c>
      <c r="F4821" s="16" t="s">
        <v>64</v>
      </c>
      <c r="G4821" s="16" t="s">
        <v>64</v>
      </c>
    </row>
    <row r="4822" spans="1:7" x14ac:dyDescent="0.2">
      <c r="A4822" t="s">
        <v>64</v>
      </c>
      <c r="B4822" t="s">
        <v>64</v>
      </c>
      <c r="C4822" s="3" t="s">
        <v>64</v>
      </c>
      <c r="D4822" s="16" t="s">
        <v>64</v>
      </c>
      <c r="E4822" s="16">
        <v>0</v>
      </c>
      <c r="F4822" s="16" t="s">
        <v>64</v>
      </c>
      <c r="G4822" s="16" t="s">
        <v>64</v>
      </c>
    </row>
    <row r="4823" spans="1:7" x14ac:dyDescent="0.2">
      <c r="A4823" t="s">
        <v>64</v>
      </c>
      <c r="B4823" t="s">
        <v>64</v>
      </c>
      <c r="C4823" s="3" t="s">
        <v>64</v>
      </c>
      <c r="D4823" s="16" t="s">
        <v>64</v>
      </c>
      <c r="E4823" s="16">
        <v>0</v>
      </c>
      <c r="F4823" s="16" t="s">
        <v>64</v>
      </c>
      <c r="G4823" s="16" t="s">
        <v>64</v>
      </c>
    </row>
    <row r="4824" spans="1:7" x14ac:dyDescent="0.2">
      <c r="A4824" t="s">
        <v>64</v>
      </c>
      <c r="B4824" t="s">
        <v>64</v>
      </c>
      <c r="C4824" s="3" t="s">
        <v>64</v>
      </c>
      <c r="D4824" s="16" t="s">
        <v>64</v>
      </c>
      <c r="E4824" s="16">
        <v>0</v>
      </c>
      <c r="F4824" s="16" t="s">
        <v>64</v>
      </c>
      <c r="G4824" s="16" t="s">
        <v>64</v>
      </c>
    </row>
    <row r="4825" spans="1:7" x14ac:dyDescent="0.2">
      <c r="A4825" t="s">
        <v>64</v>
      </c>
      <c r="B4825" t="s">
        <v>64</v>
      </c>
      <c r="C4825" s="3" t="s">
        <v>64</v>
      </c>
      <c r="D4825" s="16" t="s">
        <v>64</v>
      </c>
      <c r="E4825" s="16">
        <v>0</v>
      </c>
      <c r="F4825" s="16" t="s">
        <v>64</v>
      </c>
      <c r="G4825" s="16" t="s">
        <v>64</v>
      </c>
    </row>
    <row r="4826" spans="1:7" x14ac:dyDescent="0.2">
      <c r="A4826" t="s">
        <v>64</v>
      </c>
      <c r="B4826" t="s">
        <v>64</v>
      </c>
      <c r="C4826" s="3" t="s">
        <v>64</v>
      </c>
      <c r="D4826" s="16" t="s">
        <v>64</v>
      </c>
      <c r="E4826" s="16">
        <v>0</v>
      </c>
      <c r="F4826" s="16" t="s">
        <v>64</v>
      </c>
      <c r="G4826" s="16" t="s">
        <v>64</v>
      </c>
    </row>
    <row r="4827" spans="1:7" x14ac:dyDescent="0.2">
      <c r="A4827" t="s">
        <v>64</v>
      </c>
      <c r="B4827" t="s">
        <v>64</v>
      </c>
      <c r="C4827" s="3" t="s">
        <v>64</v>
      </c>
      <c r="D4827" s="16" t="s">
        <v>64</v>
      </c>
      <c r="E4827" s="16">
        <v>0</v>
      </c>
      <c r="F4827" s="16" t="s">
        <v>64</v>
      </c>
      <c r="G4827" s="16" t="s">
        <v>64</v>
      </c>
    </row>
    <row r="4828" spans="1:7" x14ac:dyDescent="0.2">
      <c r="A4828" t="s">
        <v>64</v>
      </c>
      <c r="B4828" t="s">
        <v>64</v>
      </c>
      <c r="C4828" s="3" t="s">
        <v>64</v>
      </c>
      <c r="D4828" s="16" t="s">
        <v>64</v>
      </c>
      <c r="E4828" s="16">
        <v>0</v>
      </c>
      <c r="F4828" s="16" t="s">
        <v>64</v>
      </c>
      <c r="G4828" s="16" t="s">
        <v>64</v>
      </c>
    </row>
    <row r="4829" spans="1:7" x14ac:dyDescent="0.2">
      <c r="A4829" t="s">
        <v>64</v>
      </c>
      <c r="B4829" t="s">
        <v>64</v>
      </c>
      <c r="C4829" s="3" t="s">
        <v>64</v>
      </c>
      <c r="D4829" s="16" t="s">
        <v>64</v>
      </c>
      <c r="E4829" s="16">
        <v>0</v>
      </c>
      <c r="F4829" s="16" t="s">
        <v>64</v>
      </c>
      <c r="G4829" s="16" t="s">
        <v>64</v>
      </c>
    </row>
    <row r="4830" spans="1:7" x14ac:dyDescent="0.2">
      <c r="A4830" t="s">
        <v>64</v>
      </c>
      <c r="B4830" t="s">
        <v>64</v>
      </c>
      <c r="C4830" s="3" t="s">
        <v>64</v>
      </c>
      <c r="D4830" s="16" t="s">
        <v>64</v>
      </c>
      <c r="E4830" s="16">
        <v>0</v>
      </c>
      <c r="F4830" s="16" t="s">
        <v>64</v>
      </c>
      <c r="G4830" s="16" t="s">
        <v>64</v>
      </c>
    </row>
    <row r="4831" spans="1:7" x14ac:dyDescent="0.2">
      <c r="A4831" t="s">
        <v>64</v>
      </c>
      <c r="B4831" t="s">
        <v>64</v>
      </c>
      <c r="C4831" s="3" t="s">
        <v>64</v>
      </c>
      <c r="D4831" s="16" t="s">
        <v>64</v>
      </c>
      <c r="E4831" s="16">
        <v>0</v>
      </c>
      <c r="F4831" s="16" t="s">
        <v>64</v>
      </c>
      <c r="G4831" s="16" t="s">
        <v>64</v>
      </c>
    </row>
    <row r="4832" spans="1:7" x14ac:dyDescent="0.2">
      <c r="A4832" t="s">
        <v>64</v>
      </c>
      <c r="B4832" t="s">
        <v>64</v>
      </c>
      <c r="C4832" s="3" t="s">
        <v>64</v>
      </c>
      <c r="D4832" s="16" t="s">
        <v>64</v>
      </c>
      <c r="E4832" s="16">
        <v>0</v>
      </c>
      <c r="F4832" s="16" t="s">
        <v>64</v>
      </c>
      <c r="G4832" s="16" t="s">
        <v>64</v>
      </c>
    </row>
    <row r="4833" spans="1:7" x14ac:dyDescent="0.2">
      <c r="A4833" t="s">
        <v>64</v>
      </c>
      <c r="B4833" t="s">
        <v>64</v>
      </c>
      <c r="C4833" s="3" t="s">
        <v>64</v>
      </c>
      <c r="D4833" s="16" t="s">
        <v>64</v>
      </c>
      <c r="E4833" s="16">
        <v>0</v>
      </c>
      <c r="F4833" s="16" t="s">
        <v>64</v>
      </c>
      <c r="G4833" s="16" t="s">
        <v>64</v>
      </c>
    </row>
    <row r="4834" spans="1:7" x14ac:dyDescent="0.2">
      <c r="A4834" t="s">
        <v>64</v>
      </c>
      <c r="B4834" t="s">
        <v>64</v>
      </c>
      <c r="C4834" s="3" t="s">
        <v>64</v>
      </c>
      <c r="D4834" s="16" t="s">
        <v>64</v>
      </c>
      <c r="E4834" s="16">
        <v>0</v>
      </c>
      <c r="F4834" s="16" t="s">
        <v>64</v>
      </c>
      <c r="G4834" s="16" t="s">
        <v>64</v>
      </c>
    </row>
    <row r="4835" spans="1:7" x14ac:dyDescent="0.2">
      <c r="A4835" t="s">
        <v>64</v>
      </c>
      <c r="B4835" t="s">
        <v>64</v>
      </c>
      <c r="C4835" s="3" t="s">
        <v>64</v>
      </c>
      <c r="D4835" s="16" t="s">
        <v>64</v>
      </c>
      <c r="E4835" s="16">
        <v>0</v>
      </c>
      <c r="F4835" s="16" t="s">
        <v>64</v>
      </c>
      <c r="G4835" s="16" t="s">
        <v>64</v>
      </c>
    </row>
    <row r="4836" spans="1:7" x14ac:dyDescent="0.2">
      <c r="A4836" t="s">
        <v>64</v>
      </c>
      <c r="B4836" t="s">
        <v>64</v>
      </c>
      <c r="C4836" s="3" t="s">
        <v>64</v>
      </c>
      <c r="D4836" s="16" t="s">
        <v>64</v>
      </c>
      <c r="E4836" s="16">
        <v>0</v>
      </c>
      <c r="F4836" s="16" t="s">
        <v>64</v>
      </c>
      <c r="G4836" s="16" t="s">
        <v>64</v>
      </c>
    </row>
    <row r="4837" spans="1:7" x14ac:dyDescent="0.2">
      <c r="A4837" t="s">
        <v>64</v>
      </c>
      <c r="B4837" t="s">
        <v>64</v>
      </c>
      <c r="C4837" s="3" t="s">
        <v>64</v>
      </c>
      <c r="D4837" s="16" t="s">
        <v>64</v>
      </c>
      <c r="E4837" s="16">
        <v>0</v>
      </c>
      <c r="F4837" s="16" t="s">
        <v>64</v>
      </c>
      <c r="G4837" s="16" t="s">
        <v>64</v>
      </c>
    </row>
    <row r="4838" spans="1:7" x14ac:dyDescent="0.2">
      <c r="A4838" t="s">
        <v>64</v>
      </c>
      <c r="B4838" t="s">
        <v>64</v>
      </c>
      <c r="C4838" s="3" t="s">
        <v>64</v>
      </c>
      <c r="D4838" s="16" t="s">
        <v>64</v>
      </c>
      <c r="E4838" s="16">
        <v>0</v>
      </c>
      <c r="F4838" s="16" t="s">
        <v>64</v>
      </c>
      <c r="G4838" s="16" t="s">
        <v>64</v>
      </c>
    </row>
    <row r="4839" spans="1:7" x14ac:dyDescent="0.2">
      <c r="A4839" t="s">
        <v>64</v>
      </c>
      <c r="B4839" t="s">
        <v>64</v>
      </c>
      <c r="C4839" s="3" t="s">
        <v>64</v>
      </c>
      <c r="D4839" s="16" t="s">
        <v>64</v>
      </c>
      <c r="E4839" s="16">
        <v>0</v>
      </c>
      <c r="F4839" s="16" t="s">
        <v>64</v>
      </c>
      <c r="G4839" s="16" t="s">
        <v>64</v>
      </c>
    </row>
    <row r="4840" spans="1:7" x14ac:dyDescent="0.2">
      <c r="A4840" t="s">
        <v>64</v>
      </c>
      <c r="B4840" t="s">
        <v>64</v>
      </c>
      <c r="C4840" s="3" t="s">
        <v>64</v>
      </c>
      <c r="D4840" s="16" t="s">
        <v>64</v>
      </c>
      <c r="E4840" s="16">
        <v>0</v>
      </c>
      <c r="F4840" s="16" t="s">
        <v>64</v>
      </c>
      <c r="G4840" s="16" t="s">
        <v>64</v>
      </c>
    </row>
    <row r="4841" spans="1:7" x14ac:dyDescent="0.2">
      <c r="A4841" t="s">
        <v>64</v>
      </c>
      <c r="B4841" t="s">
        <v>64</v>
      </c>
      <c r="C4841" s="3" t="s">
        <v>64</v>
      </c>
      <c r="D4841" s="16" t="s">
        <v>64</v>
      </c>
      <c r="E4841" s="16">
        <v>0</v>
      </c>
      <c r="F4841" s="16" t="s">
        <v>64</v>
      </c>
      <c r="G4841" s="16" t="s">
        <v>64</v>
      </c>
    </row>
    <row r="4842" spans="1:7" x14ac:dyDescent="0.2">
      <c r="A4842" t="s">
        <v>64</v>
      </c>
      <c r="B4842" t="s">
        <v>64</v>
      </c>
      <c r="C4842" s="3" t="s">
        <v>64</v>
      </c>
      <c r="D4842" s="16" t="s">
        <v>64</v>
      </c>
      <c r="E4842" s="16">
        <v>0</v>
      </c>
      <c r="F4842" s="16" t="s">
        <v>64</v>
      </c>
      <c r="G4842" s="16" t="s">
        <v>64</v>
      </c>
    </row>
    <row r="4843" spans="1:7" x14ac:dyDescent="0.2">
      <c r="A4843" t="s">
        <v>64</v>
      </c>
      <c r="B4843" t="s">
        <v>64</v>
      </c>
      <c r="C4843" s="3" t="s">
        <v>64</v>
      </c>
      <c r="D4843" s="16" t="s">
        <v>64</v>
      </c>
      <c r="E4843" s="16">
        <v>0</v>
      </c>
      <c r="F4843" s="16" t="s">
        <v>64</v>
      </c>
      <c r="G4843" s="16" t="s">
        <v>64</v>
      </c>
    </row>
    <row r="4844" spans="1:7" x14ac:dyDescent="0.2">
      <c r="A4844" t="s">
        <v>64</v>
      </c>
      <c r="B4844" t="s">
        <v>64</v>
      </c>
      <c r="C4844" s="3" t="s">
        <v>64</v>
      </c>
      <c r="D4844" s="16" t="s">
        <v>64</v>
      </c>
      <c r="E4844" s="16">
        <v>0</v>
      </c>
      <c r="F4844" s="16" t="s">
        <v>64</v>
      </c>
      <c r="G4844" s="16" t="s">
        <v>64</v>
      </c>
    </row>
    <row r="4845" spans="1:7" x14ac:dyDescent="0.2">
      <c r="A4845" t="s">
        <v>64</v>
      </c>
      <c r="B4845" t="s">
        <v>64</v>
      </c>
      <c r="C4845" s="3" t="s">
        <v>64</v>
      </c>
      <c r="D4845" s="16" t="s">
        <v>64</v>
      </c>
      <c r="E4845" s="16">
        <v>0</v>
      </c>
      <c r="F4845" s="16" t="s">
        <v>64</v>
      </c>
      <c r="G4845" s="16" t="s">
        <v>64</v>
      </c>
    </row>
    <row r="4846" spans="1:7" x14ac:dyDescent="0.2">
      <c r="A4846" t="s">
        <v>64</v>
      </c>
      <c r="B4846" t="s">
        <v>64</v>
      </c>
      <c r="C4846" s="3" t="s">
        <v>64</v>
      </c>
      <c r="D4846" s="16" t="s">
        <v>64</v>
      </c>
      <c r="E4846" s="16">
        <v>0</v>
      </c>
      <c r="F4846" s="16" t="s">
        <v>64</v>
      </c>
      <c r="G4846" s="16" t="s">
        <v>64</v>
      </c>
    </row>
    <row r="4847" spans="1:7" x14ac:dyDescent="0.2">
      <c r="A4847" t="s">
        <v>64</v>
      </c>
      <c r="B4847" t="s">
        <v>64</v>
      </c>
      <c r="C4847" s="3" t="s">
        <v>64</v>
      </c>
      <c r="D4847" s="16" t="s">
        <v>64</v>
      </c>
      <c r="E4847" s="16">
        <v>0</v>
      </c>
      <c r="F4847" s="16" t="s">
        <v>64</v>
      </c>
      <c r="G4847" s="16" t="s">
        <v>64</v>
      </c>
    </row>
    <row r="4848" spans="1:7" x14ac:dyDescent="0.2">
      <c r="A4848" t="s">
        <v>64</v>
      </c>
      <c r="B4848" t="s">
        <v>64</v>
      </c>
      <c r="C4848" s="3" t="s">
        <v>64</v>
      </c>
      <c r="D4848" s="16" t="s">
        <v>64</v>
      </c>
      <c r="E4848" s="16">
        <v>0</v>
      </c>
      <c r="F4848" s="16" t="s">
        <v>64</v>
      </c>
      <c r="G4848" s="16" t="s">
        <v>64</v>
      </c>
    </row>
    <row r="4849" spans="1:7" x14ac:dyDescent="0.2">
      <c r="A4849" t="s">
        <v>64</v>
      </c>
      <c r="B4849" t="s">
        <v>64</v>
      </c>
      <c r="C4849" s="3" t="s">
        <v>64</v>
      </c>
      <c r="D4849" s="16" t="s">
        <v>64</v>
      </c>
      <c r="E4849" s="16">
        <v>0</v>
      </c>
      <c r="F4849" s="16" t="s">
        <v>64</v>
      </c>
      <c r="G4849" s="16" t="s">
        <v>64</v>
      </c>
    </row>
    <row r="4850" spans="1:7" x14ac:dyDescent="0.2">
      <c r="A4850" t="s">
        <v>64</v>
      </c>
      <c r="B4850" t="s">
        <v>64</v>
      </c>
      <c r="C4850" s="3" t="s">
        <v>64</v>
      </c>
      <c r="D4850" s="16" t="s">
        <v>64</v>
      </c>
      <c r="E4850" s="16">
        <v>0</v>
      </c>
      <c r="F4850" s="16" t="s">
        <v>64</v>
      </c>
      <c r="G4850" s="16" t="s">
        <v>64</v>
      </c>
    </row>
    <row r="4851" spans="1:7" x14ac:dyDescent="0.2">
      <c r="A4851" t="s">
        <v>64</v>
      </c>
      <c r="B4851" t="s">
        <v>64</v>
      </c>
      <c r="C4851" s="3" t="s">
        <v>64</v>
      </c>
      <c r="D4851" s="16" t="s">
        <v>64</v>
      </c>
      <c r="E4851" s="16">
        <v>0</v>
      </c>
      <c r="F4851" s="16" t="s">
        <v>64</v>
      </c>
      <c r="G4851" s="16" t="s">
        <v>64</v>
      </c>
    </row>
    <row r="4852" spans="1:7" x14ac:dyDescent="0.2">
      <c r="A4852" t="s">
        <v>64</v>
      </c>
      <c r="B4852" t="s">
        <v>64</v>
      </c>
      <c r="C4852" s="3" t="s">
        <v>64</v>
      </c>
      <c r="D4852" s="16" t="s">
        <v>64</v>
      </c>
      <c r="E4852" s="16">
        <v>0</v>
      </c>
      <c r="F4852" s="16" t="s">
        <v>64</v>
      </c>
      <c r="G4852" s="16" t="s">
        <v>64</v>
      </c>
    </row>
    <row r="4853" spans="1:7" x14ac:dyDescent="0.2">
      <c r="A4853" t="s">
        <v>64</v>
      </c>
      <c r="B4853" t="s">
        <v>64</v>
      </c>
      <c r="C4853" s="3" t="s">
        <v>64</v>
      </c>
      <c r="D4853" s="16" t="s">
        <v>64</v>
      </c>
      <c r="E4853" s="16">
        <v>0</v>
      </c>
      <c r="F4853" s="16" t="s">
        <v>64</v>
      </c>
      <c r="G4853" s="16" t="s">
        <v>64</v>
      </c>
    </row>
    <row r="4854" spans="1:7" x14ac:dyDescent="0.2">
      <c r="A4854" t="s">
        <v>64</v>
      </c>
      <c r="B4854" t="s">
        <v>64</v>
      </c>
      <c r="C4854" s="3" t="s">
        <v>64</v>
      </c>
      <c r="D4854" s="16" t="s">
        <v>64</v>
      </c>
      <c r="E4854" s="16">
        <v>0</v>
      </c>
      <c r="F4854" s="16" t="s">
        <v>64</v>
      </c>
      <c r="G4854" s="16" t="s">
        <v>64</v>
      </c>
    </row>
    <row r="4855" spans="1:7" x14ac:dyDescent="0.2">
      <c r="A4855" t="s">
        <v>64</v>
      </c>
      <c r="B4855" t="s">
        <v>64</v>
      </c>
      <c r="C4855" s="3" t="s">
        <v>64</v>
      </c>
      <c r="D4855" s="16" t="s">
        <v>64</v>
      </c>
      <c r="E4855" s="16">
        <v>0</v>
      </c>
      <c r="F4855" s="16" t="s">
        <v>64</v>
      </c>
      <c r="G4855" s="16" t="s">
        <v>64</v>
      </c>
    </row>
    <row r="4856" spans="1:7" x14ac:dyDescent="0.2">
      <c r="A4856" t="s">
        <v>64</v>
      </c>
      <c r="B4856" t="s">
        <v>64</v>
      </c>
      <c r="C4856" s="3" t="s">
        <v>64</v>
      </c>
      <c r="D4856" s="16" t="s">
        <v>64</v>
      </c>
      <c r="E4856" s="16">
        <v>0</v>
      </c>
      <c r="F4856" s="16" t="s">
        <v>64</v>
      </c>
      <c r="G4856" s="16" t="s">
        <v>64</v>
      </c>
    </row>
    <row r="4857" spans="1:7" x14ac:dyDescent="0.2">
      <c r="A4857" t="s">
        <v>64</v>
      </c>
      <c r="B4857" t="s">
        <v>64</v>
      </c>
      <c r="C4857" s="3" t="s">
        <v>64</v>
      </c>
      <c r="D4857" s="16" t="s">
        <v>64</v>
      </c>
      <c r="E4857" s="16">
        <v>0</v>
      </c>
      <c r="F4857" s="16" t="s">
        <v>64</v>
      </c>
      <c r="G4857" s="16" t="s">
        <v>64</v>
      </c>
    </row>
    <row r="4858" spans="1:7" x14ac:dyDescent="0.2">
      <c r="A4858" t="s">
        <v>64</v>
      </c>
      <c r="B4858" t="s">
        <v>64</v>
      </c>
      <c r="C4858" s="3" t="s">
        <v>64</v>
      </c>
      <c r="D4858" s="16" t="s">
        <v>64</v>
      </c>
      <c r="E4858" s="16">
        <v>0</v>
      </c>
      <c r="F4858" s="16" t="s">
        <v>64</v>
      </c>
      <c r="G4858" s="16" t="s">
        <v>64</v>
      </c>
    </row>
    <row r="4859" spans="1:7" x14ac:dyDescent="0.2">
      <c r="A4859" t="s">
        <v>64</v>
      </c>
      <c r="B4859" t="s">
        <v>64</v>
      </c>
      <c r="C4859" s="3" t="s">
        <v>64</v>
      </c>
      <c r="D4859" s="16" t="s">
        <v>64</v>
      </c>
      <c r="E4859" s="16">
        <v>0</v>
      </c>
      <c r="F4859" s="16" t="s">
        <v>64</v>
      </c>
      <c r="G4859" s="16" t="s">
        <v>64</v>
      </c>
    </row>
    <row r="4860" spans="1:7" x14ac:dyDescent="0.2">
      <c r="A4860" t="s">
        <v>64</v>
      </c>
      <c r="B4860" t="s">
        <v>64</v>
      </c>
      <c r="C4860" s="3" t="s">
        <v>64</v>
      </c>
      <c r="D4860" s="16" t="s">
        <v>64</v>
      </c>
      <c r="E4860" s="16">
        <v>0</v>
      </c>
      <c r="F4860" s="16" t="s">
        <v>64</v>
      </c>
      <c r="G4860" s="16" t="s">
        <v>64</v>
      </c>
    </row>
    <row r="4861" spans="1:7" x14ac:dyDescent="0.2">
      <c r="A4861" t="s">
        <v>64</v>
      </c>
      <c r="B4861" t="s">
        <v>64</v>
      </c>
      <c r="C4861" s="3" t="s">
        <v>64</v>
      </c>
      <c r="D4861" s="16" t="s">
        <v>64</v>
      </c>
      <c r="E4861" s="16">
        <v>0</v>
      </c>
      <c r="F4861" s="16" t="s">
        <v>64</v>
      </c>
      <c r="G4861" s="16" t="s">
        <v>64</v>
      </c>
    </row>
    <row r="4862" spans="1:7" x14ac:dyDescent="0.2">
      <c r="A4862" t="s">
        <v>64</v>
      </c>
      <c r="B4862" t="s">
        <v>64</v>
      </c>
      <c r="C4862" s="3" t="s">
        <v>64</v>
      </c>
      <c r="D4862" s="16" t="s">
        <v>64</v>
      </c>
      <c r="E4862" s="16">
        <v>0</v>
      </c>
      <c r="F4862" s="16" t="s">
        <v>64</v>
      </c>
      <c r="G4862" s="16" t="s">
        <v>64</v>
      </c>
    </row>
    <row r="4863" spans="1:7" x14ac:dyDescent="0.2">
      <c r="A4863" t="s">
        <v>64</v>
      </c>
      <c r="B4863" t="s">
        <v>64</v>
      </c>
      <c r="C4863" s="3" t="s">
        <v>64</v>
      </c>
      <c r="D4863" s="16" t="s">
        <v>64</v>
      </c>
      <c r="E4863" s="16">
        <v>0</v>
      </c>
      <c r="F4863" s="16" t="s">
        <v>64</v>
      </c>
      <c r="G4863" s="16" t="s">
        <v>64</v>
      </c>
    </row>
    <row r="4864" spans="1:7" x14ac:dyDescent="0.2">
      <c r="A4864" t="s">
        <v>64</v>
      </c>
      <c r="B4864" t="s">
        <v>64</v>
      </c>
      <c r="C4864" s="3" t="s">
        <v>64</v>
      </c>
      <c r="D4864" s="16" t="s">
        <v>64</v>
      </c>
      <c r="E4864" s="16">
        <v>0</v>
      </c>
      <c r="F4864" s="16" t="s">
        <v>64</v>
      </c>
      <c r="G4864" s="16" t="s">
        <v>64</v>
      </c>
    </row>
    <row r="4865" spans="1:7" x14ac:dyDescent="0.2">
      <c r="A4865" t="s">
        <v>64</v>
      </c>
      <c r="B4865" t="s">
        <v>64</v>
      </c>
      <c r="C4865" s="3" t="s">
        <v>64</v>
      </c>
      <c r="D4865" s="16" t="s">
        <v>64</v>
      </c>
      <c r="E4865" s="16">
        <v>0</v>
      </c>
      <c r="F4865" s="16" t="s">
        <v>64</v>
      </c>
      <c r="G4865" s="16" t="s">
        <v>64</v>
      </c>
    </row>
    <row r="4866" spans="1:7" x14ac:dyDescent="0.2">
      <c r="A4866" t="s">
        <v>64</v>
      </c>
      <c r="B4866" t="s">
        <v>64</v>
      </c>
      <c r="C4866" s="3" t="s">
        <v>64</v>
      </c>
      <c r="D4866" s="16" t="s">
        <v>64</v>
      </c>
      <c r="E4866" s="16">
        <v>0</v>
      </c>
      <c r="F4866" s="16" t="s">
        <v>64</v>
      </c>
      <c r="G4866" s="16" t="s">
        <v>64</v>
      </c>
    </row>
    <row r="4867" spans="1:7" x14ac:dyDescent="0.2">
      <c r="A4867" t="s">
        <v>64</v>
      </c>
      <c r="B4867" t="s">
        <v>64</v>
      </c>
      <c r="C4867" s="3" t="s">
        <v>64</v>
      </c>
      <c r="D4867" s="16" t="s">
        <v>64</v>
      </c>
      <c r="E4867" s="16">
        <v>0</v>
      </c>
      <c r="F4867" s="16" t="s">
        <v>64</v>
      </c>
      <c r="G4867" s="16" t="s">
        <v>64</v>
      </c>
    </row>
    <row r="4868" spans="1:7" x14ac:dyDescent="0.2">
      <c r="A4868" t="s">
        <v>64</v>
      </c>
      <c r="B4868" t="s">
        <v>64</v>
      </c>
      <c r="C4868" s="3" t="s">
        <v>64</v>
      </c>
      <c r="D4868" s="16" t="s">
        <v>64</v>
      </c>
      <c r="E4868" s="16">
        <v>0</v>
      </c>
      <c r="F4868" s="16" t="s">
        <v>64</v>
      </c>
      <c r="G4868" s="16" t="s">
        <v>64</v>
      </c>
    </row>
    <row r="4869" spans="1:7" x14ac:dyDescent="0.2">
      <c r="A4869" t="s">
        <v>64</v>
      </c>
      <c r="B4869" t="s">
        <v>64</v>
      </c>
      <c r="C4869" s="3" t="s">
        <v>64</v>
      </c>
      <c r="D4869" s="16" t="s">
        <v>64</v>
      </c>
      <c r="E4869" s="16">
        <v>0</v>
      </c>
      <c r="F4869" s="16" t="s">
        <v>64</v>
      </c>
      <c r="G4869" s="16" t="s">
        <v>64</v>
      </c>
    </row>
    <row r="4870" spans="1:7" x14ac:dyDescent="0.2">
      <c r="A4870" t="s">
        <v>64</v>
      </c>
      <c r="B4870" t="s">
        <v>64</v>
      </c>
      <c r="C4870" s="3" t="s">
        <v>64</v>
      </c>
      <c r="D4870" s="16" t="s">
        <v>64</v>
      </c>
      <c r="E4870" s="16">
        <v>0</v>
      </c>
      <c r="F4870" s="16" t="s">
        <v>64</v>
      </c>
      <c r="G4870" s="16" t="s">
        <v>64</v>
      </c>
    </row>
    <row r="4871" spans="1:7" x14ac:dyDescent="0.2">
      <c r="A4871" t="s">
        <v>64</v>
      </c>
      <c r="B4871" t="s">
        <v>64</v>
      </c>
      <c r="C4871" s="3" t="s">
        <v>64</v>
      </c>
      <c r="D4871" s="16" t="s">
        <v>64</v>
      </c>
      <c r="E4871" s="16">
        <v>0</v>
      </c>
      <c r="F4871" s="16" t="s">
        <v>64</v>
      </c>
      <c r="G4871" s="16" t="s">
        <v>64</v>
      </c>
    </row>
    <row r="4872" spans="1:7" x14ac:dyDescent="0.2">
      <c r="A4872" t="s">
        <v>64</v>
      </c>
      <c r="B4872" t="s">
        <v>64</v>
      </c>
      <c r="C4872" s="3" t="s">
        <v>64</v>
      </c>
      <c r="D4872" s="16" t="s">
        <v>64</v>
      </c>
      <c r="E4872" s="16">
        <v>0</v>
      </c>
      <c r="F4872" s="16" t="s">
        <v>64</v>
      </c>
      <c r="G4872" s="16" t="s">
        <v>64</v>
      </c>
    </row>
    <row r="4873" spans="1:7" x14ac:dyDescent="0.2">
      <c r="A4873" t="s">
        <v>64</v>
      </c>
      <c r="B4873" t="s">
        <v>64</v>
      </c>
      <c r="C4873" s="3" t="s">
        <v>64</v>
      </c>
      <c r="D4873" s="16" t="s">
        <v>64</v>
      </c>
      <c r="E4873" s="16">
        <v>0</v>
      </c>
      <c r="F4873" s="16" t="s">
        <v>64</v>
      </c>
      <c r="G4873" s="16" t="s">
        <v>64</v>
      </c>
    </row>
    <row r="4874" spans="1:7" x14ac:dyDescent="0.2">
      <c r="A4874" t="s">
        <v>64</v>
      </c>
      <c r="B4874" t="s">
        <v>64</v>
      </c>
      <c r="C4874" s="3" t="s">
        <v>64</v>
      </c>
      <c r="D4874" s="16" t="s">
        <v>64</v>
      </c>
      <c r="E4874" s="16">
        <v>0</v>
      </c>
      <c r="F4874" s="16" t="s">
        <v>64</v>
      </c>
      <c r="G4874" s="16" t="s">
        <v>64</v>
      </c>
    </row>
    <row r="4875" spans="1:7" x14ac:dyDescent="0.2">
      <c r="A4875" t="s">
        <v>64</v>
      </c>
      <c r="B4875" t="s">
        <v>64</v>
      </c>
      <c r="C4875" s="3" t="s">
        <v>64</v>
      </c>
      <c r="D4875" s="16" t="s">
        <v>64</v>
      </c>
      <c r="E4875" s="16">
        <v>0</v>
      </c>
      <c r="F4875" s="16" t="s">
        <v>64</v>
      </c>
      <c r="G4875" s="16" t="s">
        <v>64</v>
      </c>
    </row>
    <row r="4876" spans="1:7" x14ac:dyDescent="0.2">
      <c r="A4876" t="s">
        <v>64</v>
      </c>
      <c r="B4876" t="s">
        <v>64</v>
      </c>
      <c r="C4876" s="3" t="s">
        <v>64</v>
      </c>
      <c r="D4876" s="16" t="s">
        <v>64</v>
      </c>
      <c r="E4876" s="16">
        <v>0</v>
      </c>
      <c r="F4876" s="16" t="s">
        <v>64</v>
      </c>
      <c r="G4876" s="16" t="s">
        <v>64</v>
      </c>
    </row>
    <row r="4877" spans="1:7" x14ac:dyDescent="0.2">
      <c r="A4877" t="s">
        <v>64</v>
      </c>
      <c r="B4877" t="s">
        <v>64</v>
      </c>
      <c r="C4877" s="3" t="s">
        <v>64</v>
      </c>
      <c r="D4877" s="16" t="s">
        <v>64</v>
      </c>
      <c r="E4877" s="16">
        <v>0</v>
      </c>
      <c r="F4877" s="16" t="s">
        <v>64</v>
      </c>
      <c r="G4877" s="16" t="s">
        <v>64</v>
      </c>
    </row>
    <row r="4878" spans="1:7" x14ac:dyDescent="0.2">
      <c r="A4878" t="s">
        <v>64</v>
      </c>
      <c r="B4878" t="s">
        <v>64</v>
      </c>
      <c r="C4878" s="3" t="s">
        <v>64</v>
      </c>
      <c r="D4878" s="16" t="s">
        <v>64</v>
      </c>
      <c r="E4878" s="16">
        <v>0</v>
      </c>
      <c r="F4878" s="16" t="s">
        <v>64</v>
      </c>
      <c r="G4878" s="16" t="s">
        <v>64</v>
      </c>
    </row>
    <row r="4879" spans="1:7" x14ac:dyDescent="0.2">
      <c r="A4879" t="s">
        <v>64</v>
      </c>
      <c r="B4879" t="s">
        <v>64</v>
      </c>
      <c r="C4879" s="3" t="s">
        <v>64</v>
      </c>
      <c r="D4879" s="16" t="s">
        <v>64</v>
      </c>
      <c r="E4879" s="16">
        <v>0</v>
      </c>
      <c r="F4879" s="16" t="s">
        <v>64</v>
      </c>
      <c r="G4879" s="16" t="s">
        <v>64</v>
      </c>
    </row>
    <row r="4880" spans="1:7" x14ac:dyDescent="0.2">
      <c r="A4880" t="s">
        <v>64</v>
      </c>
      <c r="B4880" t="s">
        <v>64</v>
      </c>
      <c r="C4880" s="3" t="s">
        <v>64</v>
      </c>
      <c r="D4880" s="16" t="s">
        <v>64</v>
      </c>
      <c r="E4880" s="16">
        <v>0</v>
      </c>
      <c r="F4880" s="16" t="s">
        <v>64</v>
      </c>
      <c r="G4880" s="16" t="s">
        <v>64</v>
      </c>
    </row>
    <row r="4881" spans="1:7" x14ac:dyDescent="0.2">
      <c r="A4881" t="s">
        <v>64</v>
      </c>
      <c r="B4881" t="s">
        <v>64</v>
      </c>
      <c r="C4881" s="3" t="s">
        <v>64</v>
      </c>
      <c r="D4881" s="16" t="s">
        <v>64</v>
      </c>
      <c r="E4881" s="16">
        <v>0</v>
      </c>
      <c r="F4881" s="16" t="s">
        <v>64</v>
      </c>
      <c r="G4881" s="16" t="s">
        <v>64</v>
      </c>
    </row>
    <row r="4882" spans="1:7" x14ac:dyDescent="0.2">
      <c r="A4882" t="s">
        <v>64</v>
      </c>
      <c r="B4882" t="s">
        <v>64</v>
      </c>
      <c r="C4882" s="3" t="s">
        <v>64</v>
      </c>
      <c r="D4882" s="16" t="s">
        <v>64</v>
      </c>
      <c r="E4882" s="16">
        <v>0</v>
      </c>
      <c r="F4882" s="16" t="s">
        <v>64</v>
      </c>
      <c r="G4882" s="16" t="s">
        <v>64</v>
      </c>
    </row>
    <row r="4883" spans="1:7" x14ac:dyDescent="0.2">
      <c r="A4883" t="s">
        <v>64</v>
      </c>
      <c r="B4883" t="s">
        <v>64</v>
      </c>
      <c r="C4883" s="3" t="s">
        <v>64</v>
      </c>
      <c r="D4883" s="16" t="s">
        <v>64</v>
      </c>
      <c r="E4883" s="16">
        <v>0</v>
      </c>
      <c r="F4883" s="16" t="s">
        <v>64</v>
      </c>
      <c r="G4883" s="16" t="s">
        <v>64</v>
      </c>
    </row>
    <row r="4884" spans="1:7" x14ac:dyDescent="0.2">
      <c r="A4884" t="s">
        <v>64</v>
      </c>
      <c r="B4884" t="s">
        <v>64</v>
      </c>
      <c r="C4884" s="3" t="s">
        <v>64</v>
      </c>
      <c r="D4884" s="16" t="s">
        <v>64</v>
      </c>
      <c r="E4884" s="16">
        <v>0</v>
      </c>
      <c r="F4884" s="16" t="s">
        <v>64</v>
      </c>
      <c r="G4884" s="16" t="s">
        <v>64</v>
      </c>
    </row>
    <row r="4885" spans="1:7" x14ac:dyDescent="0.2">
      <c r="A4885" t="s">
        <v>64</v>
      </c>
      <c r="B4885" t="s">
        <v>64</v>
      </c>
      <c r="C4885" s="3" t="s">
        <v>64</v>
      </c>
      <c r="D4885" s="16" t="s">
        <v>64</v>
      </c>
      <c r="E4885" s="16">
        <v>0</v>
      </c>
      <c r="F4885" s="16" t="s">
        <v>64</v>
      </c>
      <c r="G4885" s="16" t="s">
        <v>64</v>
      </c>
    </row>
    <row r="4886" spans="1:7" x14ac:dyDescent="0.2">
      <c r="A4886" t="s">
        <v>64</v>
      </c>
      <c r="B4886" t="s">
        <v>64</v>
      </c>
      <c r="C4886" s="3" t="s">
        <v>64</v>
      </c>
      <c r="D4886" s="16" t="s">
        <v>64</v>
      </c>
      <c r="E4886" s="16">
        <v>0</v>
      </c>
      <c r="F4886" s="16" t="s">
        <v>64</v>
      </c>
      <c r="G4886" s="16" t="s">
        <v>64</v>
      </c>
    </row>
    <row r="4887" spans="1:7" x14ac:dyDescent="0.2">
      <c r="A4887" t="s">
        <v>64</v>
      </c>
      <c r="B4887" t="s">
        <v>64</v>
      </c>
      <c r="C4887" s="3" t="s">
        <v>64</v>
      </c>
      <c r="D4887" s="16" t="s">
        <v>64</v>
      </c>
      <c r="E4887" s="16">
        <v>0</v>
      </c>
      <c r="F4887" s="16" t="s">
        <v>64</v>
      </c>
      <c r="G4887" s="16" t="s">
        <v>64</v>
      </c>
    </row>
    <row r="4888" spans="1:7" x14ac:dyDescent="0.2">
      <c r="A4888" t="s">
        <v>64</v>
      </c>
      <c r="B4888" t="s">
        <v>64</v>
      </c>
      <c r="C4888" s="3" t="s">
        <v>64</v>
      </c>
      <c r="D4888" s="16" t="s">
        <v>64</v>
      </c>
      <c r="E4888" s="16">
        <v>0</v>
      </c>
      <c r="F4888" s="16" t="s">
        <v>64</v>
      </c>
      <c r="G4888" s="16" t="s">
        <v>64</v>
      </c>
    </row>
    <row r="4889" spans="1:7" x14ac:dyDescent="0.2">
      <c r="A4889" t="s">
        <v>64</v>
      </c>
      <c r="B4889" t="s">
        <v>64</v>
      </c>
      <c r="C4889" s="3" t="s">
        <v>64</v>
      </c>
      <c r="D4889" s="16" t="s">
        <v>64</v>
      </c>
      <c r="E4889" s="16">
        <v>0</v>
      </c>
      <c r="F4889" s="16" t="s">
        <v>64</v>
      </c>
      <c r="G4889" s="16" t="s">
        <v>64</v>
      </c>
    </row>
    <row r="4890" spans="1:7" x14ac:dyDescent="0.2">
      <c r="A4890" t="s">
        <v>64</v>
      </c>
      <c r="B4890" t="s">
        <v>64</v>
      </c>
      <c r="C4890" s="3" t="s">
        <v>64</v>
      </c>
      <c r="D4890" s="16" t="s">
        <v>64</v>
      </c>
      <c r="E4890" s="16">
        <v>0</v>
      </c>
      <c r="F4890" s="16" t="s">
        <v>64</v>
      </c>
      <c r="G4890" s="16" t="s">
        <v>64</v>
      </c>
    </row>
    <row r="4891" spans="1:7" x14ac:dyDescent="0.2">
      <c r="A4891" t="s">
        <v>64</v>
      </c>
      <c r="B4891" t="s">
        <v>64</v>
      </c>
      <c r="C4891" s="3" t="s">
        <v>64</v>
      </c>
      <c r="D4891" s="16" t="s">
        <v>64</v>
      </c>
      <c r="E4891" s="16">
        <v>0</v>
      </c>
      <c r="F4891" s="16" t="s">
        <v>64</v>
      </c>
      <c r="G4891" s="16" t="s">
        <v>64</v>
      </c>
    </row>
    <row r="4892" spans="1:7" x14ac:dyDescent="0.2">
      <c r="A4892" t="s">
        <v>64</v>
      </c>
      <c r="B4892" t="s">
        <v>64</v>
      </c>
      <c r="C4892" s="3" t="s">
        <v>64</v>
      </c>
      <c r="D4892" s="16" t="s">
        <v>64</v>
      </c>
      <c r="E4892" s="16">
        <v>0</v>
      </c>
      <c r="F4892" s="16" t="s">
        <v>64</v>
      </c>
      <c r="G4892" s="16" t="s">
        <v>64</v>
      </c>
    </row>
    <row r="4893" spans="1:7" x14ac:dyDescent="0.2">
      <c r="A4893" t="s">
        <v>64</v>
      </c>
      <c r="B4893" t="s">
        <v>64</v>
      </c>
      <c r="C4893" s="3" t="s">
        <v>64</v>
      </c>
      <c r="D4893" s="16" t="s">
        <v>64</v>
      </c>
      <c r="E4893" s="16">
        <v>0</v>
      </c>
      <c r="F4893" s="16" t="s">
        <v>64</v>
      </c>
      <c r="G4893" s="16" t="s">
        <v>64</v>
      </c>
    </row>
    <row r="4894" spans="1:7" x14ac:dyDescent="0.2">
      <c r="A4894" t="s">
        <v>64</v>
      </c>
      <c r="B4894" t="s">
        <v>64</v>
      </c>
      <c r="C4894" s="3" t="s">
        <v>64</v>
      </c>
      <c r="D4894" s="16" t="s">
        <v>64</v>
      </c>
      <c r="E4894" s="16">
        <v>0</v>
      </c>
      <c r="F4894" s="16" t="s">
        <v>64</v>
      </c>
      <c r="G4894" s="16" t="s">
        <v>64</v>
      </c>
    </row>
    <row r="4895" spans="1:7" x14ac:dyDescent="0.2">
      <c r="A4895" t="s">
        <v>64</v>
      </c>
      <c r="B4895" t="s">
        <v>64</v>
      </c>
      <c r="C4895" s="3" t="s">
        <v>64</v>
      </c>
      <c r="D4895" s="16" t="s">
        <v>64</v>
      </c>
      <c r="E4895" s="16">
        <v>0</v>
      </c>
      <c r="F4895" s="16" t="s">
        <v>64</v>
      </c>
      <c r="G4895" s="16" t="s">
        <v>64</v>
      </c>
    </row>
    <row r="4896" spans="1:7" x14ac:dyDescent="0.2">
      <c r="A4896" t="s">
        <v>64</v>
      </c>
      <c r="B4896" t="s">
        <v>64</v>
      </c>
      <c r="C4896" s="3" t="s">
        <v>64</v>
      </c>
      <c r="D4896" s="16" t="s">
        <v>64</v>
      </c>
      <c r="E4896" s="16">
        <v>0</v>
      </c>
      <c r="F4896" s="16" t="s">
        <v>64</v>
      </c>
      <c r="G4896" s="16" t="s">
        <v>64</v>
      </c>
    </row>
    <row r="4897" spans="1:7" x14ac:dyDescent="0.2">
      <c r="A4897" t="s">
        <v>64</v>
      </c>
      <c r="B4897" t="s">
        <v>64</v>
      </c>
      <c r="C4897" s="3" t="s">
        <v>64</v>
      </c>
      <c r="D4897" s="16" t="s">
        <v>64</v>
      </c>
      <c r="E4897" s="16">
        <v>0</v>
      </c>
      <c r="F4897" s="16" t="s">
        <v>64</v>
      </c>
      <c r="G4897" s="16" t="s">
        <v>64</v>
      </c>
    </row>
    <row r="4898" spans="1:7" x14ac:dyDescent="0.2">
      <c r="A4898" t="s">
        <v>64</v>
      </c>
      <c r="B4898" t="s">
        <v>64</v>
      </c>
      <c r="C4898" s="3" t="s">
        <v>64</v>
      </c>
      <c r="D4898" s="16" t="s">
        <v>64</v>
      </c>
      <c r="E4898" s="16">
        <v>0</v>
      </c>
      <c r="F4898" s="16" t="s">
        <v>64</v>
      </c>
      <c r="G4898" s="16" t="s">
        <v>64</v>
      </c>
    </row>
    <row r="4899" spans="1:7" x14ac:dyDescent="0.2">
      <c r="A4899" t="s">
        <v>64</v>
      </c>
      <c r="B4899" t="s">
        <v>64</v>
      </c>
      <c r="C4899" s="3" t="s">
        <v>64</v>
      </c>
      <c r="D4899" s="16" t="s">
        <v>64</v>
      </c>
      <c r="E4899" s="16">
        <v>0</v>
      </c>
      <c r="F4899" s="16" t="s">
        <v>64</v>
      </c>
      <c r="G4899" s="16" t="s">
        <v>64</v>
      </c>
    </row>
    <row r="4900" spans="1:7" x14ac:dyDescent="0.2">
      <c r="A4900" t="s">
        <v>64</v>
      </c>
      <c r="B4900" t="s">
        <v>64</v>
      </c>
      <c r="C4900" s="3" t="s">
        <v>64</v>
      </c>
      <c r="D4900" s="16" t="s">
        <v>64</v>
      </c>
      <c r="E4900" s="16">
        <v>0</v>
      </c>
      <c r="F4900" s="16" t="s">
        <v>64</v>
      </c>
      <c r="G4900" s="16" t="s">
        <v>64</v>
      </c>
    </row>
    <row r="4901" spans="1:7" x14ac:dyDescent="0.2">
      <c r="A4901" t="s">
        <v>64</v>
      </c>
      <c r="B4901" t="s">
        <v>64</v>
      </c>
      <c r="C4901" s="3" t="s">
        <v>64</v>
      </c>
      <c r="D4901" s="16" t="s">
        <v>64</v>
      </c>
      <c r="E4901" s="16">
        <v>0</v>
      </c>
      <c r="F4901" s="16" t="s">
        <v>64</v>
      </c>
      <c r="G4901" s="16" t="s">
        <v>64</v>
      </c>
    </row>
    <row r="4902" spans="1:7" x14ac:dyDescent="0.2">
      <c r="A4902" t="s">
        <v>64</v>
      </c>
      <c r="B4902" t="s">
        <v>64</v>
      </c>
      <c r="C4902" s="3" t="s">
        <v>64</v>
      </c>
      <c r="D4902" s="16" t="s">
        <v>64</v>
      </c>
      <c r="E4902" s="16">
        <v>0</v>
      </c>
      <c r="F4902" s="16" t="s">
        <v>64</v>
      </c>
      <c r="G4902" s="16" t="s">
        <v>64</v>
      </c>
    </row>
    <row r="4903" spans="1:7" x14ac:dyDescent="0.2">
      <c r="A4903" t="s">
        <v>64</v>
      </c>
      <c r="B4903" t="s">
        <v>64</v>
      </c>
      <c r="C4903" s="3" t="s">
        <v>64</v>
      </c>
      <c r="D4903" s="16" t="s">
        <v>64</v>
      </c>
      <c r="E4903" s="16">
        <v>0</v>
      </c>
      <c r="F4903" s="16" t="s">
        <v>64</v>
      </c>
      <c r="G4903" s="16" t="s">
        <v>64</v>
      </c>
    </row>
    <row r="4904" spans="1:7" x14ac:dyDescent="0.2">
      <c r="A4904" t="s">
        <v>64</v>
      </c>
      <c r="B4904" t="s">
        <v>64</v>
      </c>
      <c r="C4904" s="3" t="s">
        <v>64</v>
      </c>
      <c r="D4904" s="16" t="s">
        <v>64</v>
      </c>
      <c r="E4904" s="16">
        <v>0</v>
      </c>
      <c r="F4904" s="16" t="s">
        <v>64</v>
      </c>
      <c r="G4904" s="16" t="s">
        <v>64</v>
      </c>
    </row>
    <row r="4905" spans="1:7" x14ac:dyDescent="0.2">
      <c r="A4905" t="s">
        <v>64</v>
      </c>
      <c r="B4905" t="s">
        <v>64</v>
      </c>
      <c r="C4905" s="3" t="s">
        <v>64</v>
      </c>
      <c r="D4905" s="16" t="s">
        <v>64</v>
      </c>
      <c r="E4905" s="16">
        <v>0</v>
      </c>
      <c r="F4905" s="16" t="s">
        <v>64</v>
      </c>
      <c r="G4905" s="16" t="s">
        <v>64</v>
      </c>
    </row>
    <row r="4906" spans="1:7" x14ac:dyDescent="0.2">
      <c r="A4906" t="s">
        <v>64</v>
      </c>
      <c r="B4906" t="s">
        <v>64</v>
      </c>
      <c r="C4906" s="3" t="s">
        <v>64</v>
      </c>
      <c r="D4906" s="16" t="s">
        <v>64</v>
      </c>
      <c r="E4906" s="16">
        <v>0</v>
      </c>
      <c r="F4906" s="16" t="s">
        <v>64</v>
      </c>
      <c r="G4906" s="16" t="s">
        <v>64</v>
      </c>
    </row>
    <row r="4907" spans="1:7" x14ac:dyDescent="0.2">
      <c r="A4907" t="s">
        <v>64</v>
      </c>
      <c r="B4907" t="s">
        <v>64</v>
      </c>
      <c r="C4907" s="3" t="s">
        <v>64</v>
      </c>
      <c r="D4907" s="16" t="s">
        <v>64</v>
      </c>
      <c r="E4907" s="16">
        <v>0</v>
      </c>
      <c r="F4907" s="16" t="s">
        <v>64</v>
      </c>
      <c r="G4907" s="16" t="s">
        <v>64</v>
      </c>
    </row>
    <row r="4908" spans="1:7" x14ac:dyDescent="0.2">
      <c r="A4908" t="s">
        <v>64</v>
      </c>
      <c r="B4908" t="s">
        <v>64</v>
      </c>
      <c r="C4908" s="3" t="s">
        <v>64</v>
      </c>
      <c r="D4908" s="16" t="s">
        <v>64</v>
      </c>
      <c r="E4908" s="16">
        <v>0</v>
      </c>
      <c r="F4908" s="16" t="s">
        <v>64</v>
      </c>
      <c r="G4908" s="16" t="s">
        <v>64</v>
      </c>
    </row>
    <row r="4909" spans="1:7" x14ac:dyDescent="0.2">
      <c r="A4909" t="s">
        <v>64</v>
      </c>
      <c r="B4909" t="s">
        <v>64</v>
      </c>
      <c r="C4909" s="3" t="s">
        <v>64</v>
      </c>
      <c r="D4909" s="16" t="s">
        <v>64</v>
      </c>
      <c r="E4909" s="16">
        <v>0</v>
      </c>
      <c r="F4909" s="16" t="s">
        <v>64</v>
      </c>
      <c r="G4909" s="16" t="s">
        <v>64</v>
      </c>
    </row>
    <row r="4910" spans="1:7" x14ac:dyDescent="0.2">
      <c r="A4910" t="s">
        <v>64</v>
      </c>
      <c r="B4910" t="s">
        <v>64</v>
      </c>
      <c r="C4910" s="3" t="s">
        <v>64</v>
      </c>
      <c r="D4910" s="16" t="s">
        <v>64</v>
      </c>
      <c r="E4910" s="16">
        <v>0</v>
      </c>
      <c r="F4910" s="16" t="s">
        <v>64</v>
      </c>
      <c r="G4910" s="16" t="s">
        <v>64</v>
      </c>
    </row>
    <row r="4911" spans="1:7" x14ac:dyDescent="0.2">
      <c r="A4911" t="s">
        <v>64</v>
      </c>
      <c r="B4911" t="s">
        <v>64</v>
      </c>
      <c r="C4911" s="3" t="s">
        <v>64</v>
      </c>
      <c r="D4911" s="16" t="s">
        <v>64</v>
      </c>
      <c r="E4911" s="16">
        <v>0</v>
      </c>
      <c r="F4911" s="16" t="s">
        <v>64</v>
      </c>
      <c r="G4911" s="16" t="s">
        <v>64</v>
      </c>
    </row>
    <row r="4912" spans="1:7" x14ac:dyDescent="0.2">
      <c r="A4912" t="s">
        <v>64</v>
      </c>
      <c r="B4912" t="s">
        <v>64</v>
      </c>
      <c r="C4912" s="3" t="s">
        <v>64</v>
      </c>
      <c r="D4912" s="16" t="s">
        <v>64</v>
      </c>
      <c r="E4912" s="16">
        <v>0</v>
      </c>
      <c r="F4912" s="16" t="s">
        <v>64</v>
      </c>
      <c r="G4912" s="16" t="s">
        <v>64</v>
      </c>
    </row>
    <row r="4913" spans="1:7" x14ac:dyDescent="0.2">
      <c r="A4913" t="s">
        <v>64</v>
      </c>
      <c r="B4913" t="s">
        <v>64</v>
      </c>
      <c r="C4913" s="3" t="s">
        <v>64</v>
      </c>
      <c r="D4913" s="16" t="s">
        <v>64</v>
      </c>
      <c r="E4913" s="16">
        <v>0</v>
      </c>
      <c r="F4913" s="16" t="s">
        <v>64</v>
      </c>
      <c r="G4913" s="16" t="s">
        <v>64</v>
      </c>
    </row>
    <row r="4914" spans="1:7" x14ac:dyDescent="0.2">
      <c r="A4914" t="s">
        <v>64</v>
      </c>
      <c r="B4914" t="s">
        <v>64</v>
      </c>
      <c r="C4914" s="3" t="s">
        <v>64</v>
      </c>
      <c r="D4914" s="16" t="s">
        <v>64</v>
      </c>
      <c r="E4914" s="16">
        <v>0</v>
      </c>
      <c r="F4914" s="16" t="s">
        <v>64</v>
      </c>
      <c r="G4914" s="16" t="s">
        <v>64</v>
      </c>
    </row>
    <row r="4915" spans="1:7" x14ac:dyDescent="0.2">
      <c r="A4915" t="s">
        <v>64</v>
      </c>
      <c r="B4915" t="s">
        <v>64</v>
      </c>
      <c r="C4915" s="3" t="s">
        <v>64</v>
      </c>
      <c r="D4915" s="16" t="s">
        <v>64</v>
      </c>
      <c r="E4915" s="16">
        <v>0</v>
      </c>
      <c r="F4915" s="16" t="s">
        <v>64</v>
      </c>
      <c r="G4915" s="16" t="s">
        <v>64</v>
      </c>
    </row>
    <row r="4916" spans="1:7" x14ac:dyDescent="0.2">
      <c r="A4916" t="s">
        <v>64</v>
      </c>
      <c r="B4916" t="s">
        <v>64</v>
      </c>
      <c r="C4916" s="3" t="s">
        <v>64</v>
      </c>
      <c r="D4916" s="16" t="s">
        <v>64</v>
      </c>
      <c r="E4916" s="16">
        <v>0</v>
      </c>
      <c r="F4916" s="16" t="s">
        <v>64</v>
      </c>
      <c r="G4916" s="16" t="s">
        <v>64</v>
      </c>
    </row>
    <row r="4917" spans="1:7" x14ac:dyDescent="0.2">
      <c r="A4917" t="s">
        <v>64</v>
      </c>
      <c r="B4917" t="s">
        <v>64</v>
      </c>
      <c r="C4917" s="3" t="s">
        <v>64</v>
      </c>
      <c r="D4917" s="16" t="s">
        <v>64</v>
      </c>
      <c r="E4917" s="16">
        <v>0</v>
      </c>
      <c r="F4917" s="16" t="s">
        <v>64</v>
      </c>
      <c r="G4917" s="16" t="s">
        <v>64</v>
      </c>
    </row>
    <row r="4918" spans="1:7" x14ac:dyDescent="0.2">
      <c r="A4918" t="s">
        <v>64</v>
      </c>
      <c r="B4918" t="s">
        <v>64</v>
      </c>
      <c r="C4918" s="3" t="s">
        <v>64</v>
      </c>
      <c r="D4918" s="16" t="s">
        <v>64</v>
      </c>
      <c r="E4918" s="16">
        <v>0</v>
      </c>
      <c r="F4918" s="16" t="s">
        <v>64</v>
      </c>
      <c r="G4918" s="16" t="s">
        <v>64</v>
      </c>
    </row>
    <row r="4919" spans="1:7" x14ac:dyDescent="0.2">
      <c r="A4919" t="s">
        <v>64</v>
      </c>
      <c r="B4919" t="s">
        <v>64</v>
      </c>
      <c r="C4919" s="3" t="s">
        <v>64</v>
      </c>
      <c r="D4919" s="16" t="s">
        <v>64</v>
      </c>
      <c r="E4919" s="16">
        <v>0</v>
      </c>
      <c r="F4919" s="16" t="s">
        <v>64</v>
      </c>
      <c r="G4919" s="16" t="s">
        <v>64</v>
      </c>
    </row>
    <row r="4920" spans="1:7" x14ac:dyDescent="0.2">
      <c r="A4920" t="s">
        <v>64</v>
      </c>
      <c r="B4920" t="s">
        <v>64</v>
      </c>
      <c r="C4920" s="3" t="s">
        <v>64</v>
      </c>
      <c r="D4920" s="16" t="s">
        <v>64</v>
      </c>
      <c r="E4920" s="16">
        <v>0</v>
      </c>
      <c r="F4920" s="16" t="s">
        <v>64</v>
      </c>
      <c r="G4920" s="16" t="s">
        <v>64</v>
      </c>
    </row>
    <row r="4921" spans="1:7" x14ac:dyDescent="0.2">
      <c r="A4921" t="s">
        <v>64</v>
      </c>
      <c r="B4921" t="s">
        <v>64</v>
      </c>
      <c r="C4921" s="3" t="s">
        <v>64</v>
      </c>
      <c r="D4921" s="16" t="s">
        <v>64</v>
      </c>
      <c r="E4921" s="16">
        <v>0</v>
      </c>
      <c r="F4921" s="16" t="s">
        <v>64</v>
      </c>
      <c r="G4921" s="16" t="s">
        <v>64</v>
      </c>
    </row>
    <row r="4922" spans="1:7" x14ac:dyDescent="0.2">
      <c r="A4922" t="s">
        <v>64</v>
      </c>
      <c r="B4922" t="s">
        <v>64</v>
      </c>
      <c r="C4922" s="3" t="s">
        <v>64</v>
      </c>
      <c r="D4922" s="16" t="s">
        <v>64</v>
      </c>
      <c r="E4922" s="16">
        <v>0</v>
      </c>
      <c r="F4922" s="16" t="s">
        <v>64</v>
      </c>
      <c r="G4922" s="16" t="s">
        <v>64</v>
      </c>
    </row>
    <row r="4923" spans="1:7" x14ac:dyDescent="0.2">
      <c r="A4923" t="s">
        <v>64</v>
      </c>
      <c r="B4923" t="s">
        <v>64</v>
      </c>
      <c r="C4923" s="3" t="s">
        <v>64</v>
      </c>
      <c r="D4923" s="16" t="s">
        <v>64</v>
      </c>
      <c r="E4923" s="16">
        <v>0</v>
      </c>
      <c r="F4923" s="16" t="s">
        <v>64</v>
      </c>
      <c r="G4923" s="16" t="s">
        <v>64</v>
      </c>
    </row>
    <row r="4924" spans="1:7" x14ac:dyDescent="0.2">
      <c r="A4924" t="s">
        <v>64</v>
      </c>
      <c r="B4924" t="s">
        <v>64</v>
      </c>
      <c r="C4924" s="3" t="s">
        <v>64</v>
      </c>
      <c r="D4924" s="16" t="s">
        <v>64</v>
      </c>
      <c r="E4924" s="16">
        <v>0</v>
      </c>
      <c r="F4924" s="16" t="s">
        <v>64</v>
      </c>
      <c r="G4924" s="16" t="s">
        <v>64</v>
      </c>
    </row>
    <row r="4925" spans="1:7" x14ac:dyDescent="0.2">
      <c r="A4925" t="s">
        <v>64</v>
      </c>
      <c r="B4925" t="s">
        <v>64</v>
      </c>
      <c r="C4925" s="3" t="s">
        <v>64</v>
      </c>
      <c r="D4925" s="16" t="s">
        <v>64</v>
      </c>
      <c r="E4925" s="16">
        <v>0</v>
      </c>
      <c r="F4925" s="16" t="s">
        <v>64</v>
      </c>
      <c r="G4925" s="16" t="s">
        <v>64</v>
      </c>
    </row>
    <row r="4926" spans="1:7" x14ac:dyDescent="0.2">
      <c r="A4926" t="s">
        <v>64</v>
      </c>
      <c r="B4926" t="s">
        <v>64</v>
      </c>
      <c r="C4926" s="3" t="s">
        <v>64</v>
      </c>
      <c r="D4926" s="16" t="s">
        <v>64</v>
      </c>
      <c r="E4926" s="16">
        <v>0</v>
      </c>
      <c r="F4926" s="16" t="s">
        <v>64</v>
      </c>
      <c r="G4926" s="16" t="s">
        <v>64</v>
      </c>
    </row>
    <row r="4927" spans="1:7" x14ac:dyDescent="0.2">
      <c r="A4927" t="s">
        <v>64</v>
      </c>
      <c r="B4927" t="s">
        <v>64</v>
      </c>
      <c r="C4927" s="3" t="s">
        <v>64</v>
      </c>
      <c r="D4927" s="16" t="s">
        <v>64</v>
      </c>
      <c r="E4927" s="16">
        <v>0</v>
      </c>
      <c r="F4927" s="16" t="s">
        <v>64</v>
      </c>
      <c r="G4927" s="16" t="s">
        <v>64</v>
      </c>
    </row>
    <row r="4928" spans="1:7" x14ac:dyDescent="0.2">
      <c r="A4928" t="s">
        <v>64</v>
      </c>
      <c r="B4928" t="s">
        <v>64</v>
      </c>
      <c r="C4928" s="3" t="s">
        <v>64</v>
      </c>
      <c r="D4928" s="16" t="s">
        <v>64</v>
      </c>
      <c r="E4928" s="16">
        <v>0</v>
      </c>
      <c r="F4928" s="16" t="s">
        <v>64</v>
      </c>
      <c r="G4928" s="16" t="s">
        <v>64</v>
      </c>
    </row>
    <row r="4929" spans="1:7" x14ac:dyDescent="0.2">
      <c r="A4929" t="s">
        <v>64</v>
      </c>
      <c r="B4929" t="s">
        <v>64</v>
      </c>
      <c r="C4929" s="3" t="s">
        <v>64</v>
      </c>
      <c r="D4929" s="16" t="s">
        <v>64</v>
      </c>
      <c r="E4929" s="16">
        <v>0</v>
      </c>
      <c r="F4929" s="16" t="s">
        <v>64</v>
      </c>
      <c r="G4929" s="16" t="s">
        <v>64</v>
      </c>
    </row>
    <row r="4930" spans="1:7" x14ac:dyDescent="0.2">
      <c r="A4930" t="s">
        <v>64</v>
      </c>
      <c r="B4930" t="s">
        <v>64</v>
      </c>
      <c r="C4930" s="3" t="s">
        <v>64</v>
      </c>
      <c r="D4930" s="16" t="s">
        <v>64</v>
      </c>
      <c r="E4930" s="16">
        <v>0</v>
      </c>
      <c r="F4930" s="16" t="s">
        <v>64</v>
      </c>
      <c r="G4930" s="16" t="s">
        <v>64</v>
      </c>
    </row>
    <row r="4931" spans="1:7" x14ac:dyDescent="0.2">
      <c r="A4931" t="s">
        <v>64</v>
      </c>
      <c r="B4931" t="s">
        <v>64</v>
      </c>
      <c r="C4931" s="3" t="s">
        <v>64</v>
      </c>
      <c r="D4931" s="16" t="s">
        <v>64</v>
      </c>
      <c r="E4931" s="16">
        <v>0</v>
      </c>
      <c r="F4931" s="16" t="s">
        <v>64</v>
      </c>
      <c r="G4931" s="16" t="s">
        <v>64</v>
      </c>
    </row>
    <row r="4932" spans="1:7" x14ac:dyDescent="0.2">
      <c r="A4932" t="s">
        <v>64</v>
      </c>
      <c r="B4932" t="s">
        <v>64</v>
      </c>
      <c r="C4932" s="3" t="s">
        <v>64</v>
      </c>
      <c r="D4932" s="16" t="s">
        <v>64</v>
      </c>
      <c r="E4932" s="16">
        <v>0</v>
      </c>
      <c r="F4932" s="16" t="s">
        <v>64</v>
      </c>
      <c r="G4932" s="16" t="s">
        <v>64</v>
      </c>
    </row>
    <row r="4933" spans="1:7" x14ac:dyDescent="0.2">
      <c r="A4933" t="s">
        <v>64</v>
      </c>
      <c r="B4933" t="s">
        <v>64</v>
      </c>
      <c r="C4933" s="3" t="s">
        <v>64</v>
      </c>
      <c r="D4933" s="16" t="s">
        <v>64</v>
      </c>
      <c r="E4933" s="16">
        <v>0</v>
      </c>
      <c r="F4933" s="16" t="s">
        <v>64</v>
      </c>
      <c r="G4933" s="16" t="s">
        <v>64</v>
      </c>
    </row>
    <row r="4934" spans="1:7" x14ac:dyDescent="0.2">
      <c r="A4934" t="s">
        <v>64</v>
      </c>
      <c r="B4934" t="s">
        <v>64</v>
      </c>
      <c r="C4934" s="3" t="s">
        <v>64</v>
      </c>
      <c r="D4934" s="16" t="s">
        <v>64</v>
      </c>
      <c r="E4934" s="16">
        <v>0</v>
      </c>
      <c r="F4934" s="16" t="s">
        <v>64</v>
      </c>
      <c r="G4934" s="16" t="s">
        <v>64</v>
      </c>
    </row>
    <row r="4935" spans="1:7" x14ac:dyDescent="0.2">
      <c r="A4935" t="s">
        <v>64</v>
      </c>
      <c r="B4935" t="s">
        <v>64</v>
      </c>
      <c r="C4935" s="3" t="s">
        <v>64</v>
      </c>
      <c r="D4935" s="16" t="s">
        <v>64</v>
      </c>
      <c r="E4935" s="16">
        <v>0</v>
      </c>
      <c r="F4935" s="16" t="s">
        <v>64</v>
      </c>
      <c r="G4935" s="16" t="s">
        <v>64</v>
      </c>
    </row>
    <row r="4936" spans="1:7" x14ac:dyDescent="0.2">
      <c r="A4936" t="s">
        <v>64</v>
      </c>
      <c r="B4936" t="s">
        <v>64</v>
      </c>
      <c r="C4936" s="3" t="s">
        <v>64</v>
      </c>
      <c r="D4936" s="16" t="s">
        <v>64</v>
      </c>
      <c r="E4936" s="16">
        <v>0</v>
      </c>
      <c r="F4936" s="16" t="s">
        <v>64</v>
      </c>
      <c r="G4936" s="16" t="s">
        <v>64</v>
      </c>
    </row>
    <row r="4937" spans="1:7" x14ac:dyDescent="0.2">
      <c r="A4937" t="s">
        <v>64</v>
      </c>
      <c r="B4937" t="s">
        <v>64</v>
      </c>
      <c r="C4937" s="3" t="s">
        <v>64</v>
      </c>
      <c r="D4937" s="16" t="s">
        <v>64</v>
      </c>
      <c r="E4937" s="16">
        <v>0</v>
      </c>
      <c r="F4937" s="16" t="s">
        <v>64</v>
      </c>
      <c r="G4937" s="16" t="s">
        <v>64</v>
      </c>
    </row>
    <row r="4938" spans="1:7" x14ac:dyDescent="0.2">
      <c r="A4938" t="s">
        <v>64</v>
      </c>
      <c r="B4938" t="s">
        <v>64</v>
      </c>
      <c r="C4938" s="3" t="s">
        <v>64</v>
      </c>
      <c r="D4938" s="16" t="s">
        <v>64</v>
      </c>
      <c r="E4938" s="16">
        <v>0</v>
      </c>
      <c r="F4938" s="16" t="s">
        <v>64</v>
      </c>
      <c r="G4938" s="16" t="s">
        <v>64</v>
      </c>
    </row>
    <row r="4939" spans="1:7" x14ac:dyDescent="0.2">
      <c r="A4939" t="s">
        <v>64</v>
      </c>
      <c r="B4939" t="s">
        <v>64</v>
      </c>
      <c r="C4939" s="3" t="s">
        <v>64</v>
      </c>
      <c r="D4939" s="16" t="s">
        <v>64</v>
      </c>
      <c r="E4939" s="16">
        <v>0</v>
      </c>
      <c r="F4939" s="16" t="s">
        <v>64</v>
      </c>
      <c r="G4939" s="16" t="s">
        <v>64</v>
      </c>
    </row>
    <row r="4940" spans="1:7" x14ac:dyDescent="0.2">
      <c r="A4940" t="s">
        <v>64</v>
      </c>
      <c r="B4940" t="s">
        <v>64</v>
      </c>
      <c r="C4940" s="3" t="s">
        <v>64</v>
      </c>
      <c r="D4940" s="16" t="s">
        <v>64</v>
      </c>
      <c r="E4940" s="16">
        <v>0</v>
      </c>
      <c r="F4940" s="16" t="s">
        <v>64</v>
      </c>
      <c r="G4940" s="16" t="s">
        <v>64</v>
      </c>
    </row>
    <row r="4941" spans="1:7" x14ac:dyDescent="0.2">
      <c r="A4941" t="s">
        <v>64</v>
      </c>
      <c r="B4941" t="s">
        <v>64</v>
      </c>
      <c r="C4941" s="3" t="s">
        <v>64</v>
      </c>
      <c r="D4941" s="16" t="s">
        <v>64</v>
      </c>
      <c r="E4941" s="16">
        <v>0</v>
      </c>
      <c r="F4941" s="16" t="s">
        <v>64</v>
      </c>
      <c r="G4941" s="16" t="s">
        <v>64</v>
      </c>
    </row>
    <row r="4942" spans="1:7" x14ac:dyDescent="0.2">
      <c r="A4942" t="s">
        <v>64</v>
      </c>
      <c r="B4942" t="s">
        <v>64</v>
      </c>
      <c r="C4942" s="3" t="s">
        <v>64</v>
      </c>
      <c r="D4942" s="16" t="s">
        <v>64</v>
      </c>
      <c r="E4942" s="16">
        <v>0</v>
      </c>
      <c r="F4942" s="16" t="s">
        <v>64</v>
      </c>
      <c r="G4942" s="16" t="s">
        <v>64</v>
      </c>
    </row>
    <row r="4943" spans="1:7" x14ac:dyDescent="0.2">
      <c r="A4943" t="s">
        <v>64</v>
      </c>
      <c r="B4943" t="s">
        <v>64</v>
      </c>
      <c r="C4943" s="3" t="s">
        <v>64</v>
      </c>
      <c r="D4943" s="16" t="s">
        <v>64</v>
      </c>
      <c r="E4943" s="16">
        <v>0</v>
      </c>
      <c r="F4943" s="16" t="s">
        <v>64</v>
      </c>
      <c r="G4943" s="16" t="s">
        <v>64</v>
      </c>
    </row>
    <row r="4944" spans="1:7" x14ac:dyDescent="0.2">
      <c r="A4944" t="s">
        <v>64</v>
      </c>
      <c r="B4944" t="s">
        <v>64</v>
      </c>
      <c r="C4944" s="3" t="s">
        <v>64</v>
      </c>
      <c r="D4944" s="16" t="s">
        <v>64</v>
      </c>
      <c r="E4944" s="16">
        <v>0</v>
      </c>
      <c r="F4944" s="16" t="s">
        <v>64</v>
      </c>
      <c r="G4944" s="16" t="s">
        <v>64</v>
      </c>
    </row>
    <row r="4945" spans="1:7" x14ac:dyDescent="0.2">
      <c r="A4945" t="s">
        <v>64</v>
      </c>
      <c r="B4945" t="s">
        <v>64</v>
      </c>
      <c r="C4945" s="3" t="s">
        <v>64</v>
      </c>
      <c r="D4945" s="16" t="s">
        <v>64</v>
      </c>
      <c r="E4945" s="16">
        <v>0</v>
      </c>
      <c r="F4945" s="16" t="s">
        <v>64</v>
      </c>
      <c r="G4945" s="16" t="s">
        <v>64</v>
      </c>
    </row>
    <row r="4946" spans="1:7" x14ac:dyDescent="0.2">
      <c r="A4946" t="s">
        <v>64</v>
      </c>
      <c r="B4946" t="s">
        <v>64</v>
      </c>
      <c r="C4946" s="3" t="s">
        <v>64</v>
      </c>
      <c r="D4946" s="16" t="s">
        <v>64</v>
      </c>
      <c r="E4946" s="16">
        <v>0</v>
      </c>
      <c r="F4946" s="16" t="s">
        <v>64</v>
      </c>
      <c r="G4946" s="16" t="s">
        <v>64</v>
      </c>
    </row>
    <row r="4947" spans="1:7" x14ac:dyDescent="0.2">
      <c r="A4947" t="s">
        <v>64</v>
      </c>
      <c r="B4947" t="s">
        <v>64</v>
      </c>
      <c r="C4947" s="3" t="s">
        <v>64</v>
      </c>
      <c r="D4947" s="16" t="s">
        <v>64</v>
      </c>
      <c r="E4947" s="16">
        <v>0</v>
      </c>
      <c r="F4947" s="16" t="s">
        <v>64</v>
      </c>
      <c r="G4947" s="16" t="s">
        <v>64</v>
      </c>
    </row>
    <row r="4948" spans="1:7" x14ac:dyDescent="0.2">
      <c r="A4948" t="s">
        <v>64</v>
      </c>
      <c r="B4948" t="s">
        <v>64</v>
      </c>
      <c r="C4948" s="3" t="s">
        <v>64</v>
      </c>
      <c r="D4948" s="16" t="s">
        <v>64</v>
      </c>
      <c r="E4948" s="16">
        <v>0</v>
      </c>
      <c r="F4948" s="16" t="s">
        <v>64</v>
      </c>
      <c r="G4948" s="16" t="s">
        <v>64</v>
      </c>
    </row>
    <row r="4949" spans="1:7" x14ac:dyDescent="0.2">
      <c r="A4949" t="s">
        <v>64</v>
      </c>
      <c r="B4949" t="s">
        <v>64</v>
      </c>
      <c r="C4949" s="3" t="s">
        <v>64</v>
      </c>
      <c r="D4949" s="16" t="s">
        <v>64</v>
      </c>
      <c r="E4949" s="16">
        <v>0</v>
      </c>
      <c r="F4949" s="16" t="s">
        <v>64</v>
      </c>
      <c r="G4949" s="16" t="s">
        <v>64</v>
      </c>
    </row>
    <row r="4950" spans="1:7" x14ac:dyDescent="0.2">
      <c r="A4950" t="s">
        <v>64</v>
      </c>
      <c r="B4950" t="s">
        <v>64</v>
      </c>
      <c r="C4950" s="3" t="s">
        <v>64</v>
      </c>
      <c r="D4950" s="16" t="s">
        <v>64</v>
      </c>
      <c r="E4950" s="16">
        <v>0</v>
      </c>
      <c r="F4950" s="16" t="s">
        <v>64</v>
      </c>
      <c r="G4950" s="16" t="s">
        <v>64</v>
      </c>
    </row>
    <row r="4951" spans="1:7" x14ac:dyDescent="0.2">
      <c r="A4951" t="s">
        <v>64</v>
      </c>
      <c r="B4951" t="s">
        <v>64</v>
      </c>
      <c r="C4951" s="3" t="s">
        <v>64</v>
      </c>
      <c r="D4951" s="16" t="s">
        <v>64</v>
      </c>
      <c r="E4951" s="16">
        <v>0</v>
      </c>
      <c r="F4951" s="16" t="s">
        <v>64</v>
      </c>
      <c r="G4951" s="16" t="s">
        <v>64</v>
      </c>
    </row>
    <row r="4952" spans="1:7" x14ac:dyDescent="0.2">
      <c r="A4952" t="s">
        <v>64</v>
      </c>
      <c r="B4952" t="s">
        <v>64</v>
      </c>
      <c r="C4952" s="3" t="s">
        <v>64</v>
      </c>
      <c r="D4952" s="16" t="s">
        <v>64</v>
      </c>
      <c r="E4952" s="16">
        <v>0</v>
      </c>
      <c r="F4952" s="16" t="s">
        <v>64</v>
      </c>
      <c r="G4952" s="16" t="s">
        <v>64</v>
      </c>
    </row>
    <row r="4953" spans="1:7" x14ac:dyDescent="0.2">
      <c r="A4953" t="s">
        <v>64</v>
      </c>
      <c r="B4953" t="s">
        <v>64</v>
      </c>
      <c r="C4953" s="3" t="s">
        <v>64</v>
      </c>
      <c r="D4953" s="16" t="s">
        <v>64</v>
      </c>
      <c r="E4953" s="16">
        <v>0</v>
      </c>
      <c r="F4953" s="16" t="s">
        <v>64</v>
      </c>
      <c r="G4953" s="16" t="s">
        <v>64</v>
      </c>
    </row>
    <row r="4954" spans="1:7" x14ac:dyDescent="0.2">
      <c r="A4954" t="s">
        <v>64</v>
      </c>
      <c r="B4954" t="s">
        <v>64</v>
      </c>
      <c r="C4954" s="3" t="s">
        <v>64</v>
      </c>
      <c r="D4954" s="16" t="s">
        <v>64</v>
      </c>
      <c r="E4954" s="16">
        <v>0</v>
      </c>
      <c r="F4954" s="16" t="s">
        <v>64</v>
      </c>
      <c r="G4954" s="16" t="s">
        <v>64</v>
      </c>
    </row>
    <row r="4955" spans="1:7" x14ac:dyDescent="0.2">
      <c r="A4955" t="s">
        <v>64</v>
      </c>
      <c r="B4955" t="s">
        <v>64</v>
      </c>
      <c r="C4955" s="3" t="s">
        <v>64</v>
      </c>
      <c r="D4955" s="16" t="s">
        <v>64</v>
      </c>
      <c r="E4955" s="16">
        <v>0</v>
      </c>
      <c r="F4955" s="16" t="s">
        <v>64</v>
      </c>
      <c r="G4955" s="16" t="s">
        <v>64</v>
      </c>
    </row>
    <row r="4956" spans="1:7" x14ac:dyDescent="0.2">
      <c r="A4956" t="s">
        <v>64</v>
      </c>
      <c r="B4956" t="s">
        <v>64</v>
      </c>
      <c r="C4956" s="3" t="s">
        <v>64</v>
      </c>
      <c r="D4956" s="16" t="s">
        <v>64</v>
      </c>
      <c r="E4956" s="16">
        <v>0</v>
      </c>
      <c r="F4956" s="16" t="s">
        <v>64</v>
      </c>
      <c r="G4956" s="16" t="s">
        <v>64</v>
      </c>
    </row>
    <row r="4957" spans="1:7" x14ac:dyDescent="0.2">
      <c r="A4957" t="s">
        <v>64</v>
      </c>
      <c r="B4957" t="s">
        <v>64</v>
      </c>
      <c r="C4957" s="3" t="s">
        <v>64</v>
      </c>
      <c r="D4957" s="16" t="s">
        <v>64</v>
      </c>
      <c r="E4957" s="16">
        <v>0</v>
      </c>
      <c r="F4957" s="16" t="s">
        <v>64</v>
      </c>
      <c r="G4957" s="16" t="s">
        <v>64</v>
      </c>
    </row>
    <row r="4958" spans="1:7" x14ac:dyDescent="0.2">
      <c r="A4958" t="s">
        <v>64</v>
      </c>
      <c r="B4958" t="s">
        <v>64</v>
      </c>
      <c r="C4958" s="3" t="s">
        <v>64</v>
      </c>
      <c r="D4958" s="16" t="s">
        <v>64</v>
      </c>
      <c r="E4958" s="16">
        <v>0</v>
      </c>
      <c r="F4958" s="16" t="s">
        <v>64</v>
      </c>
      <c r="G4958" s="16" t="s">
        <v>64</v>
      </c>
    </row>
    <row r="4959" spans="1:7" x14ac:dyDescent="0.2">
      <c r="A4959" t="s">
        <v>64</v>
      </c>
      <c r="B4959" t="s">
        <v>64</v>
      </c>
      <c r="C4959" s="3" t="s">
        <v>64</v>
      </c>
      <c r="D4959" s="16" t="s">
        <v>64</v>
      </c>
      <c r="E4959" s="16">
        <v>0</v>
      </c>
      <c r="F4959" s="16" t="s">
        <v>64</v>
      </c>
      <c r="G4959" s="16" t="s">
        <v>64</v>
      </c>
    </row>
    <row r="4960" spans="1:7" x14ac:dyDescent="0.2">
      <c r="A4960" t="s">
        <v>64</v>
      </c>
      <c r="B4960" t="s">
        <v>64</v>
      </c>
      <c r="C4960" s="3" t="s">
        <v>64</v>
      </c>
      <c r="D4960" s="16" t="s">
        <v>64</v>
      </c>
      <c r="E4960" s="16">
        <v>0</v>
      </c>
      <c r="F4960" s="16" t="s">
        <v>64</v>
      </c>
      <c r="G4960" s="16" t="s">
        <v>64</v>
      </c>
    </row>
    <row r="4961" spans="1:7" x14ac:dyDescent="0.2">
      <c r="A4961" t="s">
        <v>64</v>
      </c>
      <c r="B4961" t="s">
        <v>64</v>
      </c>
      <c r="C4961" s="3" t="s">
        <v>64</v>
      </c>
      <c r="D4961" s="16" t="s">
        <v>64</v>
      </c>
      <c r="E4961" s="16">
        <v>0</v>
      </c>
      <c r="F4961" s="16" t="s">
        <v>64</v>
      </c>
      <c r="G4961" s="16" t="s">
        <v>64</v>
      </c>
    </row>
    <row r="4962" spans="1:7" x14ac:dyDescent="0.2">
      <c r="A4962" t="s">
        <v>64</v>
      </c>
      <c r="B4962" t="s">
        <v>64</v>
      </c>
      <c r="C4962" s="3" t="s">
        <v>64</v>
      </c>
      <c r="D4962" s="16" t="s">
        <v>64</v>
      </c>
      <c r="E4962" s="16">
        <v>0</v>
      </c>
      <c r="F4962" s="16" t="s">
        <v>64</v>
      </c>
      <c r="G4962" s="16" t="s">
        <v>64</v>
      </c>
    </row>
    <row r="4963" spans="1:7" x14ac:dyDescent="0.2">
      <c r="A4963" t="s">
        <v>64</v>
      </c>
      <c r="B4963" t="s">
        <v>64</v>
      </c>
      <c r="C4963" s="3" t="s">
        <v>64</v>
      </c>
      <c r="D4963" s="16" t="s">
        <v>64</v>
      </c>
      <c r="E4963" s="16">
        <v>0</v>
      </c>
      <c r="F4963" s="16" t="s">
        <v>64</v>
      </c>
      <c r="G4963" s="16" t="s">
        <v>64</v>
      </c>
    </row>
    <row r="4964" spans="1:7" x14ac:dyDescent="0.2">
      <c r="A4964" t="s">
        <v>64</v>
      </c>
      <c r="B4964" t="s">
        <v>64</v>
      </c>
      <c r="C4964" s="3" t="s">
        <v>64</v>
      </c>
      <c r="D4964" s="16" t="s">
        <v>64</v>
      </c>
      <c r="E4964" s="16">
        <v>0</v>
      </c>
      <c r="F4964" s="16" t="s">
        <v>64</v>
      </c>
      <c r="G4964" s="16" t="s">
        <v>64</v>
      </c>
    </row>
    <row r="4965" spans="1:7" x14ac:dyDescent="0.2">
      <c r="A4965" t="s">
        <v>64</v>
      </c>
      <c r="B4965" t="s">
        <v>64</v>
      </c>
      <c r="C4965" s="3" t="s">
        <v>64</v>
      </c>
      <c r="D4965" s="16" t="s">
        <v>64</v>
      </c>
      <c r="E4965" s="16">
        <v>0</v>
      </c>
      <c r="F4965" s="16" t="s">
        <v>64</v>
      </c>
      <c r="G4965" s="16" t="s">
        <v>64</v>
      </c>
    </row>
    <row r="4966" spans="1:7" x14ac:dyDescent="0.2">
      <c r="A4966" t="s">
        <v>64</v>
      </c>
      <c r="B4966" t="s">
        <v>64</v>
      </c>
      <c r="C4966" s="3" t="s">
        <v>64</v>
      </c>
      <c r="D4966" s="16" t="s">
        <v>64</v>
      </c>
      <c r="E4966" s="16">
        <v>0</v>
      </c>
      <c r="F4966" s="16" t="s">
        <v>64</v>
      </c>
      <c r="G4966" s="16" t="s">
        <v>64</v>
      </c>
    </row>
    <row r="4967" spans="1:7" x14ac:dyDescent="0.2">
      <c r="A4967" t="s">
        <v>64</v>
      </c>
      <c r="B4967" t="s">
        <v>64</v>
      </c>
      <c r="C4967" s="3" t="s">
        <v>64</v>
      </c>
      <c r="D4967" s="16" t="s">
        <v>64</v>
      </c>
      <c r="E4967" s="16">
        <v>0</v>
      </c>
      <c r="F4967" s="16" t="s">
        <v>64</v>
      </c>
      <c r="G4967" s="16" t="s">
        <v>64</v>
      </c>
    </row>
    <row r="4968" spans="1:7" x14ac:dyDescent="0.2">
      <c r="A4968" t="s">
        <v>64</v>
      </c>
      <c r="B4968" t="s">
        <v>64</v>
      </c>
      <c r="C4968" s="3" t="s">
        <v>64</v>
      </c>
      <c r="D4968" s="16" t="s">
        <v>64</v>
      </c>
      <c r="E4968" s="16">
        <v>0</v>
      </c>
      <c r="F4968" s="16" t="s">
        <v>64</v>
      </c>
      <c r="G4968" s="16" t="s">
        <v>64</v>
      </c>
    </row>
    <row r="4969" spans="1:7" x14ac:dyDescent="0.2">
      <c r="A4969" t="s">
        <v>64</v>
      </c>
      <c r="B4969" t="s">
        <v>64</v>
      </c>
      <c r="C4969" s="3" t="s">
        <v>64</v>
      </c>
      <c r="D4969" s="16" t="s">
        <v>64</v>
      </c>
      <c r="E4969" s="16">
        <v>0</v>
      </c>
      <c r="F4969" s="16" t="s">
        <v>64</v>
      </c>
      <c r="G4969" s="16" t="s">
        <v>64</v>
      </c>
    </row>
    <row r="4970" spans="1:7" x14ac:dyDescent="0.2">
      <c r="A4970" t="s">
        <v>64</v>
      </c>
      <c r="B4970" t="s">
        <v>64</v>
      </c>
      <c r="C4970" s="3" t="s">
        <v>64</v>
      </c>
      <c r="D4970" s="16" t="s">
        <v>64</v>
      </c>
      <c r="E4970" s="16">
        <v>0</v>
      </c>
      <c r="F4970" s="16" t="s">
        <v>64</v>
      </c>
      <c r="G4970" s="16" t="s">
        <v>64</v>
      </c>
    </row>
    <row r="4971" spans="1:7" x14ac:dyDescent="0.2">
      <c r="A4971" t="s">
        <v>64</v>
      </c>
      <c r="B4971" t="s">
        <v>64</v>
      </c>
      <c r="C4971" s="3" t="s">
        <v>64</v>
      </c>
      <c r="D4971" s="16" t="s">
        <v>64</v>
      </c>
      <c r="E4971" s="16">
        <v>0</v>
      </c>
      <c r="F4971" s="16" t="s">
        <v>64</v>
      </c>
      <c r="G4971" s="16" t="s">
        <v>64</v>
      </c>
    </row>
    <row r="4972" spans="1:7" x14ac:dyDescent="0.2">
      <c r="A4972" t="s">
        <v>64</v>
      </c>
      <c r="B4972" t="s">
        <v>64</v>
      </c>
      <c r="C4972" s="3" t="s">
        <v>64</v>
      </c>
      <c r="D4972" s="16" t="s">
        <v>64</v>
      </c>
      <c r="E4972" s="16">
        <v>0</v>
      </c>
      <c r="F4972" s="16" t="s">
        <v>64</v>
      </c>
      <c r="G4972" s="16" t="s">
        <v>64</v>
      </c>
    </row>
    <row r="4973" spans="1:7" x14ac:dyDescent="0.2">
      <c r="A4973" t="s">
        <v>64</v>
      </c>
      <c r="B4973" t="s">
        <v>64</v>
      </c>
      <c r="C4973" s="3" t="s">
        <v>64</v>
      </c>
      <c r="D4973" s="16" t="s">
        <v>64</v>
      </c>
      <c r="E4973" s="16">
        <v>0</v>
      </c>
      <c r="F4973" s="16" t="s">
        <v>64</v>
      </c>
      <c r="G4973" s="16" t="s">
        <v>64</v>
      </c>
    </row>
    <row r="4974" spans="1:7" x14ac:dyDescent="0.2">
      <c r="A4974" t="s">
        <v>64</v>
      </c>
      <c r="B4974" t="s">
        <v>64</v>
      </c>
      <c r="C4974" s="3" t="s">
        <v>64</v>
      </c>
      <c r="D4974" s="16" t="s">
        <v>64</v>
      </c>
      <c r="E4974" s="16">
        <v>0</v>
      </c>
      <c r="F4974" s="16" t="s">
        <v>64</v>
      </c>
      <c r="G4974" s="16" t="s">
        <v>64</v>
      </c>
    </row>
    <row r="4975" spans="1:7" x14ac:dyDescent="0.2">
      <c r="A4975" t="s">
        <v>64</v>
      </c>
      <c r="B4975" t="s">
        <v>64</v>
      </c>
      <c r="C4975" s="3" t="s">
        <v>64</v>
      </c>
      <c r="D4975" s="16" t="s">
        <v>64</v>
      </c>
      <c r="E4975" s="16">
        <v>0</v>
      </c>
      <c r="F4975" s="16" t="s">
        <v>64</v>
      </c>
      <c r="G4975" s="16" t="s">
        <v>64</v>
      </c>
    </row>
    <row r="4976" spans="1:7" x14ac:dyDescent="0.2">
      <c r="A4976" t="s">
        <v>64</v>
      </c>
      <c r="B4976" t="s">
        <v>64</v>
      </c>
      <c r="C4976" s="3" t="s">
        <v>64</v>
      </c>
      <c r="D4976" s="16" t="s">
        <v>64</v>
      </c>
      <c r="E4976" s="16">
        <v>0</v>
      </c>
      <c r="F4976" s="16" t="s">
        <v>64</v>
      </c>
      <c r="G4976" s="16" t="s">
        <v>64</v>
      </c>
    </row>
    <row r="4977" spans="1:7" x14ac:dyDescent="0.2">
      <c r="A4977" t="s">
        <v>64</v>
      </c>
      <c r="B4977" t="s">
        <v>64</v>
      </c>
      <c r="C4977" s="3" t="s">
        <v>64</v>
      </c>
      <c r="D4977" s="16" t="s">
        <v>64</v>
      </c>
      <c r="E4977" s="16">
        <v>0</v>
      </c>
      <c r="F4977" s="16" t="s">
        <v>64</v>
      </c>
      <c r="G4977" s="16" t="s">
        <v>64</v>
      </c>
    </row>
    <row r="4978" spans="1:7" x14ac:dyDescent="0.2">
      <c r="A4978" t="s">
        <v>64</v>
      </c>
      <c r="B4978" t="s">
        <v>64</v>
      </c>
      <c r="C4978" s="3" t="s">
        <v>64</v>
      </c>
      <c r="D4978" s="16" t="s">
        <v>64</v>
      </c>
      <c r="E4978" s="16">
        <v>0</v>
      </c>
      <c r="F4978" s="16" t="s">
        <v>64</v>
      </c>
      <c r="G4978" s="16" t="s">
        <v>64</v>
      </c>
    </row>
    <row r="4979" spans="1:7" x14ac:dyDescent="0.2">
      <c r="A4979" t="s">
        <v>64</v>
      </c>
      <c r="B4979" t="s">
        <v>64</v>
      </c>
      <c r="C4979" s="3" t="s">
        <v>64</v>
      </c>
      <c r="D4979" s="16" t="s">
        <v>64</v>
      </c>
      <c r="E4979" s="16">
        <v>0</v>
      </c>
      <c r="F4979" s="16" t="s">
        <v>64</v>
      </c>
      <c r="G4979" s="16" t="s">
        <v>64</v>
      </c>
    </row>
    <row r="4980" spans="1:7" x14ac:dyDescent="0.2">
      <c r="A4980" t="s">
        <v>64</v>
      </c>
      <c r="B4980" t="s">
        <v>64</v>
      </c>
      <c r="C4980" s="3" t="s">
        <v>64</v>
      </c>
      <c r="D4980" s="16" t="s">
        <v>64</v>
      </c>
      <c r="E4980" s="16">
        <v>0</v>
      </c>
      <c r="F4980" s="16" t="s">
        <v>64</v>
      </c>
      <c r="G4980" s="16" t="s">
        <v>64</v>
      </c>
    </row>
    <row r="4981" spans="1:7" x14ac:dyDescent="0.2">
      <c r="A4981" t="s">
        <v>64</v>
      </c>
      <c r="B4981" t="s">
        <v>64</v>
      </c>
      <c r="C4981" s="3" t="s">
        <v>64</v>
      </c>
      <c r="D4981" s="16" t="s">
        <v>64</v>
      </c>
      <c r="E4981" s="16">
        <v>0</v>
      </c>
      <c r="F4981" s="16" t="s">
        <v>64</v>
      </c>
      <c r="G4981" s="16" t="s">
        <v>64</v>
      </c>
    </row>
    <row r="4982" spans="1:7" x14ac:dyDescent="0.2">
      <c r="A4982" t="s">
        <v>64</v>
      </c>
      <c r="B4982" t="s">
        <v>64</v>
      </c>
      <c r="C4982" s="3" t="s">
        <v>64</v>
      </c>
      <c r="D4982" s="16" t="s">
        <v>64</v>
      </c>
      <c r="E4982" s="16">
        <v>0</v>
      </c>
      <c r="F4982" s="16" t="s">
        <v>64</v>
      </c>
      <c r="G4982" s="16" t="s">
        <v>64</v>
      </c>
    </row>
    <row r="4983" spans="1:7" x14ac:dyDescent="0.2">
      <c r="A4983" t="s">
        <v>64</v>
      </c>
      <c r="B4983" t="s">
        <v>64</v>
      </c>
      <c r="C4983" s="3" t="s">
        <v>64</v>
      </c>
      <c r="D4983" s="16" t="s">
        <v>64</v>
      </c>
      <c r="E4983" s="16">
        <v>0</v>
      </c>
      <c r="F4983" s="16" t="s">
        <v>64</v>
      </c>
      <c r="G4983" s="16" t="s">
        <v>64</v>
      </c>
    </row>
    <row r="4984" spans="1:7" x14ac:dyDescent="0.2">
      <c r="A4984" t="s">
        <v>64</v>
      </c>
      <c r="B4984" t="s">
        <v>64</v>
      </c>
      <c r="C4984" s="3" t="s">
        <v>64</v>
      </c>
      <c r="D4984" s="16" t="s">
        <v>64</v>
      </c>
      <c r="E4984" s="16">
        <v>0</v>
      </c>
      <c r="F4984" s="16" t="s">
        <v>64</v>
      </c>
      <c r="G4984" s="16" t="s">
        <v>64</v>
      </c>
    </row>
    <row r="4985" spans="1:7" x14ac:dyDescent="0.2">
      <c r="A4985" t="s">
        <v>64</v>
      </c>
      <c r="B4985" t="s">
        <v>64</v>
      </c>
      <c r="C4985" s="3" t="s">
        <v>64</v>
      </c>
      <c r="D4985" s="16" t="s">
        <v>64</v>
      </c>
      <c r="E4985" s="16">
        <v>0</v>
      </c>
      <c r="F4985" s="16" t="s">
        <v>64</v>
      </c>
      <c r="G4985" s="16" t="s">
        <v>64</v>
      </c>
    </row>
    <row r="4986" spans="1:7" x14ac:dyDescent="0.2">
      <c r="A4986" t="s">
        <v>64</v>
      </c>
      <c r="B4986" t="s">
        <v>64</v>
      </c>
      <c r="C4986" s="3" t="s">
        <v>64</v>
      </c>
      <c r="D4986" s="16" t="s">
        <v>64</v>
      </c>
      <c r="E4986" s="16">
        <v>0</v>
      </c>
      <c r="F4986" s="16" t="s">
        <v>64</v>
      </c>
      <c r="G4986" s="16" t="s">
        <v>64</v>
      </c>
    </row>
    <row r="4987" spans="1:7" x14ac:dyDescent="0.2">
      <c r="A4987" t="s">
        <v>64</v>
      </c>
      <c r="B4987" t="s">
        <v>64</v>
      </c>
      <c r="C4987" s="3" t="s">
        <v>64</v>
      </c>
      <c r="D4987" s="16" t="s">
        <v>64</v>
      </c>
      <c r="E4987" s="16">
        <v>0</v>
      </c>
      <c r="F4987" s="16" t="s">
        <v>64</v>
      </c>
      <c r="G4987" s="16" t="s">
        <v>64</v>
      </c>
    </row>
    <row r="4988" spans="1:7" x14ac:dyDescent="0.2">
      <c r="A4988" t="s">
        <v>64</v>
      </c>
      <c r="B4988" t="s">
        <v>64</v>
      </c>
      <c r="C4988" s="3" t="s">
        <v>64</v>
      </c>
      <c r="D4988" s="16" t="s">
        <v>64</v>
      </c>
      <c r="E4988" s="16">
        <v>0</v>
      </c>
      <c r="F4988" s="16" t="s">
        <v>64</v>
      </c>
      <c r="G4988" s="16" t="s">
        <v>64</v>
      </c>
    </row>
    <row r="4989" spans="1:7" x14ac:dyDescent="0.2">
      <c r="A4989" t="s">
        <v>64</v>
      </c>
      <c r="B4989" t="s">
        <v>64</v>
      </c>
      <c r="C4989" s="3" t="s">
        <v>64</v>
      </c>
      <c r="D4989" s="16" t="s">
        <v>64</v>
      </c>
      <c r="E4989" s="16">
        <v>0</v>
      </c>
      <c r="F4989" s="16" t="s">
        <v>64</v>
      </c>
      <c r="G4989" s="16" t="s">
        <v>64</v>
      </c>
    </row>
    <row r="4990" spans="1:7" x14ac:dyDescent="0.2">
      <c r="A4990" t="s">
        <v>64</v>
      </c>
      <c r="B4990" t="s">
        <v>64</v>
      </c>
      <c r="C4990" s="3" t="s">
        <v>64</v>
      </c>
      <c r="D4990" s="16" t="s">
        <v>64</v>
      </c>
      <c r="E4990" s="16">
        <v>0</v>
      </c>
      <c r="F4990" s="16" t="s">
        <v>64</v>
      </c>
      <c r="G4990" s="16" t="s">
        <v>64</v>
      </c>
    </row>
    <row r="4991" spans="1:7" x14ac:dyDescent="0.2">
      <c r="A4991" t="s">
        <v>64</v>
      </c>
      <c r="B4991" t="s">
        <v>64</v>
      </c>
      <c r="C4991" s="3" t="s">
        <v>64</v>
      </c>
      <c r="D4991" s="16" t="s">
        <v>64</v>
      </c>
      <c r="E4991" s="16">
        <v>0</v>
      </c>
      <c r="F4991" s="16" t="s">
        <v>64</v>
      </c>
      <c r="G4991" s="16" t="s">
        <v>64</v>
      </c>
    </row>
    <row r="4992" spans="1:7" x14ac:dyDescent="0.2">
      <c r="A4992" t="s">
        <v>64</v>
      </c>
      <c r="B4992" t="s">
        <v>64</v>
      </c>
      <c r="C4992" s="3" t="s">
        <v>64</v>
      </c>
      <c r="D4992" s="16" t="s">
        <v>64</v>
      </c>
      <c r="E4992" s="16">
        <v>0</v>
      </c>
      <c r="F4992" s="16" t="s">
        <v>64</v>
      </c>
      <c r="G4992" s="16" t="s">
        <v>64</v>
      </c>
    </row>
    <row r="4993" spans="1:7" x14ac:dyDescent="0.2">
      <c r="A4993" t="s">
        <v>64</v>
      </c>
      <c r="B4993" t="s">
        <v>64</v>
      </c>
      <c r="C4993" s="3" t="s">
        <v>64</v>
      </c>
      <c r="D4993" s="16" t="s">
        <v>64</v>
      </c>
      <c r="E4993" s="16">
        <v>0</v>
      </c>
      <c r="F4993" s="16" t="s">
        <v>64</v>
      </c>
      <c r="G4993" s="16" t="s">
        <v>64</v>
      </c>
    </row>
    <row r="4994" spans="1:7" x14ac:dyDescent="0.2">
      <c r="A4994" t="s">
        <v>64</v>
      </c>
      <c r="B4994" t="s">
        <v>64</v>
      </c>
      <c r="C4994" s="3" t="s">
        <v>64</v>
      </c>
      <c r="D4994" s="16" t="s">
        <v>64</v>
      </c>
      <c r="E4994" s="16">
        <v>0</v>
      </c>
      <c r="F4994" s="16" t="s">
        <v>64</v>
      </c>
      <c r="G4994" s="16" t="s">
        <v>64</v>
      </c>
    </row>
    <row r="4995" spans="1:7" x14ac:dyDescent="0.2">
      <c r="A4995" t="s">
        <v>64</v>
      </c>
      <c r="B4995" t="s">
        <v>64</v>
      </c>
      <c r="C4995" s="3" t="s">
        <v>64</v>
      </c>
      <c r="D4995" s="16" t="s">
        <v>64</v>
      </c>
      <c r="E4995" s="16">
        <v>0</v>
      </c>
      <c r="F4995" s="16" t="s">
        <v>64</v>
      </c>
      <c r="G4995" s="16" t="s">
        <v>64</v>
      </c>
    </row>
    <row r="4996" spans="1:7" x14ac:dyDescent="0.2">
      <c r="A4996" t="s">
        <v>64</v>
      </c>
      <c r="B4996" t="s">
        <v>64</v>
      </c>
      <c r="C4996" s="3" t="s">
        <v>64</v>
      </c>
      <c r="D4996" s="16" t="s">
        <v>64</v>
      </c>
      <c r="E4996" s="16">
        <v>0</v>
      </c>
      <c r="F4996" s="16" t="s">
        <v>64</v>
      </c>
      <c r="G4996" s="16" t="s">
        <v>64</v>
      </c>
    </row>
    <row r="4997" spans="1:7" x14ac:dyDescent="0.2">
      <c r="A4997" t="s">
        <v>64</v>
      </c>
      <c r="B4997" t="s">
        <v>64</v>
      </c>
      <c r="C4997" s="3" t="s">
        <v>64</v>
      </c>
      <c r="D4997" s="16" t="s">
        <v>64</v>
      </c>
      <c r="E4997" s="16">
        <v>0</v>
      </c>
      <c r="F4997" s="16" t="s">
        <v>64</v>
      </c>
      <c r="G4997" s="16" t="s">
        <v>64</v>
      </c>
    </row>
    <row r="4998" spans="1:7" x14ac:dyDescent="0.2">
      <c r="A4998" t="s">
        <v>64</v>
      </c>
      <c r="B4998" t="s">
        <v>64</v>
      </c>
      <c r="C4998" s="3" t="s">
        <v>64</v>
      </c>
      <c r="D4998" s="16" t="s">
        <v>64</v>
      </c>
      <c r="E4998" s="16">
        <v>0</v>
      </c>
      <c r="F4998" s="16" t="s">
        <v>64</v>
      </c>
      <c r="G4998" s="16" t="s">
        <v>64</v>
      </c>
    </row>
    <row r="4999" spans="1:7" x14ac:dyDescent="0.2">
      <c r="A4999" t="s">
        <v>64</v>
      </c>
      <c r="B4999" t="s">
        <v>64</v>
      </c>
      <c r="C4999" s="3" t="s">
        <v>64</v>
      </c>
      <c r="D4999" s="16" t="s">
        <v>64</v>
      </c>
      <c r="E4999" s="16">
        <v>0</v>
      </c>
      <c r="F4999" s="16" t="s">
        <v>64</v>
      </c>
      <c r="G4999" s="16" t="s">
        <v>64</v>
      </c>
    </row>
  </sheetData>
  <autoFilter ref="A1:G4999" xr:uid="{00D7FA08-6CC8-4C93-B686-0071BD7E698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69594-3474-4F78-B4DD-6CB7D5A0D6B3}">
  <sheetPr codeName="Sheet5"/>
  <dimension ref="A1:V32"/>
  <sheetViews>
    <sheetView zoomScale="85" zoomScaleNormal="85" workbookViewId="0">
      <selection activeCell="C17" sqref="C17"/>
    </sheetView>
  </sheetViews>
  <sheetFormatPr baseColWidth="10" defaultColWidth="8.83203125" defaultRowHeight="15" x14ac:dyDescent="0.2"/>
  <cols>
    <col min="1" max="1" width="22.83203125" customWidth="1"/>
    <col min="2" max="2" width="19" customWidth="1"/>
    <col min="3" max="3" width="38.1640625" customWidth="1"/>
    <col min="4" max="4" width="19" customWidth="1"/>
    <col min="5" max="5" width="22.83203125" customWidth="1"/>
    <col min="6" max="6" width="30.5" customWidth="1"/>
    <col min="7" max="7" width="18.5" customWidth="1"/>
    <col min="8" max="20" width="8" hidden="1" customWidth="1"/>
    <col min="21" max="21" width="9.1640625" hidden="1" customWidth="1"/>
    <col min="22" max="22" width="53.33203125" customWidth="1"/>
  </cols>
  <sheetData>
    <row r="1" spans="1:22" ht="22" x14ac:dyDescent="0.3">
      <c r="A1" s="7" t="s">
        <v>38</v>
      </c>
    </row>
    <row r="2" spans="1:22" ht="16" x14ac:dyDescent="0.2">
      <c r="V2" s="9" t="s">
        <v>45</v>
      </c>
    </row>
    <row r="3" spans="1:22" ht="24" customHeight="1" x14ac:dyDescent="0.2">
      <c r="A3" s="8" t="s">
        <v>1</v>
      </c>
      <c r="B3" s="8" t="s">
        <v>11</v>
      </c>
      <c r="C3" s="8" t="s">
        <v>12</v>
      </c>
      <c r="D3" s="8" t="s">
        <v>13</v>
      </c>
      <c r="E3" s="8" t="s">
        <v>14</v>
      </c>
      <c r="F3" s="8" t="s">
        <v>17</v>
      </c>
      <c r="H3" t="s">
        <v>19</v>
      </c>
      <c r="I3" t="s">
        <v>20</v>
      </c>
      <c r="J3" t="s">
        <v>21</v>
      </c>
      <c r="K3" t="s">
        <v>22</v>
      </c>
      <c r="L3" t="s">
        <v>23</v>
      </c>
      <c r="M3" t="s">
        <v>24</v>
      </c>
      <c r="N3" t="s">
        <v>28</v>
      </c>
      <c r="O3" t="s">
        <v>29</v>
      </c>
      <c r="P3" t="s">
        <v>30</v>
      </c>
      <c r="Q3" t="s">
        <v>31</v>
      </c>
      <c r="R3" t="s">
        <v>25</v>
      </c>
      <c r="S3" t="s">
        <v>26</v>
      </c>
      <c r="T3" t="s">
        <v>27</v>
      </c>
    </row>
    <row r="4" spans="1:22" s="20" customFormat="1" ht="24" customHeight="1" x14ac:dyDescent="0.2">
      <c r="A4" s="17" t="s">
        <v>1420</v>
      </c>
      <c r="B4" s="17">
        <v>10</v>
      </c>
      <c r="C4" s="18" t="str">
        <f>IF(A4="","",IF(R4+S4+T4&lt;B4,"❌ INSUFFICIENT - Only "&amp;(I4+K4+M4-N4)&amp;" PCS available",IF(R4&gt;0,H4&amp;" = "&amp;R4&amp;" PCS","")&amp;IF(AND(R4&gt;0,S4&gt;0),CHAR(10),"")&amp;IF(S4&gt;0,J4&amp;" = "&amp;S4&amp;" PCS","")&amp;IF(AND(S4&gt;0,T4&gt;0),CHAR(10),"")&amp;IF(T4&gt;0,L4&amp;" = "&amp;T4&amp;" PCS","")))</f>
        <v>432A = 10 PCS</v>
      </c>
      <c r="D4" s="17" t="str">
        <f>IF(A4="","",MAX(0,I4+K4+M4-N4)&amp;" PCS")</f>
        <v>10 PCS</v>
      </c>
      <c r="E4" s="17" t="str">
        <f>IF(A4="","",IF(B4="","⚠️ ENTER QTY",IF(B4&lt;=I4+K4+M4-N4,"✅ CAN FULFILL","❌ INSUFFICIENT")))</f>
        <v>✅ CAN FULFILL</v>
      </c>
      <c r="F4" s="19"/>
      <c r="G4" s="236" t="s">
        <v>44</v>
      </c>
      <c r="H4" s="20" t="str" cm="1">
        <f t="array" ref="H4">IFERROR(INDEX(_xlfn._xlws.SORT(_xlfn._xlws.FILTER('Stock by rack'!$B$2:$G$150000,('Stock by rack'!$A$2:$A$150000=$A4)*('Stock by rack'!$F$2:$F$150000&gt;0)),2,1),1,1),"")</f>
        <v>432A</v>
      </c>
      <c r="I4" s="20" cm="1">
        <f t="array" ref="I4">IFERROR(INDEX(_xlfn._xlws.SORT(_xlfn._xlws.FILTER('Stock by rack'!$B$2:$G$150000,('Stock by rack'!$A$2:$A$150000=$A4)*('Stock by rack'!$F$2:$F$150000&gt;0)),2,1),1,5),0)</f>
        <v>10</v>
      </c>
      <c r="J4" s="20" t="str" cm="1">
        <f t="array" ref="J4">IFERROR(INDEX(_xlfn._xlws.SORT(_xlfn._xlws.FILTER('Stock by rack'!$B$2:$G$150000,('Stock by rack'!$A$2:$A$150000=$A4)*('Stock by rack'!$F$2:$F$150000&gt;0)),2,1),2,1),"")</f>
        <v/>
      </c>
      <c r="K4" s="20" cm="1">
        <f t="array" ref="K4">IFERROR(INDEX(_xlfn._xlws.SORT(_xlfn._xlws.FILTER('Stock by rack'!$B$2:$G$150000,('Stock by rack'!$A$2:$A$150000=$A4)*('Stock by rack'!$F$2:$F$150000&gt;0)),2,1),2,5),0)</f>
        <v>0</v>
      </c>
      <c r="L4" s="20" t="str" cm="1">
        <f t="array" ref="L4">IFERROR(INDEX(_xlfn._xlws.SORT(_xlfn._xlws.FILTER('Stock by rack'!$B$2:$G$150000,('Stock by rack'!$A$2:$A$150000=$A4)*('Stock by rack'!$F$2:$F$150000&gt;0)),2,1),3,1),"")</f>
        <v/>
      </c>
      <c r="M4" s="20" cm="1">
        <f t="array" ref="M4">IFERROR(INDEX(_xlfn._xlws.SORT(_xlfn._xlws.FILTER('Stock by rack'!$B$2:$G$150000,('Stock by rack'!$A$2:$A$150000=$A4)*('Stock by rack'!$F$2:$F$150000&gt;0)),2,1),3,5),0)</f>
        <v>0</v>
      </c>
      <c r="N4" s="20">
        <f>0</f>
        <v>0</v>
      </c>
      <c r="O4" s="20">
        <f t="shared" ref="O4:O23" si="0">MAX(0,I4-N4)</f>
        <v>10</v>
      </c>
      <c r="P4" s="20">
        <f t="shared" ref="P4:P23" si="1">MAX(0,K4-MAX(0,N4-I4))</f>
        <v>0</v>
      </c>
      <c r="Q4" s="20">
        <f t="shared" ref="Q4:Q23" si="2">MAX(0,M4-MAX(0,N4-I4-K4))</f>
        <v>0</v>
      </c>
      <c r="R4" s="20">
        <f t="shared" ref="R4:R23" si="3">IF($A4="",0,MIN($B4,O4))</f>
        <v>10</v>
      </c>
      <c r="S4" s="20">
        <f t="shared" ref="S4:S23" si="4">IF($A4="",0,MIN(MAX(0,$B4-R4),P4))</f>
        <v>0</v>
      </c>
      <c r="T4" s="20">
        <f t="shared" ref="T4:T23" si="5">IF($A4="",0,MIN(MAX(0,$B4-R4-S4),Q4))</f>
        <v>0</v>
      </c>
    </row>
    <row r="5" spans="1:22" s="24" customFormat="1" ht="24" customHeight="1" x14ac:dyDescent="0.2">
      <c r="A5" s="21"/>
      <c r="B5" s="22"/>
      <c r="C5" s="23" t="str">
        <f>IF(A5="","",IF(R5+S5+T5&lt;B5,"❌ INSUFFICIENT - Only "&amp;(I5+K5+M5-N5)&amp;" PCS available",IF(R5&gt;0,H5&amp;" = "&amp;R5&amp;" PCS","")&amp;IF(AND(R5&gt;0,S5&gt;0),CHAR(10),"")&amp;IF(S5&gt;0,J5&amp;" = "&amp;S5&amp;" PCS","")&amp;IF(AND(S5&gt;0,T5&gt;0),CHAR(10),"")&amp;IF(T5&gt;0,L5&amp;" = "&amp;T5&amp;" PCS","")))</f>
        <v/>
      </c>
      <c r="D5" s="22" t="str">
        <f>IF(A5="","",MAX(0,I5+K5+M5-N5)&amp;" PCS")</f>
        <v/>
      </c>
      <c r="E5" s="22" t="str">
        <f>IF(A5="","",IF(B5="","⚠️ ENTER QTY",IF(B5&lt;=I5+K5+M5-N5,"✅ CAN FULFILL","❌ INSUFFICIENT")))</f>
        <v/>
      </c>
      <c r="F5" s="22"/>
      <c r="G5" s="237"/>
      <c r="H5" s="24" t="str" cm="1">
        <f t="array" ref="H5">IFERROR(INDEX(_xlfn._xlws.SORT(_xlfn._xlws.FILTER('Stock by rack'!$B$2:$G$150000,('Stock by rack'!$A$2:$A$150000=$A5)*('Stock by rack'!$F$2:$F$150000&gt;0)),2,1),1,1),"")</f>
        <v/>
      </c>
      <c r="I5" s="24" t="str" cm="1">
        <f t="array" ref="I5">IFERROR(INDEX(_xlfn._xlws.SORT(_xlfn._xlws.FILTER('Stock by rack'!$B$2:$G$150000,('Stock by rack'!$A$2:$A$150000=$A5)*('Stock by rack'!$F$2:$F$150000&gt;0)),2,1),1,5),0)</f>
        <v/>
      </c>
      <c r="J5" s="24" t="str" cm="1">
        <f t="array" ref="J5">IFERROR(INDEX(_xlfn._xlws.SORT(_xlfn._xlws.FILTER('Stock by rack'!$B$2:$G$150000,('Stock by rack'!$A$2:$A$150000=$A5)*('Stock by rack'!$F$2:$F$150000&gt;0)),2,1),2,1),"")</f>
        <v/>
      </c>
      <c r="K5" s="24" t="str" cm="1">
        <f t="array" ref="K5">IFERROR(INDEX(_xlfn._xlws.SORT(_xlfn._xlws.FILTER('Stock by rack'!$B$2:$G$150000,('Stock by rack'!$A$2:$A$150000=$A5)*('Stock by rack'!$F$2:$F$150000&gt;0)),2,1),2,5),0)</f>
        <v/>
      </c>
      <c r="L5" s="24" t="str" cm="1">
        <f t="array" ref="L5">IFERROR(INDEX(_xlfn._xlws.SORT(_xlfn._xlws.FILTER('Stock by rack'!$B$2:$G$150000,('Stock by rack'!$A$2:$A$150000=$A5)*('Stock by rack'!$F$2:$F$150000&gt;0)),2,1),3,1),"")</f>
        <v/>
      </c>
      <c r="M5" s="24" t="str" cm="1">
        <f t="array" ref="M5">IFERROR(INDEX(_xlfn._xlws.SORT(_xlfn._xlws.FILTER('Stock by rack'!$B$2:$G$150000,('Stock by rack'!$A$2:$A$150000=$A5)*('Stock by rack'!$F$2:$F$150000&gt;0)),2,1),3,5),0)</f>
        <v/>
      </c>
      <c r="N5" s="24">
        <f>SUMIF($A$4:$A4,$A5,$R$4:$R4)+SUMIF($A$4:$A4,$A5,$S$4:$S4)+SUMIF($A$4:$A4,$A5,$T$4:$T4)</f>
        <v>0</v>
      </c>
      <c r="O5" s="24" t="e">
        <f t="shared" si="0"/>
        <v>#VALUE!</v>
      </c>
      <c r="P5" s="24" t="e">
        <f t="shared" si="1"/>
        <v>#VALUE!</v>
      </c>
      <c r="Q5" s="24" t="e">
        <f t="shared" si="2"/>
        <v>#VALUE!</v>
      </c>
      <c r="R5" s="24">
        <f t="shared" si="3"/>
        <v>0</v>
      </c>
      <c r="S5" s="24">
        <f t="shared" si="4"/>
        <v>0</v>
      </c>
      <c r="T5" s="24">
        <f t="shared" si="5"/>
        <v>0</v>
      </c>
    </row>
    <row r="6" spans="1:22" s="24" customFormat="1" ht="24" customHeight="1" x14ac:dyDescent="0.2">
      <c r="A6" s="21"/>
      <c r="B6" s="21"/>
      <c r="C6" s="25" t="str">
        <f t="shared" ref="C6:C23" si="6">IF(A6="","",IF(R6+S6+T6&lt;B6,"❌ INSUFFICIENT - Only "&amp;(I6+K6+M6-N6)&amp;" PCS available",IF(R6&gt;0,H6&amp;" = "&amp;R6&amp;" PCS","")&amp;IF(AND(R6&gt;0,S6&gt;0),CHAR(10),"")&amp;IF(S6&gt;0,J6&amp;" = "&amp;S6&amp;" PCS","")&amp;IF(AND(S6&gt;0,T6&gt;0),CHAR(10),"")&amp;IF(T6&gt;0,L6&amp;" = "&amp;T6&amp;" PCS","")))</f>
        <v/>
      </c>
      <c r="D6" s="21" t="str">
        <f t="shared" ref="D6:D23" si="7">IF(A6="","",MAX(0,I6+K6+M6-N6)&amp;" PCS")</f>
        <v/>
      </c>
      <c r="E6" s="21" t="str">
        <f t="shared" ref="E6:E23" si="8">IF(A6="","",IF(B6="","⚠️ ENTER QTY",IF(B6&lt;=I6+K6+M6-N6,"✅ CAN FULFILL","❌ INSUFFICIENT")))</f>
        <v/>
      </c>
      <c r="F6" s="21"/>
      <c r="G6" s="26" t="s">
        <v>32</v>
      </c>
      <c r="H6" s="24" t="str" cm="1">
        <f t="array" ref="H6">IFERROR(INDEX(_xlfn._xlws.SORT(_xlfn._xlws.FILTER('Stock by rack'!$B$2:$G$150000,('Stock by rack'!$A$2:$A$150000=$A6)*('Stock by rack'!$F$2:$F$150000&gt;0)),2,1),1,1),"")</f>
        <v/>
      </c>
      <c r="I6" s="24" t="str" cm="1">
        <f t="array" ref="I6">IFERROR(INDEX(_xlfn._xlws.SORT(_xlfn._xlws.FILTER('Stock by rack'!$B$2:$G$150000,('Stock by rack'!$A$2:$A$150000=$A6)*('Stock by rack'!$F$2:$F$150000&gt;0)),2,1),1,5),0)</f>
        <v/>
      </c>
      <c r="J6" s="24" t="str" cm="1">
        <f t="array" ref="J6">IFERROR(INDEX(_xlfn._xlws.SORT(_xlfn._xlws.FILTER('Stock by rack'!$B$2:$G$150000,('Stock by rack'!$A$2:$A$150000=$A6)*('Stock by rack'!$F$2:$F$150000&gt;0)),2,1),2,1),"")</f>
        <v/>
      </c>
      <c r="K6" s="24" t="str" cm="1">
        <f t="array" ref="K6">IFERROR(INDEX(_xlfn._xlws.SORT(_xlfn._xlws.FILTER('Stock by rack'!$B$2:$G$150000,('Stock by rack'!$A$2:$A$150000=$A6)*('Stock by rack'!$F$2:$F$150000&gt;0)),2,1),2,5),0)</f>
        <v/>
      </c>
      <c r="L6" s="24" t="str" cm="1">
        <f t="array" ref="L6">IFERROR(INDEX(_xlfn._xlws.SORT(_xlfn._xlws.FILTER('Stock by rack'!$B$2:$G$150000,('Stock by rack'!$A$2:$A$150000=$A6)*('Stock by rack'!$F$2:$F$150000&gt;0)),2,1),3,1),"")</f>
        <v/>
      </c>
      <c r="M6" s="24" t="str" cm="1">
        <f t="array" ref="M6">IFERROR(INDEX(_xlfn._xlws.SORT(_xlfn._xlws.FILTER('Stock by rack'!$B$2:$G$150000,('Stock by rack'!$A$2:$A$150000=$A6)*('Stock by rack'!$F$2:$F$150000&gt;0)),2,1),3,5),0)</f>
        <v/>
      </c>
      <c r="N6" s="24">
        <f>SUMIF($A$4:$A5,$A6,$R$4:$R5)+SUMIF($A$4:$A5,$A6,$S$4:$S5)+SUMIF($A$4:$A5,$A6,$T$4:$T5)</f>
        <v>0</v>
      </c>
      <c r="O6" s="24" t="e">
        <f t="shared" si="0"/>
        <v>#VALUE!</v>
      </c>
      <c r="P6" s="24" t="e">
        <f t="shared" si="1"/>
        <v>#VALUE!</v>
      </c>
      <c r="Q6" s="24" t="e">
        <f t="shared" si="2"/>
        <v>#VALUE!</v>
      </c>
      <c r="R6" s="24">
        <f t="shared" si="3"/>
        <v>0</v>
      </c>
      <c r="S6" s="24">
        <f t="shared" si="4"/>
        <v>0</v>
      </c>
      <c r="T6" s="24">
        <f t="shared" si="5"/>
        <v>0</v>
      </c>
    </row>
    <row r="7" spans="1:22" s="24" customFormat="1" ht="24" customHeight="1" x14ac:dyDescent="0.2">
      <c r="A7" s="22"/>
      <c r="B7" s="22"/>
      <c r="C7" s="23" t="str">
        <f t="shared" si="6"/>
        <v/>
      </c>
      <c r="D7" s="22" t="str">
        <f t="shared" si="7"/>
        <v/>
      </c>
      <c r="E7" s="22" t="str">
        <f t="shared" si="8"/>
        <v/>
      </c>
      <c r="F7" s="22"/>
      <c r="G7" s="27" t="s">
        <v>33</v>
      </c>
      <c r="H7" s="24" t="str" cm="1">
        <f t="array" ref="H7">IFERROR(INDEX(_xlfn._xlws.SORT(_xlfn._xlws.FILTER('Stock by rack'!$B$2:$G$150000,('Stock by rack'!$A$2:$A$150000=$A7)*('Stock by rack'!$F$2:$F$150000&gt;0)),2,1),1,1),"")</f>
        <v/>
      </c>
      <c r="I7" s="24" t="str" cm="1">
        <f t="array" ref="I7">IFERROR(INDEX(_xlfn._xlws.SORT(_xlfn._xlws.FILTER('Stock by rack'!$B$2:$G$150000,('Stock by rack'!$A$2:$A$150000=$A7)*('Stock by rack'!$F$2:$F$150000&gt;0)),2,1),1,5),0)</f>
        <v/>
      </c>
      <c r="J7" s="24" t="str" cm="1">
        <f t="array" ref="J7">IFERROR(INDEX(_xlfn._xlws.SORT(_xlfn._xlws.FILTER('Stock by rack'!$B$2:$G$150000,('Stock by rack'!$A$2:$A$150000=$A7)*('Stock by rack'!$F$2:$F$150000&gt;0)),2,1),2,1),"")</f>
        <v/>
      </c>
      <c r="K7" s="24" t="str" cm="1">
        <f t="array" ref="K7">IFERROR(INDEX(_xlfn._xlws.SORT(_xlfn._xlws.FILTER('Stock by rack'!$B$2:$G$150000,('Stock by rack'!$A$2:$A$150000=$A7)*('Stock by rack'!$F$2:$F$150000&gt;0)),2,1),2,5),0)</f>
        <v/>
      </c>
      <c r="L7" s="24" t="str" cm="1">
        <f t="array" ref="L7">IFERROR(INDEX(_xlfn._xlws.SORT(_xlfn._xlws.FILTER('Stock by rack'!$B$2:$G$150000,('Stock by rack'!$A$2:$A$150000=$A7)*('Stock by rack'!$F$2:$F$150000&gt;0)),2,1),3,1),"")</f>
        <v/>
      </c>
      <c r="M7" s="24" t="str" cm="1">
        <f t="array" ref="M7">IFERROR(INDEX(_xlfn._xlws.SORT(_xlfn._xlws.FILTER('Stock by rack'!$B$2:$G$150000,('Stock by rack'!$A$2:$A$150000=$A7)*('Stock by rack'!$F$2:$F$150000&gt;0)),2,1),3,5),0)</f>
        <v/>
      </c>
      <c r="N7" s="24">
        <f>SUMIF($A$4:$A6,$A7,$R$4:$R6)+SUMIF($A$4:$A6,$A7,$S$4:$S6)+SUMIF($A$4:$A6,$A7,$T$4:$T6)</f>
        <v>0</v>
      </c>
      <c r="O7" s="24" t="e">
        <f t="shared" si="0"/>
        <v>#VALUE!</v>
      </c>
      <c r="P7" s="24" t="e">
        <f t="shared" si="1"/>
        <v>#VALUE!</v>
      </c>
      <c r="Q7" s="24" t="e">
        <f t="shared" si="2"/>
        <v>#VALUE!</v>
      </c>
      <c r="R7" s="24">
        <f t="shared" si="3"/>
        <v>0</v>
      </c>
      <c r="S7" s="24">
        <f t="shared" si="4"/>
        <v>0</v>
      </c>
      <c r="T7" s="24">
        <f t="shared" si="5"/>
        <v>0</v>
      </c>
    </row>
    <row r="8" spans="1:22" s="24" customFormat="1" ht="24" customHeight="1" x14ac:dyDescent="0.2">
      <c r="A8" s="21"/>
      <c r="B8" s="21"/>
      <c r="C8" s="25" t="str">
        <f t="shared" si="6"/>
        <v/>
      </c>
      <c r="D8" s="21" t="str">
        <f t="shared" si="7"/>
        <v/>
      </c>
      <c r="E8" s="21" t="str">
        <f t="shared" si="8"/>
        <v/>
      </c>
      <c r="F8" s="21"/>
      <c r="G8" s="27" t="s">
        <v>34</v>
      </c>
      <c r="H8" s="24" t="str" cm="1">
        <f t="array" ref="H8">IFERROR(INDEX(_xlfn._xlws.SORT(_xlfn._xlws.FILTER('Stock by rack'!$B$2:$G$150000,('Stock by rack'!$A$2:$A$150000=$A8)*('Stock by rack'!$F$2:$F$150000&gt;0)),2,1),1,1),"")</f>
        <v/>
      </c>
      <c r="I8" s="24" t="str" cm="1">
        <f t="array" ref="I8">IFERROR(INDEX(_xlfn._xlws.SORT(_xlfn._xlws.FILTER('Stock by rack'!$B$2:$G$150000,('Stock by rack'!$A$2:$A$150000=$A8)*('Stock by rack'!$F$2:$F$150000&gt;0)),2,1),1,5),0)</f>
        <v/>
      </c>
      <c r="J8" s="24" t="str" cm="1">
        <f t="array" ref="J8">IFERROR(INDEX(_xlfn._xlws.SORT(_xlfn._xlws.FILTER('Stock by rack'!$B$2:$G$150000,('Stock by rack'!$A$2:$A$150000=$A8)*('Stock by rack'!$F$2:$F$150000&gt;0)),2,1),2,1),"")</f>
        <v/>
      </c>
      <c r="K8" s="24" t="str" cm="1">
        <f t="array" ref="K8">IFERROR(INDEX(_xlfn._xlws.SORT(_xlfn._xlws.FILTER('Stock by rack'!$B$2:$G$150000,('Stock by rack'!$A$2:$A$150000=$A8)*('Stock by rack'!$F$2:$F$150000&gt;0)),2,1),2,5),0)</f>
        <v/>
      </c>
      <c r="L8" s="24" t="str" cm="1">
        <f t="array" ref="L8">IFERROR(INDEX(_xlfn._xlws.SORT(_xlfn._xlws.FILTER('Stock by rack'!$B$2:$G$150000,('Stock by rack'!$A$2:$A$150000=$A8)*('Stock by rack'!$F$2:$F$150000&gt;0)),2,1),3,1),"")</f>
        <v/>
      </c>
      <c r="M8" s="24" t="str" cm="1">
        <f t="array" ref="M8">IFERROR(INDEX(_xlfn._xlws.SORT(_xlfn._xlws.FILTER('Stock by rack'!$B$2:$G$150000,('Stock by rack'!$A$2:$A$150000=$A8)*('Stock by rack'!$F$2:$F$150000&gt;0)),2,1),3,5),0)</f>
        <v/>
      </c>
      <c r="N8" s="24">
        <f>SUMIF($A$4:$A7,$A8,$R$4:$R7)+SUMIF($A$4:$A7,$A8,$S$4:$S7)+SUMIF($A$4:$A7,$A8,$T$4:$T7)</f>
        <v>0</v>
      </c>
      <c r="O8" s="24" t="e">
        <f t="shared" si="0"/>
        <v>#VALUE!</v>
      </c>
      <c r="P8" s="24" t="e">
        <f t="shared" si="1"/>
        <v>#VALUE!</v>
      </c>
      <c r="Q8" s="24" t="e">
        <f t="shared" si="2"/>
        <v>#VALUE!</v>
      </c>
      <c r="R8" s="24">
        <f t="shared" si="3"/>
        <v>0</v>
      </c>
      <c r="S8" s="24">
        <f t="shared" si="4"/>
        <v>0</v>
      </c>
      <c r="T8" s="24">
        <f t="shared" si="5"/>
        <v>0</v>
      </c>
    </row>
    <row r="9" spans="1:22" s="24" customFormat="1" ht="24" customHeight="1" x14ac:dyDescent="0.2">
      <c r="A9" s="22"/>
      <c r="B9" s="22"/>
      <c r="C9" s="23" t="str">
        <f t="shared" si="6"/>
        <v/>
      </c>
      <c r="D9" s="22" t="str">
        <f t="shared" si="7"/>
        <v/>
      </c>
      <c r="E9" s="22" t="str">
        <f t="shared" si="8"/>
        <v/>
      </c>
      <c r="F9" s="22"/>
      <c r="G9" s="27" t="s">
        <v>35</v>
      </c>
      <c r="H9" s="24" t="str" cm="1">
        <f t="array" ref="H9">IFERROR(INDEX(_xlfn._xlws.SORT(_xlfn._xlws.FILTER('Stock by rack'!$B$2:$G$150000,('Stock by rack'!$A$2:$A$150000=$A9)*('Stock by rack'!$F$2:$F$150000&gt;0)),2,1),1,1),"")</f>
        <v/>
      </c>
      <c r="I9" s="24" t="str" cm="1">
        <f t="array" ref="I9">IFERROR(INDEX(_xlfn._xlws.SORT(_xlfn._xlws.FILTER('Stock by rack'!$B$2:$G$150000,('Stock by rack'!$A$2:$A$150000=$A9)*('Stock by rack'!$F$2:$F$150000&gt;0)),2,1),1,5),0)</f>
        <v/>
      </c>
      <c r="J9" s="24" t="str" cm="1">
        <f t="array" ref="J9">IFERROR(INDEX(_xlfn._xlws.SORT(_xlfn._xlws.FILTER('Stock by rack'!$B$2:$G$150000,('Stock by rack'!$A$2:$A$150000=$A9)*('Stock by rack'!$F$2:$F$150000&gt;0)),2,1),2,1),"")</f>
        <v/>
      </c>
      <c r="K9" s="24" t="str" cm="1">
        <f t="array" ref="K9">IFERROR(INDEX(_xlfn._xlws.SORT(_xlfn._xlws.FILTER('Stock by rack'!$B$2:$G$150000,('Stock by rack'!$A$2:$A$150000=$A9)*('Stock by rack'!$F$2:$F$150000&gt;0)),2,1),2,5),0)</f>
        <v/>
      </c>
      <c r="L9" s="24" t="str" cm="1">
        <f t="array" ref="L9">IFERROR(INDEX(_xlfn._xlws.SORT(_xlfn._xlws.FILTER('Stock by rack'!$B$2:$G$150000,('Stock by rack'!$A$2:$A$150000=$A9)*('Stock by rack'!$F$2:$F$150000&gt;0)),2,1),3,1),"")</f>
        <v/>
      </c>
      <c r="M9" s="24" t="str" cm="1">
        <f t="array" ref="M9">IFERROR(INDEX(_xlfn._xlws.SORT(_xlfn._xlws.FILTER('Stock by rack'!$B$2:$G$150000,('Stock by rack'!$A$2:$A$150000=$A9)*('Stock by rack'!$F$2:$F$150000&gt;0)),2,1),3,5),0)</f>
        <v/>
      </c>
      <c r="N9" s="24">
        <f>SUMIF($A$4:$A8,$A9,$R$4:$R8)+SUMIF($A$4:$A8,$A9,$S$4:$S8)+SUMIF($A$4:$A8,$A9,$T$4:$T8)</f>
        <v>0</v>
      </c>
      <c r="O9" s="24" t="e">
        <f t="shared" si="0"/>
        <v>#VALUE!</v>
      </c>
      <c r="P9" s="24" t="e">
        <f t="shared" si="1"/>
        <v>#VALUE!</v>
      </c>
      <c r="Q9" s="24" t="e">
        <f t="shared" si="2"/>
        <v>#VALUE!</v>
      </c>
      <c r="R9" s="24">
        <f t="shared" si="3"/>
        <v>0</v>
      </c>
      <c r="S9" s="24">
        <f t="shared" si="4"/>
        <v>0</v>
      </c>
      <c r="T9" s="24">
        <f t="shared" si="5"/>
        <v>0</v>
      </c>
    </row>
    <row r="10" spans="1:22" s="24" customFormat="1" ht="24" customHeight="1" x14ac:dyDescent="0.2">
      <c r="A10" s="21"/>
      <c r="B10" s="21"/>
      <c r="C10" s="25" t="str">
        <f t="shared" si="6"/>
        <v/>
      </c>
      <c r="D10" s="21" t="str">
        <f t="shared" si="7"/>
        <v/>
      </c>
      <c r="E10" s="21" t="str">
        <f t="shared" si="8"/>
        <v/>
      </c>
      <c r="F10" s="21"/>
      <c r="G10" s="27" t="s">
        <v>36</v>
      </c>
      <c r="H10" s="24" t="str" cm="1">
        <f t="array" ref="H10">IFERROR(INDEX(_xlfn._xlws.SORT(_xlfn._xlws.FILTER('Stock by rack'!$B$2:$G$150000,('Stock by rack'!$A$2:$A$150000=$A10)*('Stock by rack'!$F$2:$F$150000&gt;0)),2,1),1,1),"")</f>
        <v/>
      </c>
      <c r="I10" s="24" t="str" cm="1">
        <f t="array" ref="I10">IFERROR(INDEX(_xlfn._xlws.SORT(_xlfn._xlws.FILTER('Stock by rack'!$B$2:$G$150000,('Stock by rack'!$A$2:$A$150000=$A10)*('Stock by rack'!$F$2:$F$150000&gt;0)),2,1),1,5),0)</f>
        <v/>
      </c>
      <c r="J10" s="24" t="str" cm="1">
        <f t="array" ref="J10">IFERROR(INDEX(_xlfn._xlws.SORT(_xlfn._xlws.FILTER('Stock by rack'!$B$2:$G$150000,('Stock by rack'!$A$2:$A$150000=$A10)*('Stock by rack'!$F$2:$F$150000&gt;0)),2,1),2,1),"")</f>
        <v/>
      </c>
      <c r="K10" s="24" t="str" cm="1">
        <f t="array" ref="K10">IFERROR(INDEX(_xlfn._xlws.SORT(_xlfn._xlws.FILTER('Stock by rack'!$B$2:$G$150000,('Stock by rack'!$A$2:$A$150000=$A10)*('Stock by rack'!$F$2:$F$150000&gt;0)),2,1),2,5),0)</f>
        <v/>
      </c>
      <c r="L10" s="24" t="str" cm="1">
        <f t="array" ref="L10">IFERROR(INDEX(_xlfn._xlws.SORT(_xlfn._xlws.FILTER('Stock by rack'!$B$2:$G$150000,('Stock by rack'!$A$2:$A$150000=$A10)*('Stock by rack'!$F$2:$F$150000&gt;0)),2,1),3,1),"")</f>
        <v/>
      </c>
      <c r="M10" s="24" t="str" cm="1">
        <f t="array" ref="M10">IFERROR(INDEX(_xlfn._xlws.SORT(_xlfn._xlws.FILTER('Stock by rack'!$B$2:$G$150000,('Stock by rack'!$A$2:$A$150000=$A10)*('Stock by rack'!$F$2:$F$150000&gt;0)),2,1),3,5),0)</f>
        <v/>
      </c>
      <c r="N10" s="24">
        <f>SUMIF($A$4:$A9,$A10,$R$4:$R9)+SUMIF($A$4:$A9,$A10,$S$4:$S9)+SUMIF($A$4:$A9,$A10,$T$4:$T9)</f>
        <v>0</v>
      </c>
      <c r="O10" s="24" t="e">
        <f t="shared" si="0"/>
        <v>#VALUE!</v>
      </c>
      <c r="P10" s="24" t="e">
        <f t="shared" si="1"/>
        <v>#VALUE!</v>
      </c>
      <c r="Q10" s="24" t="e">
        <f t="shared" si="2"/>
        <v>#VALUE!</v>
      </c>
      <c r="R10" s="24">
        <f t="shared" si="3"/>
        <v>0</v>
      </c>
      <c r="S10" s="24">
        <f t="shared" si="4"/>
        <v>0</v>
      </c>
      <c r="T10" s="24">
        <f t="shared" si="5"/>
        <v>0</v>
      </c>
    </row>
    <row r="11" spans="1:22" s="24" customFormat="1" ht="24" customHeight="1" x14ac:dyDescent="0.2">
      <c r="A11" s="22"/>
      <c r="B11" s="22"/>
      <c r="C11" s="23" t="str">
        <f t="shared" si="6"/>
        <v/>
      </c>
      <c r="D11" s="22" t="str">
        <f t="shared" si="7"/>
        <v/>
      </c>
      <c r="E11" s="22" t="str">
        <f t="shared" si="8"/>
        <v/>
      </c>
      <c r="F11" s="22"/>
      <c r="G11" s="27" t="s">
        <v>37</v>
      </c>
      <c r="H11" s="24" t="str" cm="1">
        <f t="array" ref="H11">IFERROR(INDEX(_xlfn._xlws.SORT(_xlfn._xlws.FILTER('Stock by rack'!$B$2:$G$150000,('Stock by rack'!$A$2:$A$150000=$A11)*('Stock by rack'!$F$2:$F$150000&gt;0)),2,1),1,1),"")</f>
        <v/>
      </c>
      <c r="I11" s="24" t="str" cm="1">
        <f t="array" ref="I11">IFERROR(INDEX(_xlfn._xlws.SORT(_xlfn._xlws.FILTER('Stock by rack'!$B$2:$G$150000,('Stock by rack'!$A$2:$A$150000=$A11)*('Stock by rack'!$F$2:$F$150000&gt;0)),2,1),1,5),0)</f>
        <v/>
      </c>
      <c r="J11" s="24" t="str" cm="1">
        <f t="array" ref="J11">IFERROR(INDEX(_xlfn._xlws.SORT(_xlfn._xlws.FILTER('Stock by rack'!$B$2:$G$150000,('Stock by rack'!$A$2:$A$150000=$A11)*('Stock by rack'!$F$2:$F$150000&gt;0)),2,1),2,1),"")</f>
        <v/>
      </c>
      <c r="K11" s="24" t="str" cm="1">
        <f t="array" ref="K11">IFERROR(INDEX(_xlfn._xlws.SORT(_xlfn._xlws.FILTER('Stock by rack'!$B$2:$G$150000,('Stock by rack'!$A$2:$A$150000=$A11)*('Stock by rack'!$F$2:$F$150000&gt;0)),2,1),2,5),0)</f>
        <v/>
      </c>
      <c r="L11" s="24" t="str" cm="1">
        <f t="array" ref="L11">IFERROR(INDEX(_xlfn._xlws.SORT(_xlfn._xlws.FILTER('Stock by rack'!$B$2:$G$150000,('Stock by rack'!$A$2:$A$150000=$A11)*('Stock by rack'!$F$2:$F$150000&gt;0)),2,1),3,1),"")</f>
        <v/>
      </c>
      <c r="M11" s="24" t="str" cm="1">
        <f t="array" ref="M11">IFERROR(INDEX(_xlfn._xlws.SORT(_xlfn._xlws.FILTER('Stock by rack'!$B$2:$G$150000,('Stock by rack'!$A$2:$A$150000=$A11)*('Stock by rack'!$F$2:$F$150000&gt;0)),2,1),3,5),0)</f>
        <v/>
      </c>
      <c r="N11" s="24">
        <f>SUMIF($A$4:$A10,$A11,$R$4:$R10)+SUMIF($A$4:$A10,$A11,$S$4:$S10)+SUMIF($A$4:$A10,$A11,$T$4:$T10)</f>
        <v>0</v>
      </c>
      <c r="O11" s="24" t="e">
        <f t="shared" si="0"/>
        <v>#VALUE!</v>
      </c>
      <c r="P11" s="24" t="e">
        <f t="shared" si="1"/>
        <v>#VALUE!</v>
      </c>
      <c r="Q11" s="24" t="e">
        <f t="shared" si="2"/>
        <v>#VALUE!</v>
      </c>
      <c r="R11" s="24">
        <f t="shared" si="3"/>
        <v>0</v>
      </c>
      <c r="S11" s="24">
        <f t="shared" si="4"/>
        <v>0</v>
      </c>
      <c r="T11" s="24">
        <f t="shared" si="5"/>
        <v>0</v>
      </c>
    </row>
    <row r="12" spans="1:22" s="24" customFormat="1" ht="24" customHeight="1" x14ac:dyDescent="0.2">
      <c r="A12" s="21"/>
      <c r="B12" s="21"/>
      <c r="C12" s="25" t="str">
        <f t="shared" si="6"/>
        <v/>
      </c>
      <c r="D12" s="21" t="str">
        <f t="shared" si="7"/>
        <v/>
      </c>
      <c r="E12" s="21" t="str">
        <f t="shared" si="8"/>
        <v/>
      </c>
      <c r="F12" s="21"/>
      <c r="H12" s="24" t="str" cm="1">
        <f t="array" ref="H12">IFERROR(INDEX(_xlfn._xlws.SORT(_xlfn._xlws.FILTER('Stock by rack'!$B$2:$G$150000,('Stock by rack'!$A$2:$A$150000=$A12)*('Stock by rack'!$F$2:$F$150000&gt;0)),2,1),1,1),"")</f>
        <v/>
      </c>
      <c r="I12" s="24" t="str" cm="1">
        <f t="array" ref="I12">IFERROR(INDEX(_xlfn._xlws.SORT(_xlfn._xlws.FILTER('Stock by rack'!$B$2:$G$150000,('Stock by rack'!$A$2:$A$150000=$A12)*('Stock by rack'!$F$2:$F$150000&gt;0)),2,1),1,5),0)</f>
        <v/>
      </c>
      <c r="J12" s="24" t="str" cm="1">
        <f t="array" ref="J12">IFERROR(INDEX(_xlfn._xlws.SORT(_xlfn._xlws.FILTER('Stock by rack'!$B$2:$G$150000,('Stock by rack'!$A$2:$A$150000=$A12)*('Stock by rack'!$F$2:$F$150000&gt;0)),2,1),2,1),"")</f>
        <v/>
      </c>
      <c r="K12" s="24" t="str" cm="1">
        <f t="array" ref="K12">IFERROR(INDEX(_xlfn._xlws.SORT(_xlfn._xlws.FILTER('Stock by rack'!$B$2:$G$150000,('Stock by rack'!$A$2:$A$150000=$A12)*('Stock by rack'!$F$2:$F$150000&gt;0)),2,1),2,5),0)</f>
        <v/>
      </c>
      <c r="L12" s="24" t="str" cm="1">
        <f t="array" ref="L12">IFERROR(INDEX(_xlfn._xlws.SORT(_xlfn._xlws.FILTER('Stock by rack'!$B$2:$G$150000,('Stock by rack'!$A$2:$A$150000=$A12)*('Stock by rack'!$F$2:$F$150000&gt;0)),2,1),3,1),"")</f>
        <v/>
      </c>
      <c r="M12" s="24" t="str" cm="1">
        <f t="array" ref="M12">IFERROR(INDEX(_xlfn._xlws.SORT(_xlfn._xlws.FILTER('Stock by rack'!$B$2:$G$150000,('Stock by rack'!$A$2:$A$150000=$A12)*('Stock by rack'!$F$2:$F$150000&gt;0)),2,1),3,5),0)</f>
        <v/>
      </c>
      <c r="N12" s="24">
        <f>SUMIF($A$4:$A11,$A12,$R$4:$R11)+SUMIF($A$4:$A11,$A12,$S$4:$S11)+SUMIF($A$4:$A11,$A12,$T$4:$T11)</f>
        <v>0</v>
      </c>
      <c r="O12" s="24" t="e">
        <f t="shared" si="0"/>
        <v>#VALUE!</v>
      </c>
      <c r="P12" s="24" t="e">
        <f t="shared" si="1"/>
        <v>#VALUE!</v>
      </c>
      <c r="Q12" s="24" t="e">
        <f t="shared" si="2"/>
        <v>#VALUE!</v>
      </c>
      <c r="R12" s="24">
        <f t="shared" si="3"/>
        <v>0</v>
      </c>
      <c r="S12" s="24">
        <f t="shared" si="4"/>
        <v>0</v>
      </c>
      <c r="T12" s="24">
        <f t="shared" si="5"/>
        <v>0</v>
      </c>
    </row>
    <row r="13" spans="1:22" s="24" customFormat="1" ht="24" customHeight="1" x14ac:dyDescent="0.2">
      <c r="A13" s="22"/>
      <c r="B13" s="22"/>
      <c r="C13" s="23" t="str">
        <f t="shared" si="6"/>
        <v/>
      </c>
      <c r="D13" s="22" t="str">
        <f t="shared" si="7"/>
        <v/>
      </c>
      <c r="E13" s="22" t="str">
        <f t="shared" si="8"/>
        <v/>
      </c>
      <c r="F13" s="22"/>
      <c r="H13" s="24" t="str" cm="1">
        <f t="array" ref="H13">IFERROR(INDEX(_xlfn._xlws.SORT(_xlfn._xlws.FILTER('Stock by rack'!$B$2:$G$150000,('Stock by rack'!$A$2:$A$150000=$A13)*('Stock by rack'!$F$2:$F$150000&gt;0)),2,1),1,1),"")</f>
        <v/>
      </c>
      <c r="I13" s="24" t="str" cm="1">
        <f t="array" ref="I13">IFERROR(INDEX(_xlfn._xlws.SORT(_xlfn._xlws.FILTER('Stock by rack'!$B$2:$G$150000,('Stock by rack'!$A$2:$A$150000=$A13)*('Stock by rack'!$F$2:$F$150000&gt;0)),2,1),1,5),0)</f>
        <v/>
      </c>
      <c r="J13" s="24" t="str" cm="1">
        <f t="array" ref="J13">IFERROR(INDEX(_xlfn._xlws.SORT(_xlfn._xlws.FILTER('Stock by rack'!$B$2:$G$150000,('Stock by rack'!$A$2:$A$150000=$A13)*('Stock by rack'!$F$2:$F$150000&gt;0)),2,1),2,1),"")</f>
        <v/>
      </c>
      <c r="K13" s="24" t="str" cm="1">
        <f t="array" ref="K13">IFERROR(INDEX(_xlfn._xlws.SORT(_xlfn._xlws.FILTER('Stock by rack'!$B$2:$G$150000,('Stock by rack'!$A$2:$A$150000=$A13)*('Stock by rack'!$F$2:$F$150000&gt;0)),2,1),2,5),0)</f>
        <v/>
      </c>
      <c r="L13" s="24" t="str" cm="1">
        <f t="array" ref="L13">IFERROR(INDEX(_xlfn._xlws.SORT(_xlfn._xlws.FILTER('Stock by rack'!$B$2:$G$150000,('Stock by rack'!$A$2:$A$150000=$A13)*('Stock by rack'!$F$2:$F$150000&gt;0)),2,1),3,1),"")</f>
        <v/>
      </c>
      <c r="M13" s="24" t="str" cm="1">
        <f t="array" ref="M13">IFERROR(INDEX(_xlfn._xlws.SORT(_xlfn._xlws.FILTER('Stock by rack'!$B$2:$G$150000,('Stock by rack'!$A$2:$A$150000=$A13)*('Stock by rack'!$F$2:$F$150000&gt;0)),2,1),3,5),0)</f>
        <v/>
      </c>
      <c r="N13" s="24">
        <f>SUMIF($A$4:$A12,$A13,$R$4:$R12)+SUMIF($A$4:$A12,$A13,$S$4:$S12)+SUMIF($A$4:$A12,$A13,$T$4:$T12)</f>
        <v>0</v>
      </c>
      <c r="O13" s="24" t="e">
        <f t="shared" si="0"/>
        <v>#VALUE!</v>
      </c>
      <c r="P13" s="24" t="e">
        <f t="shared" si="1"/>
        <v>#VALUE!</v>
      </c>
      <c r="Q13" s="24" t="e">
        <f t="shared" si="2"/>
        <v>#VALUE!</v>
      </c>
      <c r="R13" s="24">
        <f t="shared" si="3"/>
        <v>0</v>
      </c>
      <c r="S13" s="24">
        <f t="shared" si="4"/>
        <v>0</v>
      </c>
      <c r="T13" s="24">
        <f t="shared" si="5"/>
        <v>0</v>
      </c>
    </row>
    <row r="14" spans="1:22" s="24" customFormat="1" ht="24" customHeight="1" x14ac:dyDescent="0.2">
      <c r="A14" s="21"/>
      <c r="B14" s="21"/>
      <c r="C14" s="25" t="str">
        <f t="shared" si="6"/>
        <v/>
      </c>
      <c r="D14" s="21" t="str">
        <f t="shared" si="7"/>
        <v/>
      </c>
      <c r="E14" s="21" t="str">
        <f t="shared" si="8"/>
        <v/>
      </c>
      <c r="F14" s="21"/>
      <c r="H14" s="24" t="str" cm="1">
        <f t="array" ref="H14">IFERROR(INDEX(_xlfn._xlws.SORT(_xlfn._xlws.FILTER('Stock by rack'!$B$2:$G$150000,('Stock by rack'!$A$2:$A$150000=$A14)*('Stock by rack'!$F$2:$F$150000&gt;0)),2,1),1,1),"")</f>
        <v/>
      </c>
      <c r="I14" s="24" t="str" cm="1">
        <f t="array" ref="I14">IFERROR(INDEX(_xlfn._xlws.SORT(_xlfn._xlws.FILTER('Stock by rack'!$B$2:$G$150000,('Stock by rack'!$A$2:$A$150000=$A14)*('Stock by rack'!$F$2:$F$150000&gt;0)),2,1),1,5),0)</f>
        <v/>
      </c>
      <c r="J14" s="24" t="str" cm="1">
        <f t="array" ref="J14">IFERROR(INDEX(_xlfn._xlws.SORT(_xlfn._xlws.FILTER('Stock by rack'!$B$2:$G$150000,('Stock by rack'!$A$2:$A$150000=$A14)*('Stock by rack'!$F$2:$F$150000&gt;0)),2,1),2,1),"")</f>
        <v/>
      </c>
      <c r="K14" s="24" t="str" cm="1">
        <f t="array" ref="K14">IFERROR(INDEX(_xlfn._xlws.SORT(_xlfn._xlws.FILTER('Stock by rack'!$B$2:$G$150000,('Stock by rack'!$A$2:$A$150000=$A14)*('Stock by rack'!$F$2:$F$150000&gt;0)),2,1),2,5),0)</f>
        <v/>
      </c>
      <c r="L14" s="24" t="str" cm="1">
        <f t="array" ref="L14">IFERROR(INDEX(_xlfn._xlws.SORT(_xlfn._xlws.FILTER('Stock by rack'!$B$2:$G$150000,('Stock by rack'!$A$2:$A$150000=$A14)*('Stock by rack'!$F$2:$F$150000&gt;0)),2,1),3,1),"")</f>
        <v/>
      </c>
      <c r="M14" s="24" t="str" cm="1">
        <f t="array" ref="M14">IFERROR(INDEX(_xlfn._xlws.SORT(_xlfn._xlws.FILTER('Stock by rack'!$B$2:$G$150000,('Stock by rack'!$A$2:$A$150000=$A14)*('Stock by rack'!$F$2:$F$150000&gt;0)),2,1),3,5),0)</f>
        <v/>
      </c>
      <c r="N14" s="24">
        <f>SUMIF($A$4:$A13,$A14,$R$4:$R13)+SUMIF($A$4:$A13,$A14,$S$4:$S13)+SUMIF($A$4:$A13,$A14,$T$4:$T13)</f>
        <v>0</v>
      </c>
      <c r="O14" s="24" t="e">
        <f t="shared" si="0"/>
        <v>#VALUE!</v>
      </c>
      <c r="P14" s="24" t="e">
        <f t="shared" si="1"/>
        <v>#VALUE!</v>
      </c>
      <c r="Q14" s="24" t="e">
        <f t="shared" si="2"/>
        <v>#VALUE!</v>
      </c>
      <c r="R14" s="24">
        <f t="shared" si="3"/>
        <v>0</v>
      </c>
      <c r="S14" s="24">
        <f t="shared" si="4"/>
        <v>0</v>
      </c>
      <c r="T14" s="24">
        <f t="shared" si="5"/>
        <v>0</v>
      </c>
    </row>
    <row r="15" spans="1:22" s="24" customFormat="1" ht="24" customHeight="1" x14ac:dyDescent="0.2">
      <c r="A15" s="22"/>
      <c r="B15" s="22"/>
      <c r="C15" s="23" t="str">
        <f t="shared" si="6"/>
        <v/>
      </c>
      <c r="D15" s="22" t="str">
        <f t="shared" si="7"/>
        <v/>
      </c>
      <c r="E15" s="22" t="str">
        <f t="shared" si="8"/>
        <v/>
      </c>
      <c r="F15" s="22"/>
      <c r="H15" s="24" t="str" cm="1">
        <f t="array" ref="H15">IFERROR(INDEX(_xlfn._xlws.SORT(_xlfn._xlws.FILTER('Stock by rack'!$B$2:$G$150000,('Stock by rack'!$A$2:$A$150000=$A15)*('Stock by rack'!$F$2:$F$150000&gt;0)),2,1),1,1),"")</f>
        <v/>
      </c>
      <c r="I15" s="24" t="str" cm="1">
        <f t="array" ref="I15">IFERROR(INDEX(_xlfn._xlws.SORT(_xlfn._xlws.FILTER('Stock by rack'!$B$2:$G$150000,('Stock by rack'!$A$2:$A$150000=$A15)*('Stock by rack'!$F$2:$F$150000&gt;0)),2,1),1,5),0)</f>
        <v/>
      </c>
      <c r="J15" s="24" t="str" cm="1">
        <f t="array" ref="J15">IFERROR(INDEX(_xlfn._xlws.SORT(_xlfn._xlws.FILTER('Stock by rack'!$B$2:$G$150000,('Stock by rack'!$A$2:$A$150000=$A15)*('Stock by rack'!$F$2:$F$150000&gt;0)),2,1),2,1),"")</f>
        <v/>
      </c>
      <c r="K15" s="24" t="str" cm="1">
        <f t="array" ref="K15">IFERROR(INDEX(_xlfn._xlws.SORT(_xlfn._xlws.FILTER('Stock by rack'!$B$2:$G$150000,('Stock by rack'!$A$2:$A$150000=$A15)*('Stock by rack'!$F$2:$F$150000&gt;0)),2,1),2,5),0)</f>
        <v/>
      </c>
      <c r="L15" s="24" t="str" cm="1">
        <f t="array" ref="L15">IFERROR(INDEX(_xlfn._xlws.SORT(_xlfn._xlws.FILTER('Stock by rack'!$B$2:$G$150000,('Stock by rack'!$A$2:$A$150000=$A15)*('Stock by rack'!$F$2:$F$150000&gt;0)),2,1),3,1),"")</f>
        <v/>
      </c>
      <c r="M15" s="24" t="str" cm="1">
        <f t="array" ref="M15">IFERROR(INDEX(_xlfn._xlws.SORT(_xlfn._xlws.FILTER('Stock by rack'!$B$2:$G$150000,('Stock by rack'!$A$2:$A$150000=$A15)*('Stock by rack'!$F$2:$F$150000&gt;0)),2,1),3,5),0)</f>
        <v/>
      </c>
      <c r="N15" s="24">
        <f>SUMIF($A$4:$A14,$A15,$R$4:$R14)+SUMIF($A$4:$A14,$A15,$S$4:$S14)+SUMIF($A$4:$A14,$A15,$T$4:$T14)</f>
        <v>0</v>
      </c>
      <c r="O15" s="24" t="e">
        <f t="shared" si="0"/>
        <v>#VALUE!</v>
      </c>
      <c r="P15" s="24" t="e">
        <f t="shared" si="1"/>
        <v>#VALUE!</v>
      </c>
      <c r="Q15" s="24" t="e">
        <f t="shared" si="2"/>
        <v>#VALUE!</v>
      </c>
      <c r="R15" s="24">
        <f t="shared" si="3"/>
        <v>0</v>
      </c>
      <c r="S15" s="24">
        <f t="shared" si="4"/>
        <v>0</v>
      </c>
      <c r="T15" s="24">
        <f t="shared" si="5"/>
        <v>0</v>
      </c>
      <c r="V15" s="28" t="s">
        <v>46</v>
      </c>
    </row>
    <row r="16" spans="1:22" s="24" customFormat="1" ht="24" customHeight="1" x14ac:dyDescent="0.2">
      <c r="A16" s="21"/>
      <c r="B16" s="21"/>
      <c r="C16" s="25" t="str">
        <f t="shared" si="6"/>
        <v/>
      </c>
      <c r="D16" s="21" t="str">
        <f t="shared" si="7"/>
        <v/>
      </c>
      <c r="E16" s="21" t="str">
        <f t="shared" si="8"/>
        <v/>
      </c>
      <c r="F16" s="21"/>
      <c r="H16" s="24" t="str" cm="1">
        <f t="array" ref="H16">IFERROR(INDEX(_xlfn._xlws.SORT(_xlfn._xlws.FILTER('Stock by rack'!$B$2:$G$150000,('Stock by rack'!$A$2:$A$150000=$A16)*('Stock by rack'!$F$2:$F$150000&gt;0)),2,1),1,1),"")</f>
        <v/>
      </c>
      <c r="I16" s="24" t="str" cm="1">
        <f t="array" ref="I16">IFERROR(INDEX(_xlfn._xlws.SORT(_xlfn._xlws.FILTER('Stock by rack'!$B$2:$G$150000,('Stock by rack'!$A$2:$A$150000=$A16)*('Stock by rack'!$F$2:$F$150000&gt;0)),2,1),1,5),0)</f>
        <v/>
      </c>
      <c r="J16" s="24" t="str" cm="1">
        <f t="array" ref="J16">IFERROR(INDEX(_xlfn._xlws.SORT(_xlfn._xlws.FILTER('Stock by rack'!$B$2:$G$150000,('Stock by rack'!$A$2:$A$150000=$A16)*('Stock by rack'!$F$2:$F$150000&gt;0)),2,1),2,1),"")</f>
        <v/>
      </c>
      <c r="K16" s="24" t="str" cm="1">
        <f t="array" ref="K16">IFERROR(INDEX(_xlfn._xlws.SORT(_xlfn._xlws.FILTER('Stock by rack'!$B$2:$G$150000,('Stock by rack'!$A$2:$A$150000=$A16)*('Stock by rack'!$F$2:$F$150000&gt;0)),2,1),2,5),0)</f>
        <v/>
      </c>
      <c r="L16" s="24" t="str" cm="1">
        <f t="array" ref="L16">IFERROR(INDEX(_xlfn._xlws.SORT(_xlfn._xlws.FILTER('Stock by rack'!$B$2:$G$150000,('Stock by rack'!$A$2:$A$150000=$A16)*('Stock by rack'!$F$2:$F$150000&gt;0)),2,1),3,1),"")</f>
        <v/>
      </c>
      <c r="M16" s="24" t="str" cm="1">
        <f t="array" ref="M16">IFERROR(INDEX(_xlfn._xlws.SORT(_xlfn._xlws.FILTER('Stock by rack'!$B$2:$G$150000,('Stock by rack'!$A$2:$A$150000=$A16)*('Stock by rack'!$F$2:$F$150000&gt;0)),2,1),3,5),0)</f>
        <v/>
      </c>
      <c r="N16" s="24">
        <f>SUMIF($A$4:$A15,$A16,$R$4:$R15)+SUMIF($A$4:$A15,$A16,$S$4:$S15)+SUMIF($A$4:$A15,$A16,$T$4:$T15)</f>
        <v>0</v>
      </c>
      <c r="O16" s="24" t="e">
        <f t="shared" si="0"/>
        <v>#VALUE!</v>
      </c>
      <c r="P16" s="24" t="e">
        <f t="shared" si="1"/>
        <v>#VALUE!</v>
      </c>
      <c r="Q16" s="24" t="e">
        <f t="shared" si="2"/>
        <v>#VALUE!</v>
      </c>
      <c r="R16" s="24">
        <f t="shared" si="3"/>
        <v>0</v>
      </c>
      <c r="S16" s="24">
        <f t="shared" si="4"/>
        <v>0</v>
      </c>
      <c r="T16" s="24">
        <f t="shared" si="5"/>
        <v>0</v>
      </c>
      <c r="V16" s="27" t="s">
        <v>47</v>
      </c>
    </row>
    <row r="17" spans="1:22" s="24" customFormat="1" ht="24" customHeight="1" x14ac:dyDescent="0.2">
      <c r="A17" s="22"/>
      <c r="B17" s="22"/>
      <c r="C17" s="23" t="str">
        <f t="shared" si="6"/>
        <v/>
      </c>
      <c r="D17" s="22" t="str">
        <f t="shared" si="7"/>
        <v/>
      </c>
      <c r="E17" s="22" t="str">
        <f t="shared" si="8"/>
        <v/>
      </c>
      <c r="F17" s="22"/>
      <c r="H17" s="24" t="str" cm="1">
        <f t="array" ref="H17">IFERROR(INDEX(_xlfn._xlws.SORT(_xlfn._xlws.FILTER('Stock by rack'!$B$2:$G$150000,('Stock by rack'!$A$2:$A$150000=$A17)*('Stock by rack'!$F$2:$F$150000&gt;0)),2,1),1,1),"")</f>
        <v/>
      </c>
      <c r="I17" s="24" t="str" cm="1">
        <f t="array" ref="I17">IFERROR(INDEX(_xlfn._xlws.SORT(_xlfn._xlws.FILTER('Stock by rack'!$B$2:$G$150000,('Stock by rack'!$A$2:$A$150000=$A17)*('Stock by rack'!$F$2:$F$150000&gt;0)),2,1),1,5),0)</f>
        <v/>
      </c>
      <c r="J17" s="24" t="str" cm="1">
        <f t="array" ref="J17">IFERROR(INDEX(_xlfn._xlws.SORT(_xlfn._xlws.FILTER('Stock by rack'!$B$2:$G$150000,('Stock by rack'!$A$2:$A$150000=$A17)*('Stock by rack'!$F$2:$F$150000&gt;0)),2,1),2,1),"")</f>
        <v/>
      </c>
      <c r="K17" s="24" t="str" cm="1">
        <f t="array" ref="K17">IFERROR(INDEX(_xlfn._xlws.SORT(_xlfn._xlws.FILTER('Stock by rack'!$B$2:$G$150000,('Stock by rack'!$A$2:$A$150000=$A17)*('Stock by rack'!$F$2:$F$150000&gt;0)),2,1),2,5),0)</f>
        <v/>
      </c>
      <c r="L17" s="24" t="str" cm="1">
        <f t="array" ref="L17">IFERROR(INDEX(_xlfn._xlws.SORT(_xlfn._xlws.FILTER('Stock by rack'!$B$2:$G$150000,('Stock by rack'!$A$2:$A$150000=$A17)*('Stock by rack'!$F$2:$F$150000&gt;0)),2,1),3,1),"")</f>
        <v/>
      </c>
      <c r="M17" s="24" t="str" cm="1">
        <f t="array" ref="M17">IFERROR(INDEX(_xlfn._xlws.SORT(_xlfn._xlws.FILTER('Stock by rack'!$B$2:$G$150000,('Stock by rack'!$A$2:$A$150000=$A17)*('Stock by rack'!$F$2:$F$150000&gt;0)),2,1),3,5),0)</f>
        <v/>
      </c>
      <c r="N17" s="24">
        <f>SUMIF($A$4:$A16,$A17,$R$4:$R16)+SUMIF($A$4:$A16,$A17,$S$4:$S16)+SUMIF($A$4:$A16,$A17,$T$4:$T16)</f>
        <v>0</v>
      </c>
      <c r="O17" s="24" t="e">
        <f t="shared" si="0"/>
        <v>#VALUE!</v>
      </c>
      <c r="P17" s="24" t="e">
        <f t="shared" si="1"/>
        <v>#VALUE!</v>
      </c>
      <c r="Q17" s="24" t="e">
        <f t="shared" si="2"/>
        <v>#VALUE!</v>
      </c>
      <c r="R17" s="24">
        <f t="shared" si="3"/>
        <v>0</v>
      </c>
      <c r="S17" s="24">
        <f t="shared" si="4"/>
        <v>0</v>
      </c>
      <c r="T17" s="24">
        <f t="shared" si="5"/>
        <v>0</v>
      </c>
      <c r="V17" s="27" t="s">
        <v>48</v>
      </c>
    </row>
    <row r="18" spans="1:22" s="24" customFormat="1" ht="24" customHeight="1" x14ac:dyDescent="0.2">
      <c r="A18" s="21"/>
      <c r="B18" s="21"/>
      <c r="C18" s="25" t="str">
        <f t="shared" si="6"/>
        <v/>
      </c>
      <c r="D18" s="21" t="str">
        <f t="shared" si="7"/>
        <v/>
      </c>
      <c r="E18" s="21" t="str">
        <f t="shared" si="8"/>
        <v/>
      </c>
      <c r="F18" s="21"/>
      <c r="H18" s="24" t="str" cm="1">
        <f t="array" ref="H18">IFERROR(INDEX(_xlfn._xlws.SORT(_xlfn._xlws.FILTER('Stock by rack'!$B$2:$G$150000,('Stock by rack'!$A$2:$A$150000=$A18)*('Stock by rack'!$F$2:$F$150000&gt;0)),2,1),1,1),"")</f>
        <v/>
      </c>
      <c r="I18" s="24" t="str" cm="1">
        <f t="array" ref="I18">IFERROR(INDEX(_xlfn._xlws.SORT(_xlfn._xlws.FILTER('Stock by rack'!$B$2:$G$150000,('Stock by rack'!$A$2:$A$150000=$A18)*('Stock by rack'!$F$2:$F$150000&gt;0)),2,1),1,5),0)</f>
        <v/>
      </c>
      <c r="J18" s="24" t="str" cm="1">
        <f t="array" ref="J18">IFERROR(INDEX(_xlfn._xlws.SORT(_xlfn._xlws.FILTER('Stock by rack'!$B$2:$G$150000,('Stock by rack'!$A$2:$A$150000=$A18)*('Stock by rack'!$F$2:$F$150000&gt;0)),2,1),2,1),"")</f>
        <v/>
      </c>
      <c r="K18" s="24" t="str" cm="1">
        <f t="array" ref="K18">IFERROR(INDEX(_xlfn._xlws.SORT(_xlfn._xlws.FILTER('Stock by rack'!$B$2:$G$150000,('Stock by rack'!$A$2:$A$150000=$A18)*('Stock by rack'!$F$2:$F$150000&gt;0)),2,1),2,5),0)</f>
        <v/>
      </c>
      <c r="L18" s="24" t="str" cm="1">
        <f t="array" ref="L18">IFERROR(INDEX(_xlfn._xlws.SORT(_xlfn._xlws.FILTER('Stock by rack'!$B$2:$G$150000,('Stock by rack'!$A$2:$A$150000=$A18)*('Stock by rack'!$F$2:$F$150000&gt;0)),2,1),3,1),"")</f>
        <v/>
      </c>
      <c r="M18" s="24" t="str" cm="1">
        <f t="array" ref="M18">IFERROR(INDEX(_xlfn._xlws.SORT(_xlfn._xlws.FILTER('Stock by rack'!$B$2:$G$150000,('Stock by rack'!$A$2:$A$150000=$A18)*('Stock by rack'!$F$2:$F$150000&gt;0)),2,1),3,5),0)</f>
        <v/>
      </c>
      <c r="N18" s="24">
        <f>SUMIF($A$4:$A17,$A18,$R$4:$R17)+SUMIF($A$4:$A17,$A18,$S$4:$S17)+SUMIF($A$4:$A17,$A18,$T$4:$T17)</f>
        <v>0</v>
      </c>
      <c r="O18" s="24" t="e">
        <f t="shared" si="0"/>
        <v>#VALUE!</v>
      </c>
      <c r="P18" s="24" t="e">
        <f t="shared" si="1"/>
        <v>#VALUE!</v>
      </c>
      <c r="Q18" s="24" t="e">
        <f t="shared" si="2"/>
        <v>#VALUE!</v>
      </c>
      <c r="R18" s="24">
        <f t="shared" si="3"/>
        <v>0</v>
      </c>
      <c r="S18" s="24">
        <f t="shared" si="4"/>
        <v>0</v>
      </c>
      <c r="T18" s="24">
        <f t="shared" si="5"/>
        <v>0</v>
      </c>
      <c r="V18" s="27" t="s">
        <v>49</v>
      </c>
    </row>
    <row r="19" spans="1:22" s="24" customFormat="1" ht="24" customHeight="1" x14ac:dyDescent="0.2">
      <c r="A19" s="22"/>
      <c r="B19" s="22"/>
      <c r="C19" s="23" t="str">
        <f t="shared" si="6"/>
        <v/>
      </c>
      <c r="D19" s="22" t="str">
        <f t="shared" si="7"/>
        <v/>
      </c>
      <c r="E19" s="22" t="str">
        <f t="shared" si="8"/>
        <v/>
      </c>
      <c r="F19" s="22"/>
      <c r="H19" s="24" t="str" cm="1">
        <f t="array" ref="H19">IFERROR(INDEX(_xlfn._xlws.SORT(_xlfn._xlws.FILTER('Stock by rack'!$B$2:$G$150000,('Stock by rack'!$A$2:$A$150000=$A19)*('Stock by rack'!$F$2:$F$150000&gt;0)),2,1),1,1),"")</f>
        <v/>
      </c>
      <c r="I19" s="24" t="str" cm="1">
        <f t="array" ref="I19">IFERROR(INDEX(_xlfn._xlws.SORT(_xlfn._xlws.FILTER('Stock by rack'!$B$2:$G$150000,('Stock by rack'!$A$2:$A$150000=$A19)*('Stock by rack'!$F$2:$F$150000&gt;0)),2,1),1,5),0)</f>
        <v/>
      </c>
      <c r="J19" s="24" t="str" cm="1">
        <f t="array" ref="J19">IFERROR(INDEX(_xlfn._xlws.SORT(_xlfn._xlws.FILTER('Stock by rack'!$B$2:$G$150000,('Stock by rack'!$A$2:$A$150000=$A19)*('Stock by rack'!$F$2:$F$150000&gt;0)),2,1),2,1),"")</f>
        <v/>
      </c>
      <c r="K19" s="24" t="str" cm="1">
        <f t="array" ref="K19">IFERROR(INDEX(_xlfn._xlws.SORT(_xlfn._xlws.FILTER('Stock by rack'!$B$2:$G$150000,('Stock by rack'!$A$2:$A$150000=$A19)*('Stock by rack'!$F$2:$F$150000&gt;0)),2,1),2,5),0)</f>
        <v/>
      </c>
      <c r="L19" s="24" t="str" cm="1">
        <f t="array" ref="L19">IFERROR(INDEX(_xlfn._xlws.SORT(_xlfn._xlws.FILTER('Stock by rack'!$B$2:$G$150000,('Stock by rack'!$A$2:$A$150000=$A19)*('Stock by rack'!$F$2:$F$150000&gt;0)),2,1),3,1),"")</f>
        <v/>
      </c>
      <c r="M19" s="24" t="str" cm="1">
        <f t="array" ref="M19">IFERROR(INDEX(_xlfn._xlws.SORT(_xlfn._xlws.FILTER('Stock by rack'!$B$2:$G$150000,('Stock by rack'!$A$2:$A$150000=$A19)*('Stock by rack'!$F$2:$F$150000&gt;0)),2,1),3,5),0)</f>
        <v/>
      </c>
      <c r="N19" s="24">
        <f>SUMIF($A$4:$A18,$A19,$R$4:$R18)+SUMIF($A$4:$A18,$A19,$S$4:$S18)+SUMIF($A$4:$A18,$A19,$T$4:$T18)</f>
        <v>0</v>
      </c>
      <c r="O19" s="24" t="e">
        <f t="shared" si="0"/>
        <v>#VALUE!</v>
      </c>
      <c r="P19" s="24" t="e">
        <f t="shared" si="1"/>
        <v>#VALUE!</v>
      </c>
      <c r="Q19" s="24" t="e">
        <f t="shared" si="2"/>
        <v>#VALUE!</v>
      </c>
      <c r="R19" s="24">
        <f t="shared" si="3"/>
        <v>0</v>
      </c>
      <c r="S19" s="24">
        <f t="shared" si="4"/>
        <v>0</v>
      </c>
      <c r="T19" s="24">
        <f t="shared" si="5"/>
        <v>0</v>
      </c>
      <c r="V19" s="27" t="s">
        <v>50</v>
      </c>
    </row>
    <row r="20" spans="1:22" s="24" customFormat="1" ht="24" customHeight="1" x14ac:dyDescent="0.2">
      <c r="A20" s="21"/>
      <c r="B20" s="21"/>
      <c r="C20" s="25" t="str">
        <f t="shared" si="6"/>
        <v/>
      </c>
      <c r="D20" s="21" t="str">
        <f t="shared" si="7"/>
        <v/>
      </c>
      <c r="E20" s="21" t="str">
        <f t="shared" si="8"/>
        <v/>
      </c>
      <c r="F20" s="21"/>
      <c r="H20" s="24" t="str" cm="1">
        <f t="array" ref="H20">IFERROR(INDEX(_xlfn._xlws.SORT(_xlfn._xlws.FILTER('Stock by rack'!$B$2:$G$150000,('Stock by rack'!$A$2:$A$150000=$A20)*('Stock by rack'!$F$2:$F$150000&gt;0)),2,1),1,1),"")</f>
        <v/>
      </c>
      <c r="I20" s="24" t="str" cm="1">
        <f t="array" ref="I20">IFERROR(INDEX(_xlfn._xlws.SORT(_xlfn._xlws.FILTER('Stock by rack'!$B$2:$G$150000,('Stock by rack'!$A$2:$A$150000=$A20)*('Stock by rack'!$F$2:$F$150000&gt;0)),2,1),1,5),0)</f>
        <v/>
      </c>
      <c r="J20" s="24" t="str" cm="1">
        <f t="array" ref="J20">IFERROR(INDEX(_xlfn._xlws.SORT(_xlfn._xlws.FILTER('Stock by rack'!$B$2:$G$150000,('Stock by rack'!$A$2:$A$150000=$A20)*('Stock by rack'!$F$2:$F$150000&gt;0)),2,1),2,1),"")</f>
        <v/>
      </c>
      <c r="K20" s="24" t="str" cm="1">
        <f t="array" ref="K20">IFERROR(INDEX(_xlfn._xlws.SORT(_xlfn._xlws.FILTER('Stock by rack'!$B$2:$G$150000,('Stock by rack'!$A$2:$A$150000=$A20)*('Stock by rack'!$F$2:$F$150000&gt;0)),2,1),2,5),0)</f>
        <v/>
      </c>
      <c r="L20" s="24" t="str" cm="1">
        <f t="array" ref="L20">IFERROR(INDEX(_xlfn._xlws.SORT(_xlfn._xlws.FILTER('Stock by rack'!$B$2:$G$150000,('Stock by rack'!$A$2:$A$150000=$A20)*('Stock by rack'!$F$2:$F$150000&gt;0)),2,1),3,1),"")</f>
        <v/>
      </c>
      <c r="M20" s="24" t="str" cm="1">
        <f t="array" ref="M20">IFERROR(INDEX(_xlfn._xlws.SORT(_xlfn._xlws.FILTER('Stock by rack'!$B$2:$G$150000,('Stock by rack'!$A$2:$A$150000=$A20)*('Stock by rack'!$F$2:$F$150000&gt;0)),2,1),3,5),0)</f>
        <v/>
      </c>
      <c r="N20" s="24">
        <f>SUMIF($A$4:$A19,$A20,$R$4:$R19)+SUMIF($A$4:$A19,$A20,$S$4:$S19)+SUMIF($A$4:$A19,$A20,$T$4:$T19)</f>
        <v>0</v>
      </c>
      <c r="O20" s="24" t="e">
        <f t="shared" si="0"/>
        <v>#VALUE!</v>
      </c>
      <c r="P20" s="24" t="e">
        <f t="shared" si="1"/>
        <v>#VALUE!</v>
      </c>
      <c r="Q20" s="24" t="e">
        <f t="shared" si="2"/>
        <v>#VALUE!</v>
      </c>
      <c r="R20" s="24">
        <f t="shared" si="3"/>
        <v>0</v>
      </c>
      <c r="S20" s="24">
        <f t="shared" si="4"/>
        <v>0</v>
      </c>
      <c r="T20" s="24">
        <f t="shared" si="5"/>
        <v>0</v>
      </c>
    </row>
    <row r="21" spans="1:22" s="24" customFormat="1" ht="24" customHeight="1" x14ac:dyDescent="0.2">
      <c r="A21" s="22"/>
      <c r="B21" s="22"/>
      <c r="C21" s="23" t="str">
        <f t="shared" si="6"/>
        <v/>
      </c>
      <c r="D21" s="22" t="str">
        <f t="shared" si="7"/>
        <v/>
      </c>
      <c r="E21" s="22" t="str">
        <f t="shared" si="8"/>
        <v/>
      </c>
      <c r="F21" s="22"/>
      <c r="H21" s="24" t="str" cm="1">
        <f t="array" ref="H21">IFERROR(INDEX(_xlfn._xlws.SORT(_xlfn._xlws.FILTER('Stock by rack'!$B$2:$G$150000,('Stock by rack'!$A$2:$A$150000=$A21)*('Stock by rack'!$F$2:$F$150000&gt;0)),2,1),1,1),"")</f>
        <v/>
      </c>
      <c r="I21" s="24" t="str" cm="1">
        <f t="array" ref="I21">IFERROR(INDEX(_xlfn._xlws.SORT(_xlfn._xlws.FILTER('Stock by rack'!$B$2:$G$150000,('Stock by rack'!$A$2:$A$150000=$A21)*('Stock by rack'!$F$2:$F$150000&gt;0)),2,1),1,5),0)</f>
        <v/>
      </c>
      <c r="J21" s="24" t="str" cm="1">
        <f t="array" ref="J21">IFERROR(INDEX(_xlfn._xlws.SORT(_xlfn._xlws.FILTER('Stock by rack'!$B$2:$G$150000,('Stock by rack'!$A$2:$A$150000=$A21)*('Stock by rack'!$F$2:$F$150000&gt;0)),2,1),2,1),"")</f>
        <v/>
      </c>
      <c r="K21" s="24" t="str" cm="1">
        <f t="array" ref="K21">IFERROR(INDEX(_xlfn._xlws.SORT(_xlfn._xlws.FILTER('Stock by rack'!$B$2:$G$150000,('Stock by rack'!$A$2:$A$150000=$A21)*('Stock by rack'!$F$2:$F$150000&gt;0)),2,1),2,5),0)</f>
        <v/>
      </c>
      <c r="L21" s="24" t="str" cm="1">
        <f t="array" ref="L21">IFERROR(INDEX(_xlfn._xlws.SORT(_xlfn._xlws.FILTER('Stock by rack'!$B$2:$G$150000,('Stock by rack'!$A$2:$A$150000=$A21)*('Stock by rack'!$F$2:$F$150000&gt;0)),2,1),3,1),"")</f>
        <v/>
      </c>
      <c r="M21" s="24" t="str" cm="1">
        <f t="array" ref="M21">IFERROR(INDEX(_xlfn._xlws.SORT(_xlfn._xlws.FILTER('Stock by rack'!$B$2:$G$150000,('Stock by rack'!$A$2:$A$150000=$A21)*('Stock by rack'!$F$2:$F$150000&gt;0)),2,1),3,5),0)</f>
        <v/>
      </c>
      <c r="N21" s="24">
        <f>SUMIF($A$4:$A20,$A21,$R$4:$R20)+SUMIF($A$4:$A20,$A21,$S$4:$S20)+SUMIF($A$4:$A20,$A21,$T$4:$T20)</f>
        <v>0</v>
      </c>
      <c r="O21" s="24" t="e">
        <f t="shared" si="0"/>
        <v>#VALUE!</v>
      </c>
      <c r="P21" s="24" t="e">
        <f t="shared" si="1"/>
        <v>#VALUE!</v>
      </c>
      <c r="Q21" s="24" t="e">
        <f t="shared" si="2"/>
        <v>#VALUE!</v>
      </c>
      <c r="R21" s="24">
        <f t="shared" si="3"/>
        <v>0</v>
      </c>
      <c r="S21" s="24">
        <f t="shared" si="4"/>
        <v>0</v>
      </c>
      <c r="T21" s="24">
        <f t="shared" si="5"/>
        <v>0</v>
      </c>
    </row>
    <row r="22" spans="1:22" s="24" customFormat="1" ht="24" customHeight="1" x14ac:dyDescent="0.2">
      <c r="A22" s="21"/>
      <c r="B22" s="21"/>
      <c r="C22" s="25" t="str">
        <f t="shared" si="6"/>
        <v/>
      </c>
      <c r="D22" s="21" t="str">
        <f t="shared" si="7"/>
        <v/>
      </c>
      <c r="E22" s="21" t="str">
        <f t="shared" si="8"/>
        <v/>
      </c>
      <c r="F22" s="21"/>
      <c r="H22" s="24" t="str" cm="1">
        <f t="array" ref="H22">IFERROR(INDEX(_xlfn._xlws.SORT(_xlfn._xlws.FILTER('Stock by rack'!$B$2:$G$150000,('Stock by rack'!$A$2:$A$150000=$A22)*('Stock by rack'!$F$2:$F$150000&gt;0)),2,1),1,1),"")</f>
        <v/>
      </c>
      <c r="I22" s="24" t="str" cm="1">
        <f t="array" ref="I22">IFERROR(INDEX(_xlfn._xlws.SORT(_xlfn._xlws.FILTER('Stock by rack'!$B$2:$G$150000,('Stock by rack'!$A$2:$A$150000=$A22)*('Stock by rack'!$F$2:$F$150000&gt;0)),2,1),1,5),0)</f>
        <v/>
      </c>
      <c r="J22" s="24" t="str" cm="1">
        <f t="array" ref="J22">IFERROR(INDEX(_xlfn._xlws.SORT(_xlfn._xlws.FILTER('Stock by rack'!$B$2:$G$150000,('Stock by rack'!$A$2:$A$150000=$A22)*('Stock by rack'!$F$2:$F$150000&gt;0)),2,1),2,1),"")</f>
        <v/>
      </c>
      <c r="K22" s="24" t="str" cm="1">
        <f t="array" ref="K22">IFERROR(INDEX(_xlfn._xlws.SORT(_xlfn._xlws.FILTER('Stock by rack'!$B$2:$G$150000,('Stock by rack'!$A$2:$A$150000=$A22)*('Stock by rack'!$F$2:$F$150000&gt;0)),2,1),2,5),0)</f>
        <v/>
      </c>
      <c r="L22" s="24" t="str" cm="1">
        <f t="array" ref="L22">IFERROR(INDEX(_xlfn._xlws.SORT(_xlfn._xlws.FILTER('Stock by rack'!$B$2:$G$150000,('Stock by rack'!$A$2:$A$150000=$A22)*('Stock by rack'!$F$2:$F$150000&gt;0)),2,1),3,1),"")</f>
        <v/>
      </c>
      <c r="M22" s="24" t="str" cm="1">
        <f t="array" ref="M22">IFERROR(INDEX(_xlfn._xlws.SORT(_xlfn._xlws.FILTER('Stock by rack'!$B$2:$G$150000,('Stock by rack'!$A$2:$A$150000=$A22)*('Stock by rack'!$F$2:$F$150000&gt;0)),2,1),3,5),0)</f>
        <v/>
      </c>
      <c r="N22" s="24">
        <f>SUMIF($A$4:$A21,$A22,$R$4:$R21)+SUMIF($A$4:$A21,$A22,$S$4:$S21)+SUMIF($A$4:$A21,$A22,$T$4:$T21)</f>
        <v>0</v>
      </c>
      <c r="O22" s="24" t="e">
        <f t="shared" si="0"/>
        <v>#VALUE!</v>
      </c>
      <c r="P22" s="24" t="e">
        <f t="shared" si="1"/>
        <v>#VALUE!</v>
      </c>
      <c r="Q22" s="24" t="e">
        <f t="shared" si="2"/>
        <v>#VALUE!</v>
      </c>
      <c r="R22" s="24">
        <f t="shared" si="3"/>
        <v>0</v>
      </c>
      <c r="S22" s="24">
        <f t="shared" si="4"/>
        <v>0</v>
      </c>
      <c r="T22" s="24">
        <f t="shared" si="5"/>
        <v>0</v>
      </c>
    </row>
    <row r="23" spans="1:22" s="24" customFormat="1" ht="24" customHeight="1" x14ac:dyDescent="0.2">
      <c r="A23" s="22"/>
      <c r="B23" s="22"/>
      <c r="C23" s="23" t="str">
        <f t="shared" si="6"/>
        <v/>
      </c>
      <c r="D23" s="22" t="str">
        <f t="shared" si="7"/>
        <v/>
      </c>
      <c r="E23" s="22" t="str">
        <f t="shared" si="8"/>
        <v/>
      </c>
      <c r="F23" s="22"/>
      <c r="H23" s="24" t="str" cm="1">
        <f t="array" ref="H23">IFERROR(INDEX(_xlfn._xlws.SORT(_xlfn._xlws.FILTER('Stock by rack'!$B$2:$G$150000,('Stock by rack'!$A$2:$A$150000=$A23)*('Stock by rack'!$F$2:$F$150000&gt;0)),2,1),1,1),"")</f>
        <v/>
      </c>
      <c r="I23" s="24" t="str" cm="1">
        <f t="array" ref="I23">IFERROR(INDEX(_xlfn._xlws.SORT(_xlfn._xlws.FILTER('Stock by rack'!$B$2:$G$150000,('Stock by rack'!$A$2:$A$150000=$A23)*('Stock by rack'!$F$2:$F$150000&gt;0)),2,1),1,5),0)</f>
        <v/>
      </c>
      <c r="J23" s="24" t="str" cm="1">
        <f t="array" ref="J23">IFERROR(INDEX(_xlfn._xlws.SORT(_xlfn._xlws.FILTER('Stock by rack'!$B$2:$G$150000,('Stock by rack'!$A$2:$A$150000=$A23)*('Stock by rack'!$F$2:$F$150000&gt;0)),2,1),2,1),"")</f>
        <v/>
      </c>
      <c r="K23" s="24" t="str" cm="1">
        <f t="array" ref="K23">IFERROR(INDEX(_xlfn._xlws.SORT(_xlfn._xlws.FILTER('Stock by rack'!$B$2:$G$150000,('Stock by rack'!$A$2:$A$150000=$A23)*('Stock by rack'!$F$2:$F$150000&gt;0)),2,1),2,5),0)</f>
        <v/>
      </c>
      <c r="L23" s="24" t="str" cm="1">
        <f t="array" ref="L23">IFERROR(INDEX(_xlfn._xlws.SORT(_xlfn._xlws.FILTER('Stock by rack'!$B$2:$G$150000,('Stock by rack'!$A$2:$A$150000=$A23)*('Stock by rack'!$F$2:$F$150000&gt;0)),2,1),3,1),"")</f>
        <v/>
      </c>
      <c r="M23" s="24" t="str" cm="1">
        <f t="array" ref="M23">IFERROR(INDEX(_xlfn._xlws.SORT(_xlfn._xlws.FILTER('Stock by rack'!$B$2:$G$150000,('Stock by rack'!$A$2:$A$150000=$A23)*('Stock by rack'!$F$2:$F$150000&gt;0)),2,1),3,5),0)</f>
        <v/>
      </c>
      <c r="N23" s="24">
        <f>SUMIF($A$4:$A22,$A23,$R$4:$R22)+SUMIF($A$4:$A22,$A23,$S$4:$S22)+SUMIF($A$4:$A22,$A23,$T$4:$T22)</f>
        <v>0</v>
      </c>
      <c r="O23" s="24" t="e">
        <f t="shared" si="0"/>
        <v>#VALUE!</v>
      </c>
      <c r="P23" s="24" t="e">
        <f t="shared" si="1"/>
        <v>#VALUE!</v>
      </c>
      <c r="Q23" s="24" t="e">
        <f t="shared" si="2"/>
        <v>#VALUE!</v>
      </c>
      <c r="R23" s="24">
        <f t="shared" si="3"/>
        <v>0</v>
      </c>
      <c r="S23" s="24">
        <f t="shared" si="4"/>
        <v>0</v>
      </c>
      <c r="T23" s="24">
        <f t="shared" si="5"/>
        <v>0</v>
      </c>
    </row>
    <row r="24" spans="1:22" x14ac:dyDescent="0.2">
      <c r="H24" t="str" cm="1">
        <f t="array" ref="H24">IFERROR(INDEX(_xlfn._xlws.SORT(_xlfn._xlws.FILTER('Stock by rack'!$B$2:$G$150000,('Stock by rack'!$A$2:$A$150000=$A24)*('Stock by rack'!$F$2:$F$150000&gt;0)),2,1),1,1),"")</f>
        <v/>
      </c>
      <c r="I24" t="str" cm="1">
        <f t="array" ref="I24">IFERROR(INDEX(_xlfn._xlws.SORT(_xlfn._xlws.FILTER('Stock by rack'!$B$2:$G$150000,('Stock by rack'!$A$2:$A$150000=$A24)*('Stock by rack'!$F$2:$F$150000&gt;0)),2,1),1,5),0)</f>
        <v/>
      </c>
      <c r="J24" t="str" cm="1">
        <f t="array" ref="J24">IFERROR(INDEX(_xlfn._xlws.SORT(_xlfn._xlws.FILTER('Stock by rack'!$B$2:$G$150000,('Stock by rack'!$A$2:$A$150000=$A24)*('Stock by rack'!$F$2:$F$150000&gt;0)),2,1),2,1),"")</f>
        <v/>
      </c>
      <c r="K24" t="str" cm="1">
        <f t="array" ref="K24">IFERROR(INDEX(_xlfn._xlws.SORT(_xlfn._xlws.FILTER('Stock by rack'!$B$2:$G$150000,('Stock by rack'!$A$2:$A$150000=$A24)*('Stock by rack'!$F$2:$F$150000&gt;0)),2,1),2,5),0)</f>
        <v/>
      </c>
      <c r="L24" t="str" cm="1">
        <f t="array" ref="L24">IFERROR(INDEX(_xlfn._xlws.SORT(_xlfn._xlws.FILTER('Stock by rack'!$B$2:$G$150000,('Stock by rack'!$A$2:$A$150000=$A24)*('Stock by rack'!$F$2:$F$150000&gt;0)),2,1),3,1),"")</f>
        <v/>
      </c>
      <c r="M24" t="str" cm="1">
        <f t="array" ref="M24">IFERROR(INDEX(_xlfn._xlws.SORT(_xlfn._xlws.FILTER('Stock by rack'!$B$2:$G$150000,('Stock by rack'!$A$2:$A$150000=$A24)*('Stock by rack'!$F$2:$F$150000&gt;0)),2,1),3,5),0)</f>
        <v/>
      </c>
    </row>
    <row r="25" spans="1:22" x14ac:dyDescent="0.2">
      <c r="A25" s="1" t="s">
        <v>39</v>
      </c>
      <c r="H25" t="str" cm="1">
        <f t="array" ref="H25">IFERROR(INDEX(_xlfn._xlws.SORT(_xlfn._xlws.FILTER('Stock by rack'!$B$2:$G$150000,('Stock by rack'!$A$2:$A$150000=$A25)*('Stock by rack'!$F$2:$F$150000&gt;0)),2,1),1,1),"")</f>
        <v/>
      </c>
      <c r="I25" cm="1">
        <f t="array" ref="I25">IFERROR(INDEX(_xlfn._xlws.SORT(_xlfn._xlws.FILTER('Stock by rack'!$B$2:$G$150000,('Stock by rack'!$A$2:$A$150000=$A25)*('Stock by rack'!$F$2:$F$150000&gt;0)),2,1),1,5),0)</f>
        <v>0</v>
      </c>
      <c r="J25" t="str" cm="1">
        <f t="array" ref="J25">IFERROR(INDEX(_xlfn._xlws.SORT(_xlfn._xlws.FILTER('Stock by rack'!$B$2:$G$150000,('Stock by rack'!$A$2:$A$150000=$A25)*('Stock by rack'!$F$2:$F$150000&gt;0)),2,1),2,1),"")</f>
        <v/>
      </c>
      <c r="K25" cm="1">
        <f t="array" ref="K25">IFERROR(INDEX(_xlfn._xlws.SORT(_xlfn._xlws.FILTER('Stock by rack'!$B$2:$G$150000,('Stock by rack'!$A$2:$A$150000=$A25)*('Stock by rack'!$F$2:$F$150000&gt;0)),2,1),2,5),0)</f>
        <v>0</v>
      </c>
      <c r="L25" t="str" cm="1">
        <f t="array" ref="L25">IFERROR(INDEX(_xlfn._xlws.SORT(_xlfn._xlws.FILTER('Stock by rack'!$B$2:$G$150000,('Stock by rack'!$A$2:$A$150000=$A25)*('Stock by rack'!$F$2:$F$150000&gt;0)),2,1),3,1),"")</f>
        <v/>
      </c>
      <c r="M25" cm="1">
        <f t="array" ref="M25">IFERROR(INDEX(_xlfn._xlws.SORT(_xlfn._xlws.FILTER('Stock by rack'!$B$2:$G$150000,('Stock by rack'!$A$2:$A$150000=$A25)*('Stock by rack'!$F$2:$F$150000&gt;0)),2,1),3,5),0)</f>
        <v>0</v>
      </c>
    </row>
    <row r="26" spans="1:22" x14ac:dyDescent="0.2">
      <c r="A26" t="s">
        <v>15</v>
      </c>
      <c r="H26" t="str" cm="1">
        <f t="array" ref="H26">IFERROR(INDEX(_xlfn._xlws.SORT(_xlfn._xlws.FILTER('Stock by rack'!$B$2:$G$150000,('Stock by rack'!$A$2:$A$150000=$A26)*('Stock by rack'!$F$2:$F$150000&gt;0)),2,1),1,1),"")</f>
        <v/>
      </c>
      <c r="I26" cm="1">
        <f t="array" ref="I26">IFERROR(INDEX(_xlfn._xlws.SORT(_xlfn._xlws.FILTER('Stock by rack'!$B$2:$G$150000,('Stock by rack'!$A$2:$A$150000=$A26)*('Stock by rack'!$F$2:$F$150000&gt;0)),2,1),1,5),0)</f>
        <v>0</v>
      </c>
      <c r="J26" t="str" cm="1">
        <f t="array" ref="J26">IFERROR(INDEX(_xlfn._xlws.SORT(_xlfn._xlws.FILTER('Stock by rack'!$B$2:$G$150000,('Stock by rack'!$A$2:$A$150000=$A26)*('Stock by rack'!$F$2:$F$150000&gt;0)),2,1),2,1),"")</f>
        <v/>
      </c>
      <c r="K26" cm="1">
        <f t="array" ref="K26">IFERROR(INDEX(_xlfn._xlws.SORT(_xlfn._xlws.FILTER('Stock by rack'!$B$2:$G$150000,('Stock by rack'!$A$2:$A$150000=$A26)*('Stock by rack'!$F$2:$F$150000&gt;0)),2,1),2,5),0)</f>
        <v>0</v>
      </c>
      <c r="L26" t="str" cm="1">
        <f t="array" ref="L26">IFERROR(INDEX(_xlfn._xlws.SORT(_xlfn._xlws.FILTER('Stock by rack'!$B$2:$G$150000,('Stock by rack'!$A$2:$A$150000=$A26)*('Stock by rack'!$F$2:$F$150000&gt;0)),2,1),3,1),"")</f>
        <v/>
      </c>
      <c r="M26" cm="1">
        <f t="array" ref="M26">IFERROR(INDEX(_xlfn._xlws.SORT(_xlfn._xlws.FILTER('Stock by rack'!$B$2:$G$150000,('Stock by rack'!$A$2:$A$150000=$A26)*('Stock by rack'!$F$2:$F$150000&gt;0)),2,1),3,5),0)</f>
        <v>0</v>
      </c>
    </row>
    <row r="27" spans="1:22" x14ac:dyDescent="0.2">
      <c r="A27" t="s">
        <v>16</v>
      </c>
      <c r="H27" t="str" cm="1">
        <f t="array" ref="H27">IFERROR(INDEX(_xlfn._xlws.SORT(_xlfn._xlws.FILTER('Stock by rack'!$B$2:$G$150000,('Stock by rack'!$A$2:$A$150000=$A27)*('Stock by rack'!$F$2:$F$150000&gt;0)),2,1),1,1),"")</f>
        <v/>
      </c>
      <c r="I27" cm="1">
        <f t="array" ref="I27">IFERROR(INDEX(_xlfn._xlws.SORT(_xlfn._xlws.FILTER('Stock by rack'!$B$2:$G$150000,('Stock by rack'!$A$2:$A$150000=$A27)*('Stock by rack'!$F$2:$F$150000&gt;0)),2,1),1,5),0)</f>
        <v>0</v>
      </c>
      <c r="J27" t="str" cm="1">
        <f t="array" ref="J27">IFERROR(INDEX(_xlfn._xlws.SORT(_xlfn._xlws.FILTER('Stock by rack'!$B$2:$G$150000,('Stock by rack'!$A$2:$A$150000=$A27)*('Stock by rack'!$F$2:$F$150000&gt;0)),2,1),2,1),"")</f>
        <v/>
      </c>
      <c r="K27" cm="1">
        <f t="array" ref="K27">IFERROR(INDEX(_xlfn._xlws.SORT(_xlfn._xlws.FILTER('Stock by rack'!$B$2:$G$150000,('Stock by rack'!$A$2:$A$150000=$A27)*('Stock by rack'!$F$2:$F$150000&gt;0)),2,1),2,5),0)</f>
        <v>0</v>
      </c>
      <c r="L27" t="str" cm="1">
        <f t="array" ref="L27">IFERROR(INDEX(_xlfn._xlws.SORT(_xlfn._xlws.FILTER('Stock by rack'!$B$2:$G$150000,('Stock by rack'!$A$2:$A$150000=$A27)*('Stock by rack'!$F$2:$F$150000&gt;0)),2,1),3,1),"")</f>
        <v/>
      </c>
      <c r="M27" cm="1">
        <f t="array" ref="M27">IFERROR(INDEX(_xlfn._xlws.SORT(_xlfn._xlws.FILTER('Stock by rack'!$B$2:$G$150000,('Stock by rack'!$A$2:$A$150000=$A27)*('Stock by rack'!$F$2:$F$150000&gt;0)),2,1),3,5),0)</f>
        <v>0</v>
      </c>
    </row>
    <row r="28" spans="1:22" x14ac:dyDescent="0.2">
      <c r="A28" t="s">
        <v>18</v>
      </c>
      <c r="H28" t="str" cm="1">
        <f t="array" ref="H28">IFERROR(INDEX(_xlfn._xlws.SORT(_xlfn._xlws.FILTER('Stock by rack'!$B$2:$G$150000,('Stock by rack'!$A$2:$A$150000=$A28)*('Stock by rack'!$F$2:$F$150000&gt;0)),2,1),1,1),"")</f>
        <v/>
      </c>
      <c r="I28" cm="1">
        <f t="array" ref="I28">IFERROR(INDEX(_xlfn._xlws.SORT(_xlfn._xlws.FILTER('Stock by rack'!$B$2:$G$150000,('Stock by rack'!$A$2:$A$150000=$A28)*('Stock by rack'!$F$2:$F$150000&gt;0)),2,1),1,5),0)</f>
        <v>0</v>
      </c>
      <c r="J28" t="str" cm="1">
        <f t="array" ref="J28">IFERROR(INDEX(_xlfn._xlws.SORT(_xlfn._xlws.FILTER('Stock by rack'!$B$2:$G$150000,('Stock by rack'!$A$2:$A$150000=$A28)*('Stock by rack'!$F$2:$F$150000&gt;0)),2,1),2,1),"")</f>
        <v/>
      </c>
      <c r="K28" cm="1">
        <f t="array" ref="K28">IFERROR(INDEX(_xlfn._xlws.SORT(_xlfn._xlws.FILTER('Stock by rack'!$B$2:$G$150000,('Stock by rack'!$A$2:$A$150000=$A28)*('Stock by rack'!$F$2:$F$150000&gt;0)),2,1),2,5),0)</f>
        <v>0</v>
      </c>
      <c r="L28" t="str" cm="1">
        <f t="array" ref="L28">IFERROR(INDEX(_xlfn._xlws.SORT(_xlfn._xlws.FILTER('Stock by rack'!$B$2:$G$150000,('Stock by rack'!$A$2:$A$150000=$A28)*('Stock by rack'!$F$2:$F$150000&gt;0)),2,1),3,1),"")</f>
        <v/>
      </c>
      <c r="M28" cm="1">
        <f t="array" ref="M28">IFERROR(INDEX(_xlfn._xlws.SORT(_xlfn._xlws.FILTER('Stock by rack'!$B$2:$G$150000,('Stock by rack'!$A$2:$A$150000=$A28)*('Stock by rack'!$F$2:$F$150000&gt;0)),2,1),3,5),0)</f>
        <v>0</v>
      </c>
    </row>
    <row r="29" spans="1:22" x14ac:dyDescent="0.2">
      <c r="A29" t="s">
        <v>40</v>
      </c>
      <c r="H29" t="str" cm="1">
        <f t="array" ref="H29">IFERROR(INDEX(_xlfn._xlws.SORT(_xlfn._xlws.FILTER('Stock by rack'!$B$2:$G$150000,('Stock by rack'!$A$2:$A$150000=$A29)*('Stock by rack'!$F$2:$F$150000&gt;0)),2,1),1,1),"")</f>
        <v/>
      </c>
      <c r="I29" cm="1">
        <f t="array" ref="I29">IFERROR(INDEX(_xlfn._xlws.SORT(_xlfn._xlws.FILTER('Stock by rack'!$B$2:$G$150000,('Stock by rack'!$A$2:$A$150000=$A29)*('Stock by rack'!$F$2:$F$150000&gt;0)),2,1),1,5),0)</f>
        <v>0</v>
      </c>
      <c r="J29" t="str" cm="1">
        <f t="array" ref="J29">IFERROR(INDEX(_xlfn._xlws.SORT(_xlfn._xlws.FILTER('Stock by rack'!$B$2:$G$150000,('Stock by rack'!$A$2:$A$150000=$A29)*('Stock by rack'!$F$2:$F$150000&gt;0)),2,1),2,1),"")</f>
        <v/>
      </c>
      <c r="K29" cm="1">
        <f t="array" ref="K29">IFERROR(INDEX(_xlfn._xlws.SORT(_xlfn._xlws.FILTER('Stock by rack'!$B$2:$G$150000,('Stock by rack'!$A$2:$A$150000=$A29)*('Stock by rack'!$F$2:$F$150000&gt;0)),2,1),2,5),0)</f>
        <v>0</v>
      </c>
      <c r="L29" t="str" cm="1">
        <f t="array" ref="L29">IFERROR(INDEX(_xlfn._xlws.SORT(_xlfn._xlws.FILTER('Stock by rack'!$B$2:$G$150000,('Stock by rack'!$A$2:$A$150000=$A29)*('Stock by rack'!$F$2:$F$150000&gt;0)),2,1),3,1),"")</f>
        <v/>
      </c>
      <c r="M29" cm="1">
        <f t="array" ref="M29">IFERROR(INDEX(_xlfn._xlws.SORT(_xlfn._xlws.FILTER('Stock by rack'!$B$2:$G$150000,('Stock by rack'!$A$2:$A$150000=$A29)*('Stock by rack'!$F$2:$F$150000&gt;0)),2,1),3,5),0)</f>
        <v>0</v>
      </c>
    </row>
    <row r="30" spans="1:22" x14ac:dyDescent="0.2">
      <c r="A30" t="s">
        <v>41</v>
      </c>
      <c r="H30" t="str" cm="1">
        <f t="array" ref="H30">IFERROR(INDEX(_xlfn._xlws.SORT(_xlfn._xlws.FILTER('Stock by rack'!$B$2:$G$150000,('Stock by rack'!$A$2:$A$150000=$A30)*('Stock by rack'!$F$2:$F$150000&gt;0)),2,1),1,1),"")</f>
        <v/>
      </c>
      <c r="I30" cm="1">
        <f t="array" ref="I30">IFERROR(INDEX(_xlfn._xlws.SORT(_xlfn._xlws.FILTER('Stock by rack'!$B$2:$G$150000,('Stock by rack'!$A$2:$A$150000=$A30)*('Stock by rack'!$F$2:$F$150000&gt;0)),2,1),1,5),0)</f>
        <v>0</v>
      </c>
      <c r="J30" t="str" cm="1">
        <f t="array" ref="J30">IFERROR(INDEX(_xlfn._xlws.SORT(_xlfn._xlws.FILTER('Stock by rack'!$B$2:$G$150000,('Stock by rack'!$A$2:$A$150000=$A30)*('Stock by rack'!$F$2:$F$150000&gt;0)),2,1),2,1),"")</f>
        <v/>
      </c>
      <c r="K30" cm="1">
        <f t="array" ref="K30">IFERROR(INDEX(_xlfn._xlws.SORT(_xlfn._xlws.FILTER('Stock by rack'!$B$2:$G$150000,('Stock by rack'!$A$2:$A$150000=$A30)*('Stock by rack'!$F$2:$F$150000&gt;0)),2,1),2,5),0)</f>
        <v>0</v>
      </c>
      <c r="L30" t="str" cm="1">
        <f t="array" ref="L30">IFERROR(INDEX(_xlfn._xlws.SORT(_xlfn._xlws.FILTER('Stock by rack'!$B$2:$G$150000,('Stock by rack'!$A$2:$A$150000=$A30)*('Stock by rack'!$F$2:$F$150000&gt;0)),2,1),3,1),"")</f>
        <v/>
      </c>
      <c r="M30" cm="1">
        <f t="array" ref="M30">IFERROR(INDEX(_xlfn._xlws.SORT(_xlfn._xlws.FILTER('Stock by rack'!$B$2:$G$150000,('Stock by rack'!$A$2:$A$150000=$A30)*('Stock by rack'!$F$2:$F$150000&gt;0)),2,1),3,5),0)</f>
        <v>0</v>
      </c>
    </row>
    <row r="31" spans="1:22" x14ac:dyDescent="0.2">
      <c r="A31" t="s">
        <v>42</v>
      </c>
      <c r="H31" t="str" cm="1">
        <f t="array" ref="H31">IFERROR(INDEX(_xlfn._xlws.SORT(_xlfn._xlws.FILTER('Stock by rack'!$B$2:$G$150000,('Stock by rack'!$A$2:$A$150000=$A31)*('Stock by rack'!$F$2:$F$150000&gt;0)),2,1),1,1),"")</f>
        <v/>
      </c>
      <c r="I31" cm="1">
        <f t="array" ref="I31">IFERROR(INDEX(_xlfn._xlws.SORT(_xlfn._xlws.FILTER('Stock by rack'!$B$2:$G$150000,('Stock by rack'!$A$2:$A$150000=$A31)*('Stock by rack'!$F$2:$F$150000&gt;0)),2,1),1,5),0)</f>
        <v>0</v>
      </c>
      <c r="J31" t="str" cm="1">
        <f t="array" ref="J31">IFERROR(INDEX(_xlfn._xlws.SORT(_xlfn._xlws.FILTER('Stock by rack'!$B$2:$G$150000,('Stock by rack'!$A$2:$A$150000=$A31)*('Stock by rack'!$F$2:$F$150000&gt;0)),2,1),2,1),"")</f>
        <v/>
      </c>
      <c r="K31" cm="1">
        <f t="array" ref="K31">IFERROR(INDEX(_xlfn._xlws.SORT(_xlfn._xlws.FILTER('Stock by rack'!$B$2:$G$150000,('Stock by rack'!$A$2:$A$150000=$A31)*('Stock by rack'!$F$2:$F$150000&gt;0)),2,1),2,5),0)</f>
        <v>0</v>
      </c>
      <c r="L31" t="str" cm="1">
        <f t="array" ref="L31">IFERROR(INDEX(_xlfn._xlws.SORT(_xlfn._xlws.FILTER('Stock by rack'!$B$2:$G$150000,('Stock by rack'!$A$2:$A$150000=$A31)*('Stock by rack'!$F$2:$F$150000&gt;0)),2,1),3,1),"")</f>
        <v/>
      </c>
      <c r="M31" cm="1">
        <f t="array" ref="M31">IFERROR(INDEX(_xlfn._xlws.SORT(_xlfn._xlws.FILTER('Stock by rack'!$B$2:$G$150000,('Stock by rack'!$A$2:$A$150000=$A31)*('Stock by rack'!$F$2:$F$150000&gt;0)),2,1),3,5),0)</f>
        <v>0</v>
      </c>
    </row>
    <row r="32" spans="1:22" x14ac:dyDescent="0.2">
      <c r="A32" t="s">
        <v>43</v>
      </c>
      <c r="H32" t="str" cm="1">
        <f t="array" ref="H32">IFERROR(INDEX(_xlfn._xlws.SORT(_xlfn._xlws.FILTER('Stock by rack'!$B$2:$G$150000,('Stock by rack'!$A$2:$A$150000=$A32)*('Stock by rack'!$F$2:$F$150000&gt;0)),2,1),1,1),"")</f>
        <v/>
      </c>
      <c r="I32" cm="1">
        <f t="array" ref="I32">IFERROR(INDEX(_xlfn._xlws.SORT(_xlfn._xlws.FILTER('Stock by rack'!$B$2:$G$150000,('Stock by rack'!$A$2:$A$150000=$A32)*('Stock by rack'!$F$2:$F$150000&gt;0)),2,1),1,5),0)</f>
        <v>0</v>
      </c>
      <c r="J32" t="str" cm="1">
        <f t="array" ref="J32">IFERROR(INDEX(_xlfn._xlws.SORT(_xlfn._xlws.FILTER('Stock by rack'!$B$2:$G$150000,('Stock by rack'!$A$2:$A$150000=$A32)*('Stock by rack'!$F$2:$F$150000&gt;0)),2,1),2,1),"")</f>
        <v/>
      </c>
      <c r="K32" cm="1">
        <f t="array" ref="K32">IFERROR(INDEX(_xlfn._xlws.SORT(_xlfn._xlws.FILTER('Stock by rack'!$B$2:$G$150000,('Stock by rack'!$A$2:$A$150000=$A32)*('Stock by rack'!$F$2:$F$150000&gt;0)),2,1),2,5),0)</f>
        <v>0</v>
      </c>
      <c r="L32" t="str" cm="1">
        <f t="array" ref="L32">IFERROR(INDEX(_xlfn._xlws.SORT(_xlfn._xlws.FILTER('Stock by rack'!$B$2:$G$150000,('Stock by rack'!$A$2:$A$150000=$A32)*('Stock by rack'!$F$2:$F$150000&gt;0)),2,1),3,1),"")</f>
        <v/>
      </c>
      <c r="M32" cm="1">
        <f t="array" ref="M32">IFERROR(INDEX(_xlfn._xlws.SORT(_xlfn._xlws.FILTER('Stock by rack'!$B$2:$G$150000,('Stock by rack'!$A$2:$A$150000=$A32)*('Stock by rack'!$F$2:$F$150000&gt;0)),2,1),3,5),0)</f>
        <v>0</v>
      </c>
    </row>
  </sheetData>
  <mergeCells count="1">
    <mergeCell ref="G4:G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ED7046-E57E-49FE-8E7C-5E2F26643F61}">
          <x14:formula1>
            <xm:f>'Stock by rack'!$A:$A</xm:f>
          </x14:formula1>
          <xm:sqref>A4:A23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FC6DA-1093-4764-9ED7-CD00DF4D9A6E}">
  <sheetPr codeName="Sheet7"/>
  <dimension ref="A1:I565"/>
  <sheetViews>
    <sheetView workbookViewId="0">
      <pane ySplit="1" topLeftCell="A2" activePane="bottomLeft" state="frozen"/>
      <selection pane="bottomLeft" activeCell="B8" sqref="B8"/>
    </sheetView>
  </sheetViews>
  <sheetFormatPr baseColWidth="10" defaultColWidth="8.83203125" defaultRowHeight="15" x14ac:dyDescent="0.2"/>
  <cols>
    <col min="1" max="8" width="26.6640625" customWidth="1"/>
    <col min="9" max="9" width="26.6640625" style="34" customWidth="1"/>
  </cols>
  <sheetData>
    <row r="1" spans="1:9" ht="16" x14ac:dyDescent="0.2">
      <c r="A1" s="30" t="s">
        <v>4710</v>
      </c>
      <c r="B1" s="30" t="s">
        <v>188</v>
      </c>
      <c r="C1" s="30" t="s">
        <v>1</v>
      </c>
      <c r="D1" s="30" t="s">
        <v>4712</v>
      </c>
      <c r="E1" s="30" t="s">
        <v>189</v>
      </c>
      <c r="F1" s="30" t="s">
        <v>190</v>
      </c>
      <c r="G1" s="30" t="s">
        <v>191</v>
      </c>
      <c r="H1" s="30" t="s">
        <v>192</v>
      </c>
      <c r="I1" s="33" t="s">
        <v>193</v>
      </c>
    </row>
    <row r="2" spans="1:9" x14ac:dyDescent="0.2">
      <c r="A2" t="s">
        <v>4711</v>
      </c>
      <c r="B2" t="s">
        <v>1656</v>
      </c>
      <c r="C2" t="s">
        <v>194</v>
      </c>
      <c r="D2" t="str">
        <f>C2</f>
        <v>108258427</v>
      </c>
      <c r="E2" t="s">
        <v>195</v>
      </c>
      <c r="F2">
        <f>G2-SUMIFS('Sold out'!K:K,'Sold out'!I:I,'Main Stock'!C2)+SUMIFS('Receiving '!G:G,'Receiving '!E:E,'Main Stock'!C2)</f>
        <v>0</v>
      </c>
      <c r="G2">
        <v>0</v>
      </c>
    </row>
    <row r="3" spans="1:9" x14ac:dyDescent="0.2">
      <c r="A3" t="s">
        <v>4711</v>
      </c>
      <c r="B3" t="s">
        <v>1656</v>
      </c>
      <c r="C3" t="s">
        <v>196</v>
      </c>
      <c r="D3" t="str">
        <f t="shared" ref="D3:D66" si="0">C3</f>
        <v>760038240</v>
      </c>
      <c r="E3" t="s">
        <v>197</v>
      </c>
      <c r="F3">
        <f>G3-SUMIFS('Sold out'!K:K,'Sold out'!I:I,'Main Stock'!C3)+SUMIFS('Receiving '!G:G,'Receiving '!E:E,'Main Stock'!C3)</f>
        <v>18</v>
      </c>
      <c r="G3">
        <v>38</v>
      </c>
      <c r="H3" t="s">
        <v>1278</v>
      </c>
    </row>
    <row r="4" spans="1:9" x14ac:dyDescent="0.2">
      <c r="A4" t="s">
        <v>4711</v>
      </c>
      <c r="B4" t="s">
        <v>1656</v>
      </c>
      <c r="C4" t="s">
        <v>198</v>
      </c>
      <c r="D4" t="str">
        <f t="shared" si="0"/>
        <v>760038257</v>
      </c>
      <c r="E4" t="s">
        <v>199</v>
      </c>
      <c r="F4">
        <f>G4-SUMIFS('Sold out'!K:K,'Sold out'!I:I,'Main Stock'!C4)+SUMIFS('Receiving '!G:G,'Receiving '!E:E,'Main Stock'!C4)</f>
        <v>622</v>
      </c>
      <c r="G4">
        <v>622</v>
      </c>
      <c r="H4" t="s">
        <v>1279</v>
      </c>
    </row>
    <row r="5" spans="1:9" x14ac:dyDescent="0.2">
      <c r="A5" t="s">
        <v>4711</v>
      </c>
      <c r="B5" t="s">
        <v>1656</v>
      </c>
      <c r="C5">
        <v>760092452</v>
      </c>
      <c r="D5">
        <f t="shared" si="0"/>
        <v>760092452</v>
      </c>
      <c r="E5" t="s">
        <v>200</v>
      </c>
      <c r="F5">
        <f>G5-SUMIFS('Sold out'!K:K,'Sold out'!I:I,'Main Stock'!C5)+SUMIFS('Receiving '!G:G,'Receiving '!E:E,'Main Stock'!C5)</f>
        <v>12</v>
      </c>
      <c r="G5">
        <v>12</v>
      </c>
      <c r="H5" t="s">
        <v>1280</v>
      </c>
    </row>
    <row r="6" spans="1:9" x14ac:dyDescent="0.2">
      <c r="A6" t="s">
        <v>4711</v>
      </c>
      <c r="B6" t="s">
        <v>1656</v>
      </c>
      <c r="C6" t="s">
        <v>201</v>
      </c>
      <c r="D6" t="str">
        <f t="shared" si="0"/>
        <v>760237046</v>
      </c>
      <c r="E6" t="s">
        <v>202</v>
      </c>
      <c r="F6">
        <f>G6-SUMIFS('Sold out'!K:K,'Sold out'!I:I,'Main Stock'!C6)+SUMIFS('Receiving '!G:G,'Receiving '!E:E,'Main Stock'!C6)</f>
        <v>164</v>
      </c>
      <c r="G6">
        <v>184</v>
      </c>
      <c r="H6" t="s">
        <v>1281</v>
      </c>
    </row>
    <row r="7" spans="1:9" x14ac:dyDescent="0.2">
      <c r="A7" t="s">
        <v>4711</v>
      </c>
      <c r="B7" t="s">
        <v>1656</v>
      </c>
      <c r="C7" t="s">
        <v>203</v>
      </c>
      <c r="D7" t="str">
        <f t="shared" si="0"/>
        <v>1-6457567-6</v>
      </c>
      <c r="E7" t="s">
        <v>204</v>
      </c>
      <c r="F7">
        <f>G7-SUMIFS('Sold out'!K:K,'Sold out'!I:I,'Main Stock'!C7)+SUMIFS('Receiving '!G:G,'Receiving '!E:E,'Main Stock'!C7)</f>
        <v>0</v>
      </c>
      <c r="G7">
        <v>0</v>
      </c>
    </row>
    <row r="8" spans="1:9" x14ac:dyDescent="0.2">
      <c r="A8" t="s">
        <v>4711</v>
      </c>
      <c r="B8" t="s">
        <v>1656</v>
      </c>
      <c r="C8" t="s">
        <v>205</v>
      </c>
      <c r="D8" t="str">
        <f t="shared" si="0"/>
        <v>1711214-2</v>
      </c>
      <c r="E8" t="s">
        <v>206</v>
      </c>
      <c r="F8">
        <f>G8-SUMIFS('Sold out'!K:K,'Sold out'!I:I,'Main Stock'!C8)+SUMIFS('Receiving '!G:G,'Receiving '!E:E,'Main Stock'!C8)</f>
        <v>25</v>
      </c>
      <c r="G8">
        <v>25</v>
      </c>
      <c r="H8" t="s">
        <v>1282</v>
      </c>
    </row>
    <row r="9" spans="1:9" x14ac:dyDescent="0.2">
      <c r="A9" t="s">
        <v>4711</v>
      </c>
      <c r="B9" t="s">
        <v>1656</v>
      </c>
      <c r="C9" t="s">
        <v>207</v>
      </c>
      <c r="D9" t="str">
        <f t="shared" si="0"/>
        <v>1711301-1</v>
      </c>
      <c r="E9" t="s">
        <v>208</v>
      </c>
      <c r="F9">
        <f>G9-SUMIFS('Sold out'!K:K,'Sold out'!I:I,'Main Stock'!C9)+SUMIFS('Receiving '!G:G,'Receiving '!E:E,'Main Stock'!C9)</f>
        <v>14396</v>
      </c>
      <c r="G9">
        <v>14396</v>
      </c>
      <c r="H9" t="s">
        <v>1283</v>
      </c>
    </row>
    <row r="10" spans="1:9" x14ac:dyDescent="0.2">
      <c r="A10" t="s">
        <v>4711</v>
      </c>
      <c r="B10" t="s">
        <v>1656</v>
      </c>
      <c r="C10" t="s">
        <v>209</v>
      </c>
      <c r="D10" t="str">
        <f t="shared" si="0"/>
        <v>1711348-1</v>
      </c>
      <c r="E10" t="s">
        <v>210</v>
      </c>
      <c r="F10">
        <f>G10-SUMIFS('Sold out'!K:K,'Sold out'!I:I,'Main Stock'!C10)+SUMIFS('Receiving '!G:G,'Receiving '!E:E,'Main Stock'!C10)</f>
        <v>10076</v>
      </c>
      <c r="G10">
        <v>10432</v>
      </c>
      <c r="H10" t="s">
        <v>1284</v>
      </c>
    </row>
    <row r="11" spans="1:9" x14ac:dyDescent="0.2">
      <c r="A11" t="s">
        <v>4711</v>
      </c>
      <c r="B11" t="s">
        <v>1656</v>
      </c>
      <c r="C11" t="s">
        <v>211</v>
      </c>
      <c r="D11" t="str">
        <f t="shared" si="0"/>
        <v>1725150-6</v>
      </c>
      <c r="E11" t="s">
        <v>212</v>
      </c>
      <c r="F11">
        <f>G11-SUMIFS('Sold out'!K:K,'Sold out'!I:I,'Main Stock'!C11)+SUMIFS('Receiving '!G:G,'Receiving '!E:E,'Main Stock'!C11)</f>
        <v>18</v>
      </c>
      <c r="G11">
        <v>18</v>
      </c>
      <c r="H11" t="s">
        <v>1285</v>
      </c>
    </row>
    <row r="12" spans="1:9" x14ac:dyDescent="0.2">
      <c r="A12" t="s">
        <v>4711</v>
      </c>
      <c r="B12" t="s">
        <v>1656</v>
      </c>
      <c r="C12" t="s">
        <v>213</v>
      </c>
      <c r="D12" t="str">
        <f t="shared" si="0"/>
        <v>2153449-4</v>
      </c>
      <c r="E12" t="s">
        <v>214</v>
      </c>
      <c r="F12">
        <f>G12-SUMIFS('Sold out'!K:K,'Sold out'!I:I,'Main Stock'!C12)+SUMIFS('Receiving '!G:G,'Receiving '!E:E,'Main Stock'!C12)</f>
        <v>29692</v>
      </c>
      <c r="G12">
        <v>16536</v>
      </c>
      <c r="H12" t="s">
        <v>1286</v>
      </c>
    </row>
    <row r="13" spans="1:9" x14ac:dyDescent="0.2">
      <c r="A13" t="s">
        <v>4711</v>
      </c>
      <c r="B13" t="s">
        <v>1656</v>
      </c>
      <c r="C13" t="s">
        <v>215</v>
      </c>
      <c r="D13" t="str">
        <f t="shared" si="0"/>
        <v>6457567-4</v>
      </c>
      <c r="E13" t="s">
        <v>216</v>
      </c>
      <c r="F13">
        <f>G13-SUMIFS('Sold out'!K:K,'Sold out'!I:I,'Main Stock'!C13)+SUMIFS('Receiving '!G:G,'Receiving '!E:E,'Main Stock'!C13)</f>
        <v>-240</v>
      </c>
      <c r="G13">
        <v>0</v>
      </c>
    </row>
    <row r="14" spans="1:9" x14ac:dyDescent="0.2">
      <c r="A14" t="s">
        <v>4711</v>
      </c>
      <c r="B14" t="s">
        <v>1656</v>
      </c>
      <c r="C14" t="s">
        <v>217</v>
      </c>
      <c r="D14" t="str">
        <f t="shared" si="0"/>
        <v>FBXLCUC11-MXM002</v>
      </c>
      <c r="E14" t="s">
        <v>218</v>
      </c>
      <c r="F14">
        <f>G14-SUMIFS('Sold out'!K:K,'Sold out'!I:I,'Main Stock'!C14)+SUMIFS('Receiving '!G:G,'Receiving '!E:E,'Main Stock'!C14)</f>
        <v>0</v>
      </c>
      <c r="G14">
        <v>0</v>
      </c>
    </row>
    <row r="15" spans="1:9" x14ac:dyDescent="0.2">
      <c r="A15" t="s">
        <v>4711</v>
      </c>
      <c r="B15" t="s">
        <v>1656</v>
      </c>
      <c r="C15" t="s">
        <v>219</v>
      </c>
      <c r="D15" t="str">
        <f t="shared" si="0"/>
        <v>FDWLCSC42-JXF010</v>
      </c>
      <c r="E15" t="s">
        <v>220</v>
      </c>
      <c r="F15">
        <f>G15-SUMIFS('Sold out'!K:K,'Sold out'!I:I,'Main Stock'!C15)+SUMIFS('Receiving '!G:G,'Receiving '!E:E,'Main Stock'!C15)</f>
        <v>0</v>
      </c>
      <c r="G15">
        <v>0</v>
      </c>
    </row>
    <row r="16" spans="1:9" x14ac:dyDescent="0.2">
      <c r="A16" t="s">
        <v>4711</v>
      </c>
      <c r="B16" t="s">
        <v>1656</v>
      </c>
      <c r="C16" t="s">
        <v>221</v>
      </c>
      <c r="D16" t="str">
        <f t="shared" si="0"/>
        <v>NPC6ASZDB-WT003M</v>
      </c>
      <c r="E16" t="s">
        <v>222</v>
      </c>
      <c r="F16">
        <f>G16-SUMIFS('Sold out'!K:K,'Sold out'!I:I,'Main Stock'!C16)+SUMIFS('Receiving '!G:G,'Receiving '!E:E,'Main Stock'!C16)</f>
        <v>6992</v>
      </c>
      <c r="G16">
        <v>6992</v>
      </c>
      <c r="H16" t="s">
        <v>1287</v>
      </c>
    </row>
    <row r="17" spans="1:9" ht="16" x14ac:dyDescent="0.2">
      <c r="A17" t="s">
        <v>4711</v>
      </c>
      <c r="B17" t="s">
        <v>1656</v>
      </c>
      <c r="C17" t="s">
        <v>223</v>
      </c>
      <c r="D17" t="str">
        <f t="shared" si="0"/>
        <v>760012161</v>
      </c>
      <c r="E17" t="s">
        <v>224</v>
      </c>
      <c r="F17">
        <f>G17-SUMIFS('Sold out'!K:K,'Sold out'!I:I,'Main Stock'!C17)+SUMIFS('Receiving '!G:G,'Receiving '!E:E,'Main Stock'!C17)</f>
        <v>0</v>
      </c>
      <c r="G17">
        <v>0</v>
      </c>
      <c r="I17" s="34" t="s">
        <v>1380</v>
      </c>
    </row>
    <row r="18" spans="1:9" x14ac:dyDescent="0.2">
      <c r="A18" t="s">
        <v>4711</v>
      </c>
      <c r="B18" t="s">
        <v>1656</v>
      </c>
      <c r="C18" t="s">
        <v>225</v>
      </c>
      <c r="D18" t="str">
        <f t="shared" si="0"/>
        <v>760027433</v>
      </c>
      <c r="E18" t="s">
        <v>226</v>
      </c>
      <c r="F18">
        <f>G18-SUMIFS('Sold out'!K:K,'Sold out'!I:I,'Main Stock'!C18)+SUMIFS('Receiving '!G:G,'Receiving '!E:E,'Main Stock'!C18)</f>
        <v>0</v>
      </c>
      <c r="G18">
        <v>0</v>
      </c>
    </row>
    <row r="19" spans="1:9" x14ac:dyDescent="0.2">
      <c r="A19" t="s">
        <v>4711</v>
      </c>
      <c r="B19" t="s">
        <v>1656</v>
      </c>
      <c r="C19" t="s">
        <v>227</v>
      </c>
      <c r="D19" t="str">
        <f t="shared" si="0"/>
        <v>760031054</v>
      </c>
      <c r="E19" t="s">
        <v>228</v>
      </c>
      <c r="F19">
        <f>G19-SUMIFS('Sold out'!K:K,'Sold out'!I:I,'Main Stock'!C19)+SUMIFS('Receiving '!G:G,'Receiving '!E:E,'Main Stock'!C19)</f>
        <v>58</v>
      </c>
      <c r="G19">
        <v>58</v>
      </c>
      <c r="H19" t="s">
        <v>1288</v>
      </c>
    </row>
    <row r="20" spans="1:9" ht="48" x14ac:dyDescent="0.2">
      <c r="A20" t="s">
        <v>4711</v>
      </c>
      <c r="B20" t="s">
        <v>1656</v>
      </c>
      <c r="C20" t="s">
        <v>229</v>
      </c>
      <c r="D20" t="str">
        <f t="shared" si="0"/>
        <v>760053280</v>
      </c>
      <c r="E20" t="s">
        <v>230</v>
      </c>
      <c r="F20">
        <f>G20-SUMIFS('Sold out'!K:K,'Sold out'!I:I,'Main Stock'!C20)+SUMIFS('Receiving '!G:G,'Receiving '!E:E,'Main Stock'!C20)</f>
        <v>1444</v>
      </c>
      <c r="G20">
        <v>1444</v>
      </c>
      <c r="H20" t="s">
        <v>1285</v>
      </c>
      <c r="I20" s="34" t="s">
        <v>1381</v>
      </c>
    </row>
    <row r="21" spans="1:9" x14ac:dyDescent="0.2">
      <c r="A21" t="s">
        <v>4711</v>
      </c>
      <c r="B21" t="s">
        <v>1656</v>
      </c>
      <c r="C21" t="s">
        <v>231</v>
      </c>
      <c r="D21" t="str">
        <f t="shared" si="0"/>
        <v>760148502</v>
      </c>
      <c r="E21" t="s">
        <v>232</v>
      </c>
      <c r="F21">
        <f>G21-SUMIFS('Sold out'!K:K,'Sold out'!I:I,'Main Stock'!C21)+SUMIFS('Receiving '!G:G,'Receiving '!E:E,'Main Stock'!C21)</f>
        <v>0</v>
      </c>
      <c r="G21">
        <v>0</v>
      </c>
    </row>
    <row r="22" spans="1:9" x14ac:dyDescent="0.2">
      <c r="A22" t="s">
        <v>4711</v>
      </c>
      <c r="B22" t="s">
        <v>1656</v>
      </c>
      <c r="C22" t="s">
        <v>233</v>
      </c>
      <c r="D22" t="str">
        <f t="shared" si="0"/>
        <v>760216762</v>
      </c>
      <c r="E22" t="s">
        <v>234</v>
      </c>
      <c r="F22">
        <f>G22-SUMIFS('Sold out'!K:K,'Sold out'!I:I,'Main Stock'!C22)+SUMIFS('Receiving '!G:G,'Receiving '!E:E,'Main Stock'!C22)</f>
        <v>0</v>
      </c>
      <c r="G22">
        <v>0</v>
      </c>
    </row>
    <row r="23" spans="1:9" x14ac:dyDescent="0.2">
      <c r="A23" t="s">
        <v>4711</v>
      </c>
      <c r="B23" t="s">
        <v>1656</v>
      </c>
      <c r="C23" t="s">
        <v>235</v>
      </c>
      <c r="D23" t="str">
        <f t="shared" si="0"/>
        <v>760230946</v>
      </c>
      <c r="E23" t="s">
        <v>236</v>
      </c>
      <c r="F23">
        <f>G23-SUMIFS('Sold out'!K:K,'Sold out'!I:I,'Main Stock'!C23)+SUMIFS('Receiving '!G:G,'Receiving '!E:E,'Main Stock'!C23)</f>
        <v>12</v>
      </c>
      <c r="G23">
        <v>12</v>
      </c>
      <c r="H23" t="s">
        <v>1285</v>
      </c>
    </row>
    <row r="24" spans="1:9" x14ac:dyDescent="0.2">
      <c r="A24" t="s">
        <v>4711</v>
      </c>
      <c r="B24" t="s">
        <v>1656</v>
      </c>
      <c r="C24" t="s">
        <v>237</v>
      </c>
      <c r="D24" t="str">
        <f t="shared" si="0"/>
        <v>760231498</v>
      </c>
      <c r="E24" t="s">
        <v>238</v>
      </c>
      <c r="F24">
        <f>G24-SUMIFS('Sold out'!K:K,'Sold out'!I:I,'Main Stock'!C24)+SUMIFS('Receiving '!G:G,'Receiving '!E:E,'Main Stock'!C24)</f>
        <v>0</v>
      </c>
      <c r="G24">
        <v>0</v>
      </c>
    </row>
    <row r="25" spans="1:9" x14ac:dyDescent="0.2">
      <c r="A25" t="s">
        <v>4711</v>
      </c>
      <c r="B25" t="s">
        <v>1656</v>
      </c>
      <c r="C25" t="s">
        <v>239</v>
      </c>
      <c r="D25" t="str">
        <f t="shared" si="0"/>
        <v>760241042</v>
      </c>
      <c r="E25" t="s">
        <v>240</v>
      </c>
      <c r="F25">
        <f>G25-SUMIFS('Sold out'!K:K,'Sold out'!I:I,'Main Stock'!C25)+SUMIFS('Receiving '!G:G,'Receiving '!E:E,'Main Stock'!C25)</f>
        <v>0</v>
      </c>
      <c r="G25">
        <v>0</v>
      </c>
    </row>
    <row r="26" spans="1:9" ht="16" x14ac:dyDescent="0.2">
      <c r="A26" t="s">
        <v>4711</v>
      </c>
      <c r="B26" t="s">
        <v>1656</v>
      </c>
      <c r="C26" t="s">
        <v>241</v>
      </c>
      <c r="D26" t="str">
        <f t="shared" si="0"/>
        <v>760241043</v>
      </c>
      <c r="E26" t="s">
        <v>242</v>
      </c>
      <c r="F26">
        <f>G26-SUMIFS('Sold out'!K:K,'Sold out'!I:I,'Main Stock'!C26)+SUMIFS('Receiving '!G:G,'Receiving '!E:E,'Main Stock'!C26)</f>
        <v>1250</v>
      </c>
      <c r="G26">
        <v>1250</v>
      </c>
      <c r="H26" t="s">
        <v>64</v>
      </c>
      <c r="I26" s="34" t="s">
        <v>1382</v>
      </c>
    </row>
    <row r="27" spans="1:9" x14ac:dyDescent="0.2">
      <c r="A27" t="s">
        <v>4711</v>
      </c>
      <c r="B27" t="s">
        <v>1656</v>
      </c>
      <c r="C27" t="s">
        <v>243</v>
      </c>
      <c r="D27" t="str">
        <f t="shared" si="0"/>
        <v>760242453</v>
      </c>
      <c r="E27" t="s">
        <v>244</v>
      </c>
      <c r="F27">
        <f>G27-SUMIFS('Sold out'!K:K,'Sold out'!I:I,'Main Stock'!C27)+SUMIFS('Receiving '!G:G,'Receiving '!E:E,'Main Stock'!C27)</f>
        <v>0</v>
      </c>
      <c r="G27">
        <v>0</v>
      </c>
    </row>
    <row r="28" spans="1:9" x14ac:dyDescent="0.2">
      <c r="A28" t="s">
        <v>4711</v>
      </c>
      <c r="B28" t="s">
        <v>1656</v>
      </c>
      <c r="C28" t="s">
        <v>245</v>
      </c>
      <c r="D28" t="str">
        <f t="shared" si="0"/>
        <v>0-1859096-1</v>
      </c>
      <c r="E28" t="s">
        <v>246</v>
      </c>
      <c r="F28">
        <f>G28-SUMIFS('Sold out'!K:K,'Sold out'!I:I,'Main Stock'!C28)+SUMIFS('Receiving '!G:G,'Receiving '!E:E,'Main Stock'!C28)</f>
        <v>0</v>
      </c>
      <c r="G28">
        <v>0</v>
      </c>
    </row>
    <row r="29" spans="1:9" x14ac:dyDescent="0.2">
      <c r="A29" t="s">
        <v>4711</v>
      </c>
      <c r="B29" t="s">
        <v>1656</v>
      </c>
      <c r="C29" t="s">
        <v>247</v>
      </c>
      <c r="D29" t="str">
        <f t="shared" si="0"/>
        <v>760242454</v>
      </c>
      <c r="E29" t="s">
        <v>248</v>
      </c>
      <c r="F29">
        <f>G29-SUMIFS('Sold out'!K:K,'Sold out'!I:I,'Main Stock'!C29)+SUMIFS('Receiving '!G:G,'Receiving '!E:E,'Main Stock'!C29)</f>
        <v>0</v>
      </c>
      <c r="G29">
        <v>0</v>
      </c>
    </row>
    <row r="30" spans="1:9" x14ac:dyDescent="0.2">
      <c r="A30" t="s">
        <v>4711</v>
      </c>
      <c r="B30" t="s">
        <v>1656</v>
      </c>
      <c r="C30" t="s">
        <v>249</v>
      </c>
      <c r="D30" t="str">
        <f t="shared" si="0"/>
        <v>760242494</v>
      </c>
      <c r="E30" t="s">
        <v>250</v>
      </c>
      <c r="F30">
        <f>G30-SUMIFS('Sold out'!K:K,'Sold out'!I:I,'Main Stock'!C30)+SUMIFS('Receiving '!G:G,'Receiving '!E:E,'Main Stock'!C30)</f>
        <v>0</v>
      </c>
      <c r="G30">
        <v>0</v>
      </c>
    </row>
    <row r="31" spans="1:9" x14ac:dyDescent="0.2">
      <c r="A31" t="s">
        <v>4711</v>
      </c>
      <c r="B31" t="s">
        <v>1656</v>
      </c>
      <c r="C31" t="s">
        <v>251</v>
      </c>
      <c r="D31" t="str">
        <f t="shared" si="0"/>
        <v>1-5502776-1</v>
      </c>
      <c r="E31" t="s">
        <v>252</v>
      </c>
      <c r="F31">
        <f>G31-SUMIFS('Sold out'!K:K,'Sold out'!I:I,'Main Stock'!C31)+SUMIFS('Receiving '!G:G,'Receiving '!E:E,'Main Stock'!C31)</f>
        <v>0</v>
      </c>
      <c r="G31">
        <v>0</v>
      </c>
    </row>
    <row r="32" spans="1:9" x14ac:dyDescent="0.2">
      <c r="A32" t="s">
        <v>4711</v>
      </c>
      <c r="B32" t="s">
        <v>1656</v>
      </c>
      <c r="C32" t="s">
        <v>253</v>
      </c>
      <c r="D32" t="str">
        <f t="shared" si="0"/>
        <v>1-599623-4</v>
      </c>
      <c r="E32" t="s">
        <v>254</v>
      </c>
      <c r="F32">
        <f>G32-SUMIFS('Sold out'!K:K,'Sold out'!I:I,'Main Stock'!C32)+SUMIFS('Receiving '!G:G,'Receiving '!E:E,'Main Stock'!C32)</f>
        <v>0</v>
      </c>
      <c r="G32">
        <v>0</v>
      </c>
    </row>
    <row r="33" spans="1:8" x14ac:dyDescent="0.2">
      <c r="A33" t="s">
        <v>4711</v>
      </c>
      <c r="B33" t="s">
        <v>1656</v>
      </c>
      <c r="C33" t="s">
        <v>255</v>
      </c>
      <c r="D33" t="str">
        <f t="shared" si="0"/>
        <v>1-599625-4</v>
      </c>
      <c r="E33" t="s">
        <v>256</v>
      </c>
      <c r="F33">
        <f>G33-SUMIFS('Sold out'!K:K,'Sold out'!I:I,'Main Stock'!C33)+SUMIFS('Receiving '!G:G,'Receiving '!E:E,'Main Stock'!C33)</f>
        <v>0</v>
      </c>
      <c r="G33">
        <v>0</v>
      </c>
    </row>
    <row r="34" spans="1:8" x14ac:dyDescent="0.2">
      <c r="A34" t="s">
        <v>4711</v>
      </c>
      <c r="B34" t="s">
        <v>1656</v>
      </c>
      <c r="C34" t="s">
        <v>257</v>
      </c>
      <c r="D34" t="str">
        <f t="shared" si="0"/>
        <v>1-599624-4</v>
      </c>
      <c r="E34" t="s">
        <v>258</v>
      </c>
      <c r="F34">
        <f>G34-SUMIFS('Sold out'!K:K,'Sold out'!I:I,'Main Stock'!C34)+SUMIFS('Receiving '!G:G,'Receiving '!E:E,'Main Stock'!C34)</f>
        <v>0</v>
      </c>
      <c r="G34">
        <v>0</v>
      </c>
    </row>
    <row r="35" spans="1:8" x14ac:dyDescent="0.2">
      <c r="A35" t="s">
        <v>4711</v>
      </c>
      <c r="B35" t="s">
        <v>1656</v>
      </c>
      <c r="C35" t="s">
        <v>259</v>
      </c>
      <c r="D35" t="str">
        <f t="shared" si="0"/>
        <v>1-6536508-5</v>
      </c>
      <c r="E35" t="s">
        <v>260</v>
      </c>
      <c r="F35">
        <f>G35-SUMIFS('Sold out'!K:K,'Sold out'!I:I,'Main Stock'!C35)+SUMIFS('Receiving '!G:G,'Receiving '!E:E,'Main Stock'!C35)</f>
        <v>0</v>
      </c>
      <c r="G35">
        <v>0</v>
      </c>
    </row>
    <row r="36" spans="1:8" x14ac:dyDescent="0.2">
      <c r="A36" t="s">
        <v>4711</v>
      </c>
      <c r="B36" t="s">
        <v>1656</v>
      </c>
      <c r="C36" t="s">
        <v>261</v>
      </c>
      <c r="D36" t="str">
        <f t="shared" si="0"/>
        <v>1-6536967-0</v>
      </c>
      <c r="E36" t="s">
        <v>262</v>
      </c>
      <c r="F36">
        <f>G36-SUMIFS('Sold out'!K:K,'Sold out'!I:I,'Main Stock'!C36)+SUMIFS('Receiving '!G:G,'Receiving '!E:E,'Main Stock'!C36)</f>
        <v>0</v>
      </c>
      <c r="G36">
        <v>0</v>
      </c>
    </row>
    <row r="37" spans="1:8" x14ac:dyDescent="0.2">
      <c r="A37" t="s">
        <v>4711</v>
      </c>
      <c r="B37" t="s">
        <v>1656</v>
      </c>
      <c r="C37" t="s">
        <v>263</v>
      </c>
      <c r="D37" t="str">
        <f t="shared" si="0"/>
        <v>1-6536967-5</v>
      </c>
      <c r="E37" t="s">
        <v>264</v>
      </c>
      <c r="F37">
        <f>G37-SUMIFS('Sold out'!K:K,'Sold out'!I:I,'Main Stock'!C37)+SUMIFS('Receiving '!G:G,'Receiving '!E:E,'Main Stock'!C37)</f>
        <v>0</v>
      </c>
      <c r="G37">
        <v>0</v>
      </c>
    </row>
    <row r="38" spans="1:8" x14ac:dyDescent="0.2">
      <c r="A38" t="s">
        <v>4711</v>
      </c>
      <c r="B38" t="s">
        <v>1656</v>
      </c>
      <c r="C38" t="s">
        <v>265</v>
      </c>
      <c r="D38" t="str">
        <f t="shared" si="0"/>
        <v>1711302-1</v>
      </c>
      <c r="E38" t="s">
        <v>266</v>
      </c>
      <c r="F38">
        <f>G38-SUMIFS('Sold out'!K:K,'Sold out'!I:I,'Main Stock'!C38)+SUMIFS('Receiving '!G:G,'Receiving '!E:E,'Main Stock'!C38)</f>
        <v>241</v>
      </c>
      <c r="G38">
        <v>241</v>
      </c>
      <c r="H38" t="s">
        <v>1285</v>
      </c>
    </row>
    <row r="39" spans="1:8" x14ac:dyDescent="0.2">
      <c r="A39" t="s">
        <v>4711</v>
      </c>
      <c r="B39" t="s">
        <v>1656</v>
      </c>
      <c r="C39" t="s">
        <v>267</v>
      </c>
      <c r="D39" t="str">
        <f t="shared" si="0"/>
        <v>1711491-1</v>
      </c>
      <c r="E39" t="s">
        <v>268</v>
      </c>
      <c r="F39">
        <f>G39-SUMIFS('Sold out'!K:K,'Sold out'!I:I,'Main Stock'!C39)+SUMIFS('Receiving '!G:G,'Receiving '!E:E,'Main Stock'!C39)</f>
        <v>3937</v>
      </c>
      <c r="G39">
        <v>3937</v>
      </c>
      <c r="H39" t="s">
        <v>1289</v>
      </c>
    </row>
    <row r="40" spans="1:8" x14ac:dyDescent="0.2">
      <c r="A40" t="s">
        <v>4711</v>
      </c>
      <c r="B40" t="s">
        <v>1656</v>
      </c>
      <c r="C40" t="s">
        <v>269</v>
      </c>
      <c r="D40" t="str">
        <f t="shared" si="0"/>
        <v>2160042-2</v>
      </c>
      <c r="E40" t="s">
        <v>270</v>
      </c>
      <c r="F40">
        <f>G40-SUMIFS('Sold out'!K:K,'Sold out'!I:I,'Main Stock'!C40)+SUMIFS('Receiving '!G:G,'Receiving '!E:E,'Main Stock'!C40)</f>
        <v>5025</v>
      </c>
      <c r="G40">
        <v>5025</v>
      </c>
      <c r="H40" t="s">
        <v>1290</v>
      </c>
    </row>
    <row r="41" spans="1:8" x14ac:dyDescent="0.2">
      <c r="A41" t="s">
        <v>4711</v>
      </c>
      <c r="B41" t="s">
        <v>1656</v>
      </c>
      <c r="C41" t="s">
        <v>271</v>
      </c>
      <c r="D41" t="str">
        <f t="shared" si="0"/>
        <v>2160046-1</v>
      </c>
      <c r="E41" t="s">
        <v>272</v>
      </c>
      <c r="F41">
        <f>G41-SUMIFS('Sold out'!K:K,'Sold out'!I:I,'Main Stock'!C41)+SUMIFS('Receiving '!G:G,'Receiving '!E:E,'Main Stock'!C41)</f>
        <v>293</v>
      </c>
      <c r="G41">
        <v>293</v>
      </c>
      <c r="H41" t="s">
        <v>1291</v>
      </c>
    </row>
    <row r="42" spans="1:8" x14ac:dyDescent="0.2">
      <c r="A42" t="s">
        <v>4711</v>
      </c>
      <c r="B42" t="s">
        <v>1656</v>
      </c>
      <c r="C42" t="s">
        <v>273</v>
      </c>
      <c r="D42" t="str">
        <f t="shared" si="0"/>
        <v>2160046-3</v>
      </c>
      <c r="E42" t="s">
        <v>274</v>
      </c>
      <c r="F42">
        <f>G42-SUMIFS('Sold out'!K:K,'Sold out'!I:I,'Main Stock'!C42)+SUMIFS('Receiving '!G:G,'Receiving '!E:E,'Main Stock'!C42)</f>
        <v>33</v>
      </c>
      <c r="G42">
        <v>33</v>
      </c>
      <c r="H42" t="s">
        <v>1292</v>
      </c>
    </row>
    <row r="43" spans="1:8" x14ac:dyDescent="0.2">
      <c r="A43" t="s">
        <v>4711</v>
      </c>
      <c r="B43" t="s">
        <v>1656</v>
      </c>
      <c r="C43" t="s">
        <v>275</v>
      </c>
      <c r="D43" t="str">
        <f t="shared" si="0"/>
        <v>2-2160046-0</v>
      </c>
      <c r="E43" t="s">
        <v>276</v>
      </c>
      <c r="F43">
        <f>G43-SUMIFS('Sold out'!K:K,'Sold out'!I:I,'Main Stock'!C43)+SUMIFS('Receiving '!G:G,'Receiving '!E:E,'Main Stock'!C43)</f>
        <v>0</v>
      </c>
      <c r="G43">
        <v>0</v>
      </c>
    </row>
    <row r="44" spans="1:8" x14ac:dyDescent="0.2">
      <c r="A44" t="s">
        <v>4711</v>
      </c>
      <c r="B44" t="s">
        <v>1656</v>
      </c>
      <c r="C44" t="s">
        <v>277</v>
      </c>
      <c r="D44" t="str">
        <f t="shared" si="0"/>
        <v>2-5502776-6</v>
      </c>
      <c r="E44" t="s">
        <v>278</v>
      </c>
      <c r="F44">
        <f>G44-SUMIFS('Sold out'!K:K,'Sold out'!I:I,'Main Stock'!C44)+SUMIFS('Receiving '!G:G,'Receiving '!E:E,'Main Stock'!C44)</f>
        <v>0</v>
      </c>
      <c r="G44">
        <v>0</v>
      </c>
    </row>
    <row r="45" spans="1:8" x14ac:dyDescent="0.2">
      <c r="A45" t="s">
        <v>4711</v>
      </c>
      <c r="B45" t="s">
        <v>1656</v>
      </c>
      <c r="C45" t="s">
        <v>279</v>
      </c>
      <c r="D45" t="str">
        <f t="shared" si="0"/>
        <v>2-6536501-0</v>
      </c>
      <c r="E45" t="s">
        <v>280</v>
      </c>
      <c r="F45">
        <f>G45-SUMIFS('Sold out'!K:K,'Sold out'!I:I,'Main Stock'!C45)+SUMIFS('Receiving '!G:G,'Receiving '!E:E,'Main Stock'!C45)</f>
        <v>0</v>
      </c>
      <c r="G45">
        <v>0</v>
      </c>
    </row>
    <row r="46" spans="1:8" x14ac:dyDescent="0.2">
      <c r="A46" t="s">
        <v>4711</v>
      </c>
      <c r="B46" t="s">
        <v>1656</v>
      </c>
      <c r="C46" t="s">
        <v>281</v>
      </c>
      <c r="D46" t="str">
        <f t="shared" si="0"/>
        <v>3-2160046-0</v>
      </c>
      <c r="E46" t="s">
        <v>282</v>
      </c>
      <c r="F46">
        <f>G46-SUMIFS('Sold out'!K:K,'Sold out'!I:I,'Main Stock'!C46)+SUMIFS('Receiving '!G:G,'Receiving '!E:E,'Main Stock'!C46)</f>
        <v>50</v>
      </c>
      <c r="G46">
        <v>50</v>
      </c>
      <c r="H46" t="s">
        <v>1293</v>
      </c>
    </row>
    <row r="47" spans="1:8" x14ac:dyDescent="0.2">
      <c r="A47" t="s">
        <v>4711</v>
      </c>
      <c r="B47" t="s">
        <v>1656</v>
      </c>
      <c r="C47" t="s">
        <v>283</v>
      </c>
      <c r="D47" t="str">
        <f t="shared" si="0"/>
        <v>3-6536501-0</v>
      </c>
      <c r="E47" t="s">
        <v>284</v>
      </c>
      <c r="F47">
        <f>G47-SUMIFS('Sold out'!K:K,'Sold out'!I:I,'Main Stock'!C47)+SUMIFS('Receiving '!G:G,'Receiving '!E:E,'Main Stock'!C47)</f>
        <v>0</v>
      </c>
      <c r="G47">
        <v>0</v>
      </c>
    </row>
    <row r="48" spans="1:8" x14ac:dyDescent="0.2">
      <c r="A48" t="s">
        <v>4711</v>
      </c>
      <c r="B48" t="s">
        <v>1656</v>
      </c>
      <c r="C48" t="s">
        <v>285</v>
      </c>
      <c r="D48" t="str">
        <f t="shared" si="0"/>
        <v>4-2160046-0</v>
      </c>
      <c r="E48" t="s">
        <v>286</v>
      </c>
      <c r="F48">
        <f>G48-SUMIFS('Sold out'!K:K,'Sold out'!I:I,'Main Stock'!C48)+SUMIFS('Receiving '!G:G,'Receiving '!E:E,'Main Stock'!C48)</f>
        <v>54</v>
      </c>
      <c r="G48">
        <v>54</v>
      </c>
      <c r="H48" t="s">
        <v>1294</v>
      </c>
    </row>
    <row r="49" spans="1:9" x14ac:dyDescent="0.2">
      <c r="A49" t="s">
        <v>4711</v>
      </c>
      <c r="B49" t="s">
        <v>1656</v>
      </c>
      <c r="C49" t="s">
        <v>287</v>
      </c>
      <c r="D49" t="str">
        <f t="shared" si="0"/>
        <v>5233582-2</v>
      </c>
      <c r="E49" t="s">
        <v>288</v>
      </c>
      <c r="F49">
        <f>G49-SUMIFS('Sold out'!K:K,'Sold out'!I:I,'Main Stock'!C49)+SUMIFS('Receiving '!G:G,'Receiving '!E:E,'Main Stock'!C49)</f>
        <v>0</v>
      </c>
      <c r="G49">
        <v>0</v>
      </c>
    </row>
    <row r="50" spans="1:9" x14ac:dyDescent="0.2">
      <c r="A50" t="s">
        <v>4711</v>
      </c>
      <c r="B50" t="s">
        <v>1656</v>
      </c>
      <c r="C50" t="s">
        <v>289</v>
      </c>
      <c r="D50" t="str">
        <f t="shared" si="0"/>
        <v>558402-1</v>
      </c>
      <c r="E50" t="s">
        <v>290</v>
      </c>
      <c r="F50">
        <f>G50-SUMIFS('Sold out'!K:K,'Sold out'!I:I,'Main Stock'!C50)+SUMIFS('Receiving '!G:G,'Receiving '!E:E,'Main Stock'!C50)</f>
        <v>0</v>
      </c>
      <c r="G50">
        <v>0</v>
      </c>
    </row>
    <row r="51" spans="1:9" x14ac:dyDescent="0.2">
      <c r="A51" t="s">
        <v>4711</v>
      </c>
      <c r="B51" t="s">
        <v>1656</v>
      </c>
      <c r="C51" t="s">
        <v>291</v>
      </c>
      <c r="D51" t="str">
        <f t="shared" si="0"/>
        <v>558417-1</v>
      </c>
      <c r="E51" t="s">
        <v>292</v>
      </c>
      <c r="F51">
        <f>G51-SUMIFS('Sold out'!K:K,'Sold out'!I:I,'Main Stock'!C51)+SUMIFS('Receiving '!G:G,'Receiving '!E:E,'Main Stock'!C51)</f>
        <v>0</v>
      </c>
      <c r="G51">
        <v>0</v>
      </c>
    </row>
    <row r="52" spans="1:9" x14ac:dyDescent="0.2">
      <c r="A52" t="s">
        <v>4711</v>
      </c>
      <c r="B52" t="s">
        <v>1656</v>
      </c>
      <c r="C52" t="s">
        <v>293</v>
      </c>
      <c r="D52" t="str">
        <f t="shared" si="0"/>
        <v>558842-1</v>
      </c>
      <c r="E52" t="s">
        <v>294</v>
      </c>
      <c r="F52">
        <f>G52-SUMIFS('Sold out'!K:K,'Sold out'!I:I,'Main Stock'!C52)+SUMIFS('Receiving '!G:G,'Receiving '!E:E,'Main Stock'!C52)</f>
        <v>0</v>
      </c>
      <c r="G52">
        <v>0</v>
      </c>
    </row>
    <row r="53" spans="1:9" x14ac:dyDescent="0.2">
      <c r="A53" t="s">
        <v>4711</v>
      </c>
      <c r="B53" t="s">
        <v>1656</v>
      </c>
      <c r="C53" t="s">
        <v>295</v>
      </c>
      <c r="D53" t="str">
        <f t="shared" si="0"/>
        <v>536788-000</v>
      </c>
      <c r="E53" t="s">
        <v>296</v>
      </c>
      <c r="F53">
        <f>G53-SUMIFS('Sold out'!K:K,'Sold out'!I:I,'Main Stock'!C53)+SUMIFS('Receiving '!G:G,'Receiving '!E:E,'Main Stock'!C53)</f>
        <v>0</v>
      </c>
      <c r="G53">
        <v>0</v>
      </c>
    </row>
    <row r="54" spans="1:9" x14ac:dyDescent="0.2">
      <c r="A54" t="s">
        <v>4711</v>
      </c>
      <c r="B54" t="s">
        <v>1656</v>
      </c>
      <c r="C54" t="s">
        <v>297</v>
      </c>
      <c r="D54" t="str">
        <f t="shared" si="0"/>
        <v>6536501-3</v>
      </c>
      <c r="E54" t="s">
        <v>298</v>
      </c>
      <c r="F54">
        <f>G54-SUMIFS('Sold out'!K:K,'Sold out'!I:I,'Main Stock'!C54)+SUMIFS('Receiving '!G:G,'Receiving '!E:E,'Main Stock'!C54)</f>
        <v>-10</v>
      </c>
      <c r="G54">
        <v>0</v>
      </c>
    </row>
    <row r="55" spans="1:9" x14ac:dyDescent="0.2">
      <c r="A55" t="s">
        <v>4711</v>
      </c>
      <c r="B55" t="s">
        <v>1656</v>
      </c>
      <c r="C55" t="s">
        <v>299</v>
      </c>
      <c r="D55" t="str">
        <f t="shared" si="0"/>
        <v>6536508-1</v>
      </c>
      <c r="E55" t="s">
        <v>300</v>
      </c>
      <c r="F55">
        <f>G55-SUMIFS('Sold out'!K:K,'Sold out'!I:I,'Main Stock'!C55)+SUMIFS('Receiving '!G:G,'Receiving '!E:E,'Main Stock'!C55)</f>
        <v>0</v>
      </c>
      <c r="G55">
        <v>0</v>
      </c>
    </row>
    <row r="56" spans="1:9" x14ac:dyDescent="0.2">
      <c r="A56" t="s">
        <v>4711</v>
      </c>
      <c r="B56" t="s">
        <v>1656</v>
      </c>
      <c r="C56" t="s">
        <v>301</v>
      </c>
      <c r="D56" t="str">
        <f t="shared" si="0"/>
        <v>6536501-1</v>
      </c>
      <c r="E56" t="s">
        <v>302</v>
      </c>
      <c r="F56">
        <f>G56-SUMIFS('Sold out'!K:K,'Sold out'!I:I,'Main Stock'!C56)+SUMIFS('Receiving '!G:G,'Receiving '!E:E,'Main Stock'!C56)</f>
        <v>253</v>
      </c>
      <c r="G56">
        <v>253</v>
      </c>
      <c r="H56" t="s">
        <v>1295</v>
      </c>
    </row>
    <row r="57" spans="1:9" x14ac:dyDescent="0.2">
      <c r="A57" t="s">
        <v>4711</v>
      </c>
      <c r="B57" t="s">
        <v>1656</v>
      </c>
      <c r="C57" t="s">
        <v>303</v>
      </c>
      <c r="D57" t="str">
        <f t="shared" si="0"/>
        <v>6536501-2</v>
      </c>
      <c r="E57" t="s">
        <v>304</v>
      </c>
      <c r="F57">
        <f>G57-SUMIFS('Sold out'!K:K,'Sold out'!I:I,'Main Stock'!C57)+SUMIFS('Receiving '!G:G,'Receiving '!E:E,'Main Stock'!C57)</f>
        <v>0</v>
      </c>
      <c r="G57">
        <v>0</v>
      </c>
    </row>
    <row r="58" spans="1:9" x14ac:dyDescent="0.2">
      <c r="A58" t="s">
        <v>4711</v>
      </c>
      <c r="B58" t="s">
        <v>1656</v>
      </c>
      <c r="C58" t="s">
        <v>305</v>
      </c>
      <c r="D58" t="str">
        <f t="shared" si="0"/>
        <v>6536967-1</v>
      </c>
      <c r="E58" t="s">
        <v>306</v>
      </c>
      <c r="F58">
        <f>G58-SUMIFS('Sold out'!K:K,'Sold out'!I:I,'Main Stock'!C58)+SUMIFS('Receiving '!G:G,'Receiving '!E:E,'Main Stock'!C58)</f>
        <v>0</v>
      </c>
      <c r="G58">
        <v>0</v>
      </c>
    </row>
    <row r="59" spans="1:9" x14ac:dyDescent="0.2">
      <c r="A59" t="s">
        <v>4711</v>
      </c>
      <c r="B59" t="s">
        <v>1656</v>
      </c>
      <c r="C59" t="s">
        <v>307</v>
      </c>
      <c r="D59" t="str">
        <f t="shared" si="0"/>
        <v>6536967-2</v>
      </c>
      <c r="E59" t="s">
        <v>308</v>
      </c>
      <c r="F59">
        <f>G59-SUMIFS('Sold out'!K:K,'Sold out'!I:I,'Main Stock'!C59)+SUMIFS('Receiving '!G:G,'Receiving '!E:E,'Main Stock'!C59)</f>
        <v>0</v>
      </c>
      <c r="G59">
        <v>0</v>
      </c>
    </row>
    <row r="60" spans="1:9" x14ac:dyDescent="0.2">
      <c r="A60" t="s">
        <v>4711</v>
      </c>
      <c r="B60" t="s">
        <v>1656</v>
      </c>
      <c r="C60" t="s">
        <v>309</v>
      </c>
      <c r="D60" t="str">
        <f t="shared" si="0"/>
        <v>6536967-3</v>
      </c>
      <c r="E60" t="s">
        <v>310</v>
      </c>
      <c r="F60">
        <f>G60-SUMIFS('Sold out'!K:K,'Sold out'!I:I,'Main Stock'!C60)+SUMIFS('Receiving '!G:G,'Receiving '!E:E,'Main Stock'!C60)</f>
        <v>0</v>
      </c>
      <c r="G60">
        <v>0</v>
      </c>
    </row>
    <row r="61" spans="1:9" x14ac:dyDescent="0.2">
      <c r="A61" t="s">
        <v>4711</v>
      </c>
      <c r="B61" t="s">
        <v>1656</v>
      </c>
      <c r="C61" t="s">
        <v>311</v>
      </c>
      <c r="D61" t="str">
        <f t="shared" si="0"/>
        <v>6536967-5</v>
      </c>
      <c r="E61" t="s">
        <v>312</v>
      </c>
      <c r="F61">
        <f>G61-SUMIFS('Sold out'!K:K,'Sold out'!I:I,'Main Stock'!C61)+SUMIFS('Receiving '!G:G,'Receiving '!E:E,'Main Stock'!C61)</f>
        <v>0</v>
      </c>
      <c r="G61">
        <v>0</v>
      </c>
    </row>
    <row r="62" spans="1:9" x14ac:dyDescent="0.2">
      <c r="A62" t="s">
        <v>4711</v>
      </c>
      <c r="B62" t="s">
        <v>1656</v>
      </c>
      <c r="C62" t="s">
        <v>313</v>
      </c>
      <c r="D62" t="str">
        <f t="shared" si="0"/>
        <v>884038014/10</v>
      </c>
      <c r="E62" t="s">
        <v>314</v>
      </c>
      <c r="F62">
        <f>G62-SUMIFS('Sold out'!K:K,'Sold out'!I:I,'Main Stock'!C62)+SUMIFS('Receiving '!G:G,'Receiving '!E:E,'Main Stock'!C62)</f>
        <v>0</v>
      </c>
      <c r="G62">
        <v>0</v>
      </c>
    </row>
    <row r="63" spans="1:9" ht="48" x14ac:dyDescent="0.2">
      <c r="A63" t="s">
        <v>4711</v>
      </c>
      <c r="B63" t="s">
        <v>1656</v>
      </c>
      <c r="C63" t="s">
        <v>315</v>
      </c>
      <c r="D63" t="str">
        <f t="shared" si="0"/>
        <v>760053348</v>
      </c>
      <c r="E63" t="s">
        <v>316</v>
      </c>
      <c r="F63">
        <f>G63-SUMIFS('Sold out'!K:K,'Sold out'!I:I,'Main Stock'!C63)+SUMIFS('Receiving '!G:G,'Receiving '!E:E,'Main Stock'!C63)</f>
        <v>51240</v>
      </c>
      <c r="G63">
        <v>51240</v>
      </c>
      <c r="H63" t="s">
        <v>1296</v>
      </c>
      <c r="I63" s="34" t="s">
        <v>1383</v>
      </c>
    </row>
    <row r="64" spans="1:9" x14ac:dyDescent="0.2">
      <c r="A64" t="s">
        <v>4711</v>
      </c>
      <c r="B64" t="s">
        <v>1656</v>
      </c>
      <c r="C64" t="s">
        <v>317</v>
      </c>
      <c r="D64" t="str">
        <f t="shared" si="0"/>
        <v>884019904/10</v>
      </c>
      <c r="E64" t="s">
        <v>318</v>
      </c>
      <c r="F64">
        <f>G64-SUMIFS('Sold out'!K:K,'Sold out'!I:I,'Main Stock'!C64)+SUMIFS('Receiving '!G:G,'Receiving '!E:E,'Main Stock'!C64)</f>
        <v>0</v>
      </c>
      <c r="G64">
        <v>0</v>
      </c>
    </row>
    <row r="65" spans="1:8" x14ac:dyDescent="0.2">
      <c r="A65" t="s">
        <v>4711</v>
      </c>
      <c r="B65" t="s">
        <v>1656</v>
      </c>
      <c r="C65" t="s">
        <v>319</v>
      </c>
      <c r="D65" t="str">
        <f t="shared" si="0"/>
        <v>AJXMPMPAD-MAM012</v>
      </c>
      <c r="E65" t="s">
        <v>320</v>
      </c>
      <c r="F65">
        <f>G65-SUMIFS('Sold out'!K:K,'Sold out'!I:I,'Main Stock'!C65)+SUMIFS('Receiving '!G:G,'Receiving '!E:E,'Main Stock'!C65)</f>
        <v>0</v>
      </c>
      <c r="G65">
        <v>0</v>
      </c>
    </row>
    <row r="66" spans="1:8" x14ac:dyDescent="0.2">
      <c r="A66" t="s">
        <v>4711</v>
      </c>
      <c r="B66" t="s">
        <v>1656</v>
      </c>
      <c r="C66" t="s">
        <v>321</v>
      </c>
      <c r="D66" t="str">
        <f t="shared" si="0"/>
        <v>AJXMPMPAD-MAM017</v>
      </c>
      <c r="E66" t="s">
        <v>322</v>
      </c>
      <c r="F66">
        <f>G66-SUMIFS('Sold out'!K:K,'Sold out'!I:I,'Main Stock'!C66)+SUMIFS('Receiving '!G:G,'Receiving '!E:E,'Main Stock'!C66)</f>
        <v>0</v>
      </c>
      <c r="G66">
        <v>0</v>
      </c>
    </row>
    <row r="67" spans="1:8" x14ac:dyDescent="0.2">
      <c r="A67" t="s">
        <v>4711</v>
      </c>
      <c r="B67" t="s">
        <v>1656</v>
      </c>
      <c r="C67" t="s">
        <v>323</v>
      </c>
      <c r="D67" t="str">
        <f t="shared" ref="D67:D130" si="1">C67</f>
        <v>AJXMPMPAD-MAM022</v>
      </c>
      <c r="E67" t="s">
        <v>324</v>
      </c>
      <c r="F67">
        <f>G67-SUMIFS('Sold out'!K:K,'Sold out'!I:I,'Main Stock'!C67)+SUMIFS('Receiving '!G:G,'Receiving '!E:E,'Main Stock'!C67)</f>
        <v>0</v>
      </c>
      <c r="G67">
        <v>0</v>
      </c>
    </row>
    <row r="68" spans="1:8" x14ac:dyDescent="0.2">
      <c r="A68" t="s">
        <v>4711</v>
      </c>
      <c r="B68" t="s">
        <v>1656</v>
      </c>
      <c r="C68" t="s">
        <v>325</v>
      </c>
      <c r="D68" t="str">
        <f t="shared" si="1"/>
        <v>CJ9789-000</v>
      </c>
      <c r="E68" t="s">
        <v>326</v>
      </c>
      <c r="F68">
        <f>G68-SUMIFS('Sold out'!K:K,'Sold out'!I:I,'Main Stock'!C68)+SUMIFS('Receiving '!G:G,'Receiving '!E:E,'Main Stock'!C68)</f>
        <v>0</v>
      </c>
      <c r="G68">
        <v>0</v>
      </c>
    </row>
    <row r="69" spans="1:8" x14ac:dyDescent="0.2">
      <c r="A69" t="s">
        <v>4711</v>
      </c>
      <c r="B69" t="s">
        <v>1656</v>
      </c>
      <c r="C69" t="s">
        <v>327</v>
      </c>
      <c r="D69" t="str">
        <f t="shared" si="1"/>
        <v>CK9479-000</v>
      </c>
      <c r="E69" t="s">
        <v>328</v>
      </c>
      <c r="F69">
        <f>G69-SUMIFS('Sold out'!K:K,'Sold out'!I:I,'Main Stock'!C69)+SUMIFS('Receiving '!G:G,'Receiving '!E:E,'Main Stock'!C69)</f>
        <v>24</v>
      </c>
      <c r="G69">
        <v>24</v>
      </c>
      <c r="H69" t="s">
        <v>1297</v>
      </c>
    </row>
    <row r="70" spans="1:8" x14ac:dyDescent="0.2">
      <c r="A70" t="s">
        <v>4711</v>
      </c>
      <c r="B70" t="s">
        <v>1656</v>
      </c>
      <c r="C70" t="s">
        <v>329</v>
      </c>
      <c r="D70" t="str">
        <f t="shared" si="1"/>
        <v>NPC06UZDB-WT010M</v>
      </c>
      <c r="E70" t="s">
        <v>330</v>
      </c>
      <c r="F70">
        <f>G70-SUMIFS('Sold out'!K:K,'Sold out'!I:I,'Main Stock'!C70)+SUMIFS('Receiving '!G:G,'Receiving '!E:E,'Main Stock'!C70)</f>
        <v>0</v>
      </c>
      <c r="G70">
        <v>0</v>
      </c>
    </row>
    <row r="71" spans="1:8" x14ac:dyDescent="0.2">
      <c r="A71" t="s">
        <v>4711</v>
      </c>
      <c r="B71" t="s">
        <v>1656</v>
      </c>
      <c r="C71" t="s">
        <v>331</v>
      </c>
      <c r="D71" t="str">
        <f t="shared" si="1"/>
        <v>FBWLCUC11-JXF003</v>
      </c>
      <c r="E71" t="s">
        <v>332</v>
      </c>
      <c r="F71">
        <f>G71-SUMIFS('Sold out'!K:K,'Sold out'!I:I,'Main Stock'!C71)+SUMIFS('Receiving '!G:G,'Receiving '!E:E,'Main Stock'!C71)</f>
        <v>0</v>
      </c>
      <c r="G71">
        <v>0</v>
      </c>
    </row>
    <row r="72" spans="1:8" x14ac:dyDescent="0.2">
      <c r="A72" t="s">
        <v>4711</v>
      </c>
      <c r="B72" t="s">
        <v>1656</v>
      </c>
      <c r="C72" t="s">
        <v>333</v>
      </c>
      <c r="D72" t="str">
        <f t="shared" si="1"/>
        <v>NPC06UZDB-BL030C</v>
      </c>
      <c r="E72" t="s">
        <v>334</v>
      </c>
      <c r="F72">
        <f>G72-SUMIFS('Sold out'!K:K,'Sold out'!I:I,'Main Stock'!C72)+SUMIFS('Receiving '!G:G,'Receiving '!E:E,'Main Stock'!C72)</f>
        <v>0</v>
      </c>
      <c r="G72">
        <v>0</v>
      </c>
    </row>
    <row r="73" spans="1:8" x14ac:dyDescent="0.2">
      <c r="A73" t="s">
        <v>4711</v>
      </c>
      <c r="B73" t="s">
        <v>1656</v>
      </c>
      <c r="C73" t="s">
        <v>335</v>
      </c>
      <c r="D73" t="str">
        <f t="shared" si="1"/>
        <v>1427632-1</v>
      </c>
      <c r="E73" t="s">
        <v>336</v>
      </c>
      <c r="F73">
        <f>G73-SUMIFS('Sold out'!K:K,'Sold out'!I:I,'Main Stock'!C73)+SUMIFS('Receiving '!G:G,'Receiving '!E:E,'Main Stock'!C73)</f>
        <v>0</v>
      </c>
      <c r="G73">
        <v>0</v>
      </c>
    </row>
    <row r="74" spans="1:8" x14ac:dyDescent="0.2">
      <c r="A74" t="s">
        <v>4711</v>
      </c>
      <c r="B74" t="s">
        <v>1656</v>
      </c>
      <c r="C74" t="s">
        <v>337</v>
      </c>
      <c r="D74" t="str">
        <f t="shared" si="1"/>
        <v>6536880-2</v>
      </c>
      <c r="E74" t="s">
        <v>338</v>
      </c>
      <c r="F74">
        <f>G74-SUMIFS('Sold out'!K:K,'Sold out'!I:I,'Main Stock'!C74)+SUMIFS('Receiving '!G:G,'Receiving '!E:E,'Main Stock'!C74)</f>
        <v>4110</v>
      </c>
      <c r="G74">
        <v>4590</v>
      </c>
      <c r="H74" t="s">
        <v>1298</v>
      </c>
    </row>
    <row r="75" spans="1:8" x14ac:dyDescent="0.2">
      <c r="A75" t="s">
        <v>4711</v>
      </c>
      <c r="B75" t="s">
        <v>1656</v>
      </c>
      <c r="C75" t="s">
        <v>339</v>
      </c>
      <c r="D75" t="str">
        <f t="shared" si="1"/>
        <v>884059314/10</v>
      </c>
      <c r="E75" t="s">
        <v>340</v>
      </c>
      <c r="F75">
        <f>G75-SUMIFS('Sold out'!K:K,'Sold out'!I:I,'Main Stock'!C75)+SUMIFS('Receiving '!G:G,'Receiving '!E:E,'Main Stock'!C75)</f>
        <v>0</v>
      </c>
      <c r="G75">
        <v>0</v>
      </c>
    </row>
    <row r="76" spans="1:8" x14ac:dyDescent="0.2">
      <c r="A76" t="s">
        <v>4711</v>
      </c>
      <c r="B76" t="s">
        <v>1656</v>
      </c>
      <c r="C76" t="s">
        <v>341</v>
      </c>
      <c r="D76" t="str">
        <f t="shared" si="1"/>
        <v>NPC6ASZDB-BK003M</v>
      </c>
      <c r="E76" t="s">
        <v>342</v>
      </c>
      <c r="F76">
        <f>G76-SUMIFS('Sold out'!K:K,'Sold out'!I:I,'Main Stock'!C76)+SUMIFS('Receiving '!G:G,'Receiving '!E:E,'Main Stock'!C76)</f>
        <v>15</v>
      </c>
      <c r="G76">
        <v>15</v>
      </c>
      <c r="H76" t="s">
        <v>1299</v>
      </c>
    </row>
    <row r="77" spans="1:8" x14ac:dyDescent="0.2">
      <c r="A77" t="s">
        <v>4711</v>
      </c>
      <c r="B77" t="s">
        <v>1656</v>
      </c>
      <c r="C77" t="s">
        <v>343</v>
      </c>
      <c r="D77" t="str">
        <f t="shared" si="1"/>
        <v>NPC6ASZDB-BL001M</v>
      </c>
      <c r="E77" t="s">
        <v>344</v>
      </c>
      <c r="F77">
        <f>G77-SUMIFS('Sold out'!K:K,'Sold out'!I:I,'Main Stock'!C77)+SUMIFS('Receiving '!G:G,'Receiving '!E:E,'Main Stock'!C77)</f>
        <v>0</v>
      </c>
      <c r="G77">
        <v>0</v>
      </c>
    </row>
    <row r="78" spans="1:8" x14ac:dyDescent="0.2">
      <c r="A78" t="s">
        <v>4711</v>
      </c>
      <c r="B78" t="s">
        <v>1656</v>
      </c>
      <c r="C78" t="s">
        <v>345</v>
      </c>
      <c r="D78" t="str">
        <f t="shared" si="1"/>
        <v>NPC6ASZDB-GN001M</v>
      </c>
      <c r="E78" t="s">
        <v>346</v>
      </c>
      <c r="F78">
        <f>G78-SUMIFS('Sold out'!K:K,'Sold out'!I:I,'Main Stock'!C78)+SUMIFS('Receiving '!G:G,'Receiving '!E:E,'Main Stock'!C78)</f>
        <v>0</v>
      </c>
      <c r="G78">
        <v>0</v>
      </c>
    </row>
    <row r="79" spans="1:8" x14ac:dyDescent="0.2">
      <c r="A79" t="s">
        <v>4711</v>
      </c>
      <c r="B79" t="s">
        <v>1656</v>
      </c>
      <c r="C79" t="s">
        <v>347</v>
      </c>
      <c r="D79" t="str">
        <f t="shared" si="1"/>
        <v>NPC6ASZDB-YL001M</v>
      </c>
      <c r="E79" t="s">
        <v>348</v>
      </c>
      <c r="F79">
        <f>G79-SUMIFS('Sold out'!K:K,'Sold out'!I:I,'Main Stock'!C79)+SUMIFS('Receiving '!G:G,'Receiving '!E:E,'Main Stock'!C79)</f>
        <v>0</v>
      </c>
      <c r="G79">
        <v>0</v>
      </c>
    </row>
    <row r="80" spans="1:8" x14ac:dyDescent="0.2">
      <c r="A80" t="s">
        <v>4711</v>
      </c>
      <c r="B80" t="s">
        <v>1656</v>
      </c>
      <c r="C80" t="s">
        <v>349</v>
      </c>
      <c r="D80" t="str">
        <f t="shared" si="1"/>
        <v>760237040</v>
      </c>
      <c r="E80" t="s">
        <v>350</v>
      </c>
      <c r="F80">
        <f>G80-SUMIFS('Sold out'!K:K,'Sold out'!I:I,'Main Stock'!C80)+SUMIFS('Receiving '!G:G,'Receiving '!E:E,'Main Stock'!C80)</f>
        <v>109</v>
      </c>
      <c r="G80">
        <v>109</v>
      </c>
      <c r="H80" t="s">
        <v>1300</v>
      </c>
    </row>
    <row r="81" spans="1:8" x14ac:dyDescent="0.2">
      <c r="A81" t="s">
        <v>4711</v>
      </c>
      <c r="B81" t="s">
        <v>1656</v>
      </c>
      <c r="C81" t="s">
        <v>351</v>
      </c>
      <c r="D81" t="str">
        <f t="shared" si="1"/>
        <v>9-1594455-1</v>
      </c>
      <c r="E81" t="s">
        <v>352</v>
      </c>
      <c r="F81">
        <f>G81-SUMIFS('Sold out'!K:K,'Sold out'!I:I,'Main Stock'!C81)+SUMIFS('Receiving '!G:G,'Receiving '!E:E,'Main Stock'!C81)</f>
        <v>0</v>
      </c>
      <c r="G81">
        <v>0</v>
      </c>
    </row>
    <row r="82" spans="1:8" x14ac:dyDescent="0.2">
      <c r="A82" t="s">
        <v>4711</v>
      </c>
      <c r="B82" t="s">
        <v>1656</v>
      </c>
      <c r="C82" t="s">
        <v>353</v>
      </c>
      <c r="D82" t="str">
        <f t="shared" si="1"/>
        <v>760012153</v>
      </c>
      <c r="E82" t="s">
        <v>354</v>
      </c>
      <c r="F82">
        <f>G82-SUMIFS('Sold out'!K:K,'Sold out'!I:I,'Main Stock'!C82)+SUMIFS('Receiving '!G:G,'Receiving '!E:E,'Main Stock'!C82)</f>
        <v>0</v>
      </c>
      <c r="G82">
        <v>0</v>
      </c>
    </row>
    <row r="83" spans="1:8" x14ac:dyDescent="0.2">
      <c r="A83" t="s">
        <v>4711</v>
      </c>
      <c r="B83" t="s">
        <v>1656</v>
      </c>
      <c r="C83" t="s">
        <v>355</v>
      </c>
      <c r="D83" t="str">
        <f t="shared" si="1"/>
        <v>1-2160046-0</v>
      </c>
      <c r="E83" t="s">
        <v>356</v>
      </c>
      <c r="F83">
        <f>G83-SUMIFS('Sold out'!K:K,'Sold out'!I:I,'Main Stock'!C83)+SUMIFS('Receiving '!G:G,'Receiving '!E:E,'Main Stock'!C83)</f>
        <v>0</v>
      </c>
      <c r="G83">
        <v>0</v>
      </c>
    </row>
    <row r="84" spans="1:8" x14ac:dyDescent="0.2">
      <c r="A84" t="s">
        <v>4711</v>
      </c>
      <c r="B84" t="s">
        <v>1656</v>
      </c>
      <c r="C84" t="s">
        <v>357</v>
      </c>
      <c r="D84" t="str">
        <f t="shared" si="1"/>
        <v>1-2160046-5</v>
      </c>
      <c r="E84" t="s">
        <v>358</v>
      </c>
      <c r="F84">
        <f>G84-SUMIFS('Sold out'!K:K,'Sold out'!I:I,'Main Stock'!C84)+SUMIFS('Receiving '!G:G,'Receiving '!E:E,'Main Stock'!C84)</f>
        <v>0</v>
      </c>
      <c r="G84">
        <v>0</v>
      </c>
    </row>
    <row r="85" spans="1:8" x14ac:dyDescent="0.2">
      <c r="A85" t="s">
        <v>4711</v>
      </c>
      <c r="B85" t="s">
        <v>1656</v>
      </c>
      <c r="C85" t="s">
        <v>359</v>
      </c>
      <c r="D85" t="str">
        <f t="shared" si="1"/>
        <v>2160046-2</v>
      </c>
      <c r="E85" t="s">
        <v>360</v>
      </c>
      <c r="F85">
        <f>G85-SUMIFS('Sold out'!K:K,'Sold out'!I:I,'Main Stock'!C85)+SUMIFS('Receiving '!G:G,'Receiving '!E:E,'Main Stock'!C85)</f>
        <v>224</v>
      </c>
      <c r="G85">
        <v>224</v>
      </c>
      <c r="H85" t="s">
        <v>1301</v>
      </c>
    </row>
    <row r="86" spans="1:8" x14ac:dyDescent="0.2">
      <c r="A86" t="s">
        <v>4711</v>
      </c>
      <c r="B86" t="s">
        <v>1656</v>
      </c>
      <c r="C86" t="s">
        <v>361</v>
      </c>
      <c r="D86" t="str">
        <f t="shared" si="1"/>
        <v>700009780</v>
      </c>
      <c r="E86" t="s">
        <v>362</v>
      </c>
      <c r="F86">
        <f>G86-SUMIFS('Sold out'!K:K,'Sold out'!I:I,'Main Stock'!C86)+SUMIFS('Receiving '!G:G,'Receiving '!E:E,'Main Stock'!C86)</f>
        <v>0</v>
      </c>
      <c r="G86">
        <v>0</v>
      </c>
    </row>
    <row r="87" spans="1:8" x14ac:dyDescent="0.2">
      <c r="A87" t="s">
        <v>4711</v>
      </c>
      <c r="B87" t="s">
        <v>1656</v>
      </c>
      <c r="C87" t="s">
        <v>363</v>
      </c>
      <c r="D87" t="str">
        <f t="shared" si="1"/>
        <v>760019109</v>
      </c>
      <c r="E87" t="s">
        <v>364</v>
      </c>
      <c r="F87">
        <f>G87-SUMIFS('Sold out'!K:K,'Sold out'!I:I,'Main Stock'!C87)+SUMIFS('Receiving '!G:G,'Receiving '!E:E,'Main Stock'!C87)</f>
        <v>0</v>
      </c>
      <c r="G87">
        <v>0</v>
      </c>
    </row>
    <row r="88" spans="1:8" x14ac:dyDescent="0.2">
      <c r="A88" t="s">
        <v>4711</v>
      </c>
      <c r="B88" t="s">
        <v>1656</v>
      </c>
      <c r="C88" t="s">
        <v>365</v>
      </c>
      <c r="D88" t="str">
        <f t="shared" si="1"/>
        <v>1-599622-4</v>
      </c>
      <c r="E88" t="s">
        <v>366</v>
      </c>
      <c r="F88">
        <f>G88-SUMIFS('Sold out'!K:K,'Sold out'!I:I,'Main Stock'!C88)+SUMIFS('Receiving '!G:G,'Receiving '!E:E,'Main Stock'!C88)</f>
        <v>0</v>
      </c>
      <c r="G88">
        <v>0</v>
      </c>
    </row>
    <row r="89" spans="1:8" x14ac:dyDescent="0.2">
      <c r="A89" t="s">
        <v>4711</v>
      </c>
      <c r="B89" t="s">
        <v>1656</v>
      </c>
      <c r="C89" t="s">
        <v>367</v>
      </c>
      <c r="D89" t="str">
        <f t="shared" si="1"/>
        <v>1-6536969-0</v>
      </c>
      <c r="E89" t="s">
        <v>368</v>
      </c>
      <c r="F89">
        <f>G89-SUMIFS('Sold out'!K:K,'Sold out'!I:I,'Main Stock'!C89)+SUMIFS('Receiving '!G:G,'Receiving '!E:E,'Main Stock'!C89)</f>
        <v>0</v>
      </c>
      <c r="G89">
        <v>0</v>
      </c>
    </row>
    <row r="90" spans="1:8" x14ac:dyDescent="0.2">
      <c r="A90" t="s">
        <v>4711</v>
      </c>
      <c r="B90" t="s">
        <v>1656</v>
      </c>
      <c r="C90" t="s">
        <v>369</v>
      </c>
      <c r="D90" t="str">
        <f t="shared" si="1"/>
        <v>1-6536969-5</v>
      </c>
      <c r="E90" t="s">
        <v>370</v>
      </c>
      <c r="F90">
        <f>G90-SUMIFS('Sold out'!K:K,'Sold out'!I:I,'Main Stock'!C90)+SUMIFS('Receiving '!G:G,'Receiving '!E:E,'Main Stock'!C90)</f>
        <v>0</v>
      </c>
      <c r="G90">
        <v>0</v>
      </c>
    </row>
    <row r="91" spans="1:8" x14ac:dyDescent="0.2">
      <c r="A91" t="s">
        <v>4711</v>
      </c>
      <c r="B91" t="s">
        <v>1656</v>
      </c>
      <c r="C91" t="s">
        <v>371</v>
      </c>
      <c r="D91" t="str">
        <f t="shared" si="1"/>
        <v>1671044-1</v>
      </c>
      <c r="E91" t="s">
        <v>372</v>
      </c>
      <c r="F91">
        <f>G91-SUMIFS('Sold out'!K:K,'Sold out'!I:I,'Main Stock'!C91)+SUMIFS('Receiving '!G:G,'Receiving '!E:E,'Main Stock'!C91)</f>
        <v>0</v>
      </c>
      <c r="G91">
        <v>0</v>
      </c>
    </row>
    <row r="92" spans="1:8" x14ac:dyDescent="0.2">
      <c r="A92" t="s">
        <v>4711</v>
      </c>
      <c r="B92" t="s">
        <v>1656</v>
      </c>
      <c r="C92" t="s">
        <v>373</v>
      </c>
      <c r="D92" t="str">
        <f t="shared" si="1"/>
        <v>1711277-1</v>
      </c>
      <c r="E92" t="s">
        <v>374</v>
      </c>
      <c r="F92">
        <f>G92-SUMIFS('Sold out'!K:K,'Sold out'!I:I,'Main Stock'!C92)+SUMIFS('Receiving '!G:G,'Receiving '!E:E,'Main Stock'!C92)</f>
        <v>0</v>
      </c>
      <c r="G92">
        <v>0</v>
      </c>
    </row>
    <row r="93" spans="1:8" x14ac:dyDescent="0.2">
      <c r="A93" t="s">
        <v>4711</v>
      </c>
      <c r="B93" t="s">
        <v>1656</v>
      </c>
      <c r="C93" t="s">
        <v>375</v>
      </c>
      <c r="D93" t="str">
        <f t="shared" si="1"/>
        <v>2160046-5</v>
      </c>
      <c r="E93" t="s">
        <v>376</v>
      </c>
      <c r="F93">
        <f>G93-SUMIFS('Sold out'!K:K,'Sold out'!I:I,'Main Stock'!C93)+SUMIFS('Receiving '!G:G,'Receiving '!E:E,'Main Stock'!C93)</f>
        <v>0</v>
      </c>
      <c r="G93">
        <v>0</v>
      </c>
    </row>
    <row r="94" spans="1:8" x14ac:dyDescent="0.2">
      <c r="A94" t="s">
        <v>4711</v>
      </c>
      <c r="B94" t="s">
        <v>1656</v>
      </c>
      <c r="C94" t="s">
        <v>377</v>
      </c>
      <c r="D94" t="str">
        <f t="shared" si="1"/>
        <v>6536966-2</v>
      </c>
      <c r="E94" t="s">
        <v>378</v>
      </c>
      <c r="F94">
        <f>G94-SUMIFS('Sold out'!K:K,'Sold out'!I:I,'Main Stock'!C94)+SUMIFS('Receiving '!G:G,'Receiving '!E:E,'Main Stock'!C94)</f>
        <v>0</v>
      </c>
      <c r="G94">
        <v>0</v>
      </c>
    </row>
    <row r="95" spans="1:8" x14ac:dyDescent="0.2">
      <c r="A95" t="s">
        <v>4711</v>
      </c>
      <c r="B95" t="s">
        <v>1656</v>
      </c>
      <c r="C95" t="s">
        <v>379</v>
      </c>
      <c r="D95" t="str">
        <f t="shared" si="1"/>
        <v>6536969-1</v>
      </c>
      <c r="E95" t="s">
        <v>380</v>
      </c>
      <c r="F95">
        <f>G95-SUMIFS('Sold out'!K:K,'Sold out'!I:I,'Main Stock'!C95)+SUMIFS('Receiving '!G:G,'Receiving '!E:E,'Main Stock'!C95)</f>
        <v>0</v>
      </c>
      <c r="G95">
        <v>0</v>
      </c>
    </row>
    <row r="96" spans="1:8" x14ac:dyDescent="0.2">
      <c r="A96" t="s">
        <v>4711</v>
      </c>
      <c r="B96" t="s">
        <v>1656</v>
      </c>
      <c r="C96" t="s">
        <v>381</v>
      </c>
      <c r="D96" t="str">
        <f t="shared" si="1"/>
        <v>6536969-2</v>
      </c>
      <c r="E96" t="s">
        <v>382</v>
      </c>
      <c r="F96">
        <f>G96-SUMIFS('Sold out'!K:K,'Sold out'!I:I,'Main Stock'!C96)+SUMIFS('Receiving '!G:G,'Receiving '!E:E,'Main Stock'!C96)</f>
        <v>0</v>
      </c>
      <c r="G96">
        <v>0</v>
      </c>
    </row>
    <row r="97" spans="1:8" x14ac:dyDescent="0.2">
      <c r="A97" t="s">
        <v>4711</v>
      </c>
      <c r="B97" t="s">
        <v>1656</v>
      </c>
      <c r="C97" t="s">
        <v>383</v>
      </c>
      <c r="D97" t="str">
        <f t="shared" si="1"/>
        <v>6536969-3</v>
      </c>
      <c r="E97" t="s">
        <v>384</v>
      </c>
      <c r="F97">
        <f>G97-SUMIFS('Sold out'!K:K,'Sold out'!I:I,'Main Stock'!C97)+SUMIFS('Receiving '!G:G,'Receiving '!E:E,'Main Stock'!C97)</f>
        <v>0</v>
      </c>
      <c r="G97">
        <v>0</v>
      </c>
    </row>
    <row r="98" spans="1:8" x14ac:dyDescent="0.2">
      <c r="A98" t="s">
        <v>4711</v>
      </c>
      <c r="B98" t="s">
        <v>1656</v>
      </c>
      <c r="C98" t="s">
        <v>385</v>
      </c>
      <c r="D98" t="str">
        <f t="shared" si="1"/>
        <v>6536969-5</v>
      </c>
      <c r="E98" t="s">
        <v>386</v>
      </c>
      <c r="F98">
        <f>G98-SUMIFS('Sold out'!K:K,'Sold out'!I:I,'Main Stock'!C98)+SUMIFS('Receiving '!G:G,'Receiving '!E:E,'Main Stock'!C98)</f>
        <v>0</v>
      </c>
      <c r="G98">
        <v>0</v>
      </c>
    </row>
    <row r="99" spans="1:8" x14ac:dyDescent="0.2">
      <c r="A99" t="s">
        <v>4711</v>
      </c>
      <c r="B99" t="s">
        <v>1656</v>
      </c>
      <c r="C99" t="s">
        <v>387</v>
      </c>
      <c r="D99" t="str">
        <f t="shared" si="1"/>
        <v>NPC06UZDB-WT002M</v>
      </c>
      <c r="E99" t="s">
        <v>388</v>
      </c>
      <c r="F99">
        <f>G99-SUMIFS('Sold out'!K:K,'Sold out'!I:I,'Main Stock'!C99)+SUMIFS('Receiving '!G:G,'Receiving '!E:E,'Main Stock'!C99)</f>
        <v>0</v>
      </c>
      <c r="G99">
        <v>0</v>
      </c>
    </row>
    <row r="100" spans="1:8" x14ac:dyDescent="0.2">
      <c r="A100" t="s">
        <v>4711</v>
      </c>
      <c r="B100" t="s">
        <v>1656</v>
      </c>
      <c r="C100" t="s">
        <v>389</v>
      </c>
      <c r="D100" t="str">
        <f t="shared" si="1"/>
        <v>NPC6ASZDB-WT002M</v>
      </c>
      <c r="E100" t="s">
        <v>390</v>
      </c>
      <c r="F100">
        <f>G100-SUMIFS('Sold out'!K:K,'Sold out'!I:I,'Main Stock'!C100)+SUMIFS('Receiving '!G:G,'Receiving '!E:E,'Main Stock'!C100)</f>
        <v>1</v>
      </c>
      <c r="G100">
        <v>1</v>
      </c>
      <c r="H100">
        <v>0</v>
      </c>
    </row>
    <row r="101" spans="1:8" x14ac:dyDescent="0.2">
      <c r="A101" t="s">
        <v>4711</v>
      </c>
      <c r="B101" t="s">
        <v>1656</v>
      </c>
      <c r="C101" t="s">
        <v>391</v>
      </c>
      <c r="D101" t="str">
        <f t="shared" si="1"/>
        <v>NPC6ASZDB-WT010M</v>
      </c>
      <c r="E101" t="s">
        <v>392</v>
      </c>
      <c r="F101">
        <f>G101-SUMIFS('Sold out'!K:K,'Sold out'!I:I,'Main Stock'!C101)+SUMIFS('Receiving '!G:G,'Receiving '!E:E,'Main Stock'!C101)</f>
        <v>0</v>
      </c>
      <c r="G101">
        <v>0</v>
      </c>
    </row>
    <row r="102" spans="1:8" x14ac:dyDescent="0.2">
      <c r="A102" t="s">
        <v>4711</v>
      </c>
      <c r="B102" t="s">
        <v>1656</v>
      </c>
      <c r="C102" t="s">
        <v>393</v>
      </c>
      <c r="D102" t="str">
        <f t="shared" si="1"/>
        <v>1-599625-3</v>
      </c>
      <c r="E102" t="s">
        <v>394</v>
      </c>
      <c r="F102">
        <f>G102-SUMIFS('Sold out'!K:K,'Sold out'!I:I,'Main Stock'!C102)+SUMIFS('Receiving '!G:G,'Receiving '!E:E,'Main Stock'!C102)</f>
        <v>0</v>
      </c>
      <c r="G102">
        <v>0</v>
      </c>
    </row>
    <row r="103" spans="1:8" x14ac:dyDescent="0.2">
      <c r="A103" t="s">
        <v>4711</v>
      </c>
      <c r="B103" t="s">
        <v>1656</v>
      </c>
      <c r="C103" t="s">
        <v>395</v>
      </c>
      <c r="D103" t="str">
        <f t="shared" si="1"/>
        <v>1-599623-3</v>
      </c>
      <c r="E103" t="s">
        <v>396</v>
      </c>
      <c r="F103">
        <f>G103-SUMIFS('Sold out'!K:K,'Sold out'!I:I,'Main Stock'!C103)+SUMIFS('Receiving '!G:G,'Receiving '!E:E,'Main Stock'!C103)</f>
        <v>0</v>
      </c>
      <c r="G103">
        <v>0</v>
      </c>
    </row>
    <row r="104" spans="1:8" x14ac:dyDescent="0.2">
      <c r="A104" t="s">
        <v>4711</v>
      </c>
      <c r="B104" t="s">
        <v>1656</v>
      </c>
      <c r="C104" t="s">
        <v>397</v>
      </c>
      <c r="D104" t="str">
        <f t="shared" si="1"/>
        <v>108168469</v>
      </c>
      <c r="E104" t="s">
        <v>398</v>
      </c>
      <c r="F104">
        <f>G104-SUMIFS('Sold out'!K:K,'Sold out'!I:I,'Main Stock'!C104)+SUMIFS('Receiving '!G:G,'Receiving '!E:E,'Main Stock'!C104)</f>
        <v>0</v>
      </c>
      <c r="G104">
        <v>0</v>
      </c>
    </row>
    <row r="105" spans="1:8" x14ac:dyDescent="0.2">
      <c r="A105" t="s">
        <v>4711</v>
      </c>
      <c r="B105" t="s">
        <v>1656</v>
      </c>
      <c r="C105" t="s">
        <v>399</v>
      </c>
      <c r="D105" t="str">
        <f t="shared" si="1"/>
        <v>760135087</v>
      </c>
      <c r="E105" t="s">
        <v>400</v>
      </c>
      <c r="F105">
        <f>G105-SUMIFS('Sold out'!K:K,'Sold out'!I:I,'Main Stock'!C105)+SUMIFS('Receiving '!G:G,'Receiving '!E:E,'Main Stock'!C105)</f>
        <v>84</v>
      </c>
      <c r="G105">
        <v>84</v>
      </c>
      <c r="H105" t="s">
        <v>1289</v>
      </c>
    </row>
    <row r="106" spans="1:8" x14ac:dyDescent="0.2">
      <c r="A106" t="s">
        <v>4711</v>
      </c>
      <c r="B106" t="s">
        <v>1656</v>
      </c>
      <c r="C106" t="s">
        <v>401</v>
      </c>
      <c r="D106" t="str">
        <f t="shared" si="1"/>
        <v>760231522</v>
      </c>
      <c r="E106" t="s">
        <v>402</v>
      </c>
      <c r="F106">
        <f>G106-SUMIFS('Sold out'!K:K,'Sold out'!I:I,'Main Stock'!C106)+SUMIFS('Receiving '!G:G,'Receiving '!E:E,'Main Stock'!C106)</f>
        <v>7</v>
      </c>
      <c r="G106">
        <v>7</v>
      </c>
      <c r="H106" t="s">
        <v>1285</v>
      </c>
    </row>
    <row r="107" spans="1:8" x14ac:dyDescent="0.2">
      <c r="A107" t="s">
        <v>4711</v>
      </c>
      <c r="B107" t="s">
        <v>1656</v>
      </c>
      <c r="C107" t="s">
        <v>403</v>
      </c>
      <c r="D107" t="str">
        <f t="shared" si="1"/>
        <v>CPCSSZ2-0ZF007</v>
      </c>
      <c r="E107" t="s">
        <v>404</v>
      </c>
      <c r="F107">
        <f>G107-SUMIFS('Sold out'!K:K,'Sold out'!I:I,'Main Stock'!C107)+SUMIFS('Receiving '!G:G,'Receiving '!E:E,'Main Stock'!C107)</f>
        <v>0</v>
      </c>
      <c r="G107">
        <v>0</v>
      </c>
    </row>
    <row r="108" spans="1:8" x14ac:dyDescent="0.2">
      <c r="A108" t="s">
        <v>4711</v>
      </c>
      <c r="B108" t="s">
        <v>1656</v>
      </c>
      <c r="C108" t="s">
        <v>405</v>
      </c>
      <c r="D108" t="str">
        <f t="shared" si="1"/>
        <v>CPCSSZ2-0ZF010</v>
      </c>
      <c r="E108" t="s">
        <v>406</v>
      </c>
      <c r="F108">
        <f>G108-SUMIFS('Sold out'!K:K,'Sold out'!I:I,'Main Stock'!C108)+SUMIFS('Receiving '!G:G,'Receiving '!E:E,'Main Stock'!C108)</f>
        <v>0</v>
      </c>
      <c r="G108">
        <v>0</v>
      </c>
    </row>
    <row r="109" spans="1:8" x14ac:dyDescent="0.2">
      <c r="A109" t="s">
        <v>4711</v>
      </c>
      <c r="B109" t="s">
        <v>1656</v>
      </c>
      <c r="C109" t="s">
        <v>407</v>
      </c>
      <c r="D109" t="str">
        <f t="shared" si="1"/>
        <v>1671000-8</v>
      </c>
      <c r="E109" t="s">
        <v>408</v>
      </c>
      <c r="F109">
        <f>G109-SUMIFS('Sold out'!K:K,'Sold out'!I:I,'Main Stock'!C109)+SUMIFS('Receiving '!G:G,'Receiving '!E:E,'Main Stock'!C109)</f>
        <v>252</v>
      </c>
      <c r="G109">
        <v>262</v>
      </c>
      <c r="H109" t="s">
        <v>1302</v>
      </c>
    </row>
    <row r="110" spans="1:8" x14ac:dyDescent="0.2">
      <c r="A110" t="s">
        <v>4711</v>
      </c>
      <c r="B110" t="s">
        <v>1656</v>
      </c>
      <c r="C110" t="s">
        <v>409</v>
      </c>
      <c r="D110" t="str">
        <f t="shared" si="1"/>
        <v>657054-000</v>
      </c>
      <c r="E110" t="s">
        <v>410</v>
      </c>
      <c r="F110">
        <f>G110-SUMIFS('Sold out'!K:K,'Sold out'!I:I,'Main Stock'!C110)+SUMIFS('Receiving '!G:G,'Receiving '!E:E,'Main Stock'!C110)</f>
        <v>688</v>
      </c>
      <c r="G110">
        <v>688</v>
      </c>
      <c r="H110" t="s">
        <v>1303</v>
      </c>
    </row>
    <row r="111" spans="1:8" x14ac:dyDescent="0.2">
      <c r="A111" t="s">
        <v>4711</v>
      </c>
      <c r="B111" t="s">
        <v>1656</v>
      </c>
      <c r="C111" t="s">
        <v>411</v>
      </c>
      <c r="D111" t="str">
        <f t="shared" si="1"/>
        <v>1-599622-3</v>
      </c>
      <c r="E111" t="s">
        <v>412</v>
      </c>
      <c r="F111">
        <f>G111-SUMIFS('Sold out'!K:K,'Sold out'!I:I,'Main Stock'!C111)+SUMIFS('Receiving '!G:G,'Receiving '!E:E,'Main Stock'!C111)</f>
        <v>0</v>
      </c>
      <c r="G111">
        <v>0</v>
      </c>
    </row>
    <row r="112" spans="1:8" x14ac:dyDescent="0.2">
      <c r="A112" t="s">
        <v>4711</v>
      </c>
      <c r="B112" t="s">
        <v>1656</v>
      </c>
      <c r="C112" t="s">
        <v>413</v>
      </c>
      <c r="D112" t="str">
        <f t="shared" si="1"/>
        <v>1-599624-3</v>
      </c>
      <c r="E112" t="s">
        <v>414</v>
      </c>
      <c r="F112">
        <f>G112-SUMIFS('Sold out'!K:K,'Sold out'!I:I,'Main Stock'!C112)+SUMIFS('Receiving '!G:G,'Receiving '!E:E,'Main Stock'!C112)</f>
        <v>0</v>
      </c>
      <c r="G112">
        <v>0</v>
      </c>
    </row>
    <row r="113" spans="1:8" x14ac:dyDescent="0.2">
      <c r="A113" t="s">
        <v>4711</v>
      </c>
      <c r="B113" t="s">
        <v>1656</v>
      </c>
      <c r="C113" t="s">
        <v>415</v>
      </c>
      <c r="D113" t="str">
        <f t="shared" si="1"/>
        <v>1711349-1</v>
      </c>
      <c r="E113" t="s">
        <v>416</v>
      </c>
      <c r="F113">
        <f>G113-SUMIFS('Sold out'!K:K,'Sold out'!I:I,'Main Stock'!C113)+SUMIFS('Receiving '!G:G,'Receiving '!E:E,'Main Stock'!C113)</f>
        <v>0</v>
      </c>
      <c r="G113">
        <v>0</v>
      </c>
    </row>
    <row r="114" spans="1:8" x14ac:dyDescent="0.2">
      <c r="A114" t="s">
        <v>4711</v>
      </c>
      <c r="B114" t="s">
        <v>1656</v>
      </c>
      <c r="C114" t="s">
        <v>417</v>
      </c>
      <c r="D114" t="str">
        <f t="shared" si="1"/>
        <v>2-599622-4</v>
      </c>
      <c r="E114" t="s">
        <v>418</v>
      </c>
      <c r="F114">
        <f>G114-SUMIFS('Sold out'!K:K,'Sold out'!I:I,'Main Stock'!C114)+SUMIFS('Receiving '!G:G,'Receiving '!E:E,'Main Stock'!C114)</f>
        <v>0</v>
      </c>
      <c r="G114">
        <v>0</v>
      </c>
    </row>
    <row r="115" spans="1:8" x14ac:dyDescent="0.2">
      <c r="A115" t="s">
        <v>4711</v>
      </c>
      <c r="B115" t="s">
        <v>1656</v>
      </c>
      <c r="C115" t="s">
        <v>419</v>
      </c>
      <c r="D115" t="str">
        <f t="shared" si="1"/>
        <v>NPC6ASZDB-WT005M</v>
      </c>
      <c r="E115" t="s">
        <v>420</v>
      </c>
      <c r="F115">
        <f>G115-SUMIFS('Sold out'!K:K,'Sold out'!I:I,'Main Stock'!C115)+SUMIFS('Receiving '!G:G,'Receiving '!E:E,'Main Stock'!C115)</f>
        <v>88</v>
      </c>
      <c r="G115">
        <v>88</v>
      </c>
      <c r="H115" t="s">
        <v>1304</v>
      </c>
    </row>
    <row r="116" spans="1:8" x14ac:dyDescent="0.2">
      <c r="A116" t="s">
        <v>4711</v>
      </c>
      <c r="B116" t="s">
        <v>1656</v>
      </c>
      <c r="C116" t="s">
        <v>421</v>
      </c>
      <c r="D116" t="str">
        <f t="shared" si="1"/>
        <v>1671281-1</v>
      </c>
      <c r="E116" t="s">
        <v>422</v>
      </c>
      <c r="F116">
        <f>G116-SUMIFS('Sold out'!K:K,'Sold out'!I:I,'Main Stock'!C116)+SUMIFS('Receiving '!G:G,'Receiving '!E:E,'Main Stock'!C116)</f>
        <v>23</v>
      </c>
      <c r="G116">
        <v>43</v>
      </c>
      <c r="H116" t="s">
        <v>1285</v>
      </c>
    </row>
    <row r="117" spans="1:8" x14ac:dyDescent="0.2">
      <c r="A117" t="s">
        <v>4711</v>
      </c>
      <c r="B117" t="s">
        <v>1656</v>
      </c>
      <c r="C117" t="s">
        <v>423</v>
      </c>
      <c r="D117" t="str">
        <f t="shared" si="1"/>
        <v>760237041</v>
      </c>
      <c r="E117" t="s">
        <v>424</v>
      </c>
      <c r="F117">
        <f>G117-SUMIFS('Sold out'!K:K,'Sold out'!I:I,'Main Stock'!C117)+SUMIFS('Receiving '!G:G,'Receiving '!E:E,'Main Stock'!C117)</f>
        <v>80</v>
      </c>
      <c r="G117">
        <v>80</v>
      </c>
      <c r="H117" t="s">
        <v>1305</v>
      </c>
    </row>
    <row r="118" spans="1:8" x14ac:dyDescent="0.2">
      <c r="A118" t="s">
        <v>4711</v>
      </c>
      <c r="B118" t="s">
        <v>1656</v>
      </c>
      <c r="C118" t="s">
        <v>425</v>
      </c>
      <c r="D118" t="str">
        <f t="shared" si="1"/>
        <v>1375055-2</v>
      </c>
      <c r="E118" t="s">
        <v>426</v>
      </c>
      <c r="F118">
        <f>G118-SUMIFS('Sold out'!K:K,'Sold out'!I:I,'Main Stock'!C118)+SUMIFS('Receiving '!G:G,'Receiving '!E:E,'Main Stock'!C118)</f>
        <v>0</v>
      </c>
      <c r="G118">
        <v>0</v>
      </c>
    </row>
    <row r="119" spans="1:8" x14ac:dyDescent="0.2">
      <c r="A119" t="s">
        <v>4711</v>
      </c>
      <c r="B119" t="s">
        <v>1656</v>
      </c>
      <c r="C119" t="s">
        <v>427</v>
      </c>
      <c r="D119" t="str">
        <f t="shared" si="1"/>
        <v>NPC06UZDB-WT001M</v>
      </c>
      <c r="E119" t="s">
        <v>428</v>
      </c>
      <c r="F119">
        <f>G119-SUMIFS('Sold out'!K:K,'Sold out'!I:I,'Main Stock'!C119)+SUMIFS('Receiving '!G:G,'Receiving '!E:E,'Main Stock'!C119)</f>
        <v>1592</v>
      </c>
      <c r="G119">
        <v>1592</v>
      </c>
      <c r="H119" t="s">
        <v>1306</v>
      </c>
    </row>
    <row r="120" spans="1:8" x14ac:dyDescent="0.2">
      <c r="A120" t="s">
        <v>4711</v>
      </c>
      <c r="B120" t="s">
        <v>1656</v>
      </c>
      <c r="C120" t="s">
        <v>429</v>
      </c>
      <c r="D120" t="str">
        <f t="shared" si="1"/>
        <v>NPC06UZDB-WT003M</v>
      </c>
      <c r="E120" t="s">
        <v>430</v>
      </c>
      <c r="F120">
        <f>G120-SUMIFS('Sold out'!K:K,'Sold out'!I:I,'Main Stock'!C120)+SUMIFS('Receiving '!G:G,'Receiving '!E:E,'Main Stock'!C120)</f>
        <v>373</v>
      </c>
      <c r="G120">
        <v>373</v>
      </c>
      <c r="H120" t="s">
        <v>1307</v>
      </c>
    </row>
    <row r="121" spans="1:8" x14ac:dyDescent="0.2">
      <c r="A121" t="s">
        <v>4711</v>
      </c>
      <c r="B121" t="s">
        <v>1656</v>
      </c>
      <c r="C121" t="s">
        <v>431</v>
      </c>
      <c r="D121" t="str">
        <f t="shared" si="1"/>
        <v>760100891</v>
      </c>
      <c r="E121" t="s">
        <v>432</v>
      </c>
      <c r="F121">
        <f>G121-SUMIFS('Sold out'!K:K,'Sold out'!I:I,'Main Stock'!C121)+SUMIFS('Receiving '!G:G,'Receiving '!E:E,'Main Stock'!C121)</f>
        <v>0</v>
      </c>
      <c r="G121">
        <v>0</v>
      </c>
    </row>
    <row r="122" spans="1:8" x14ac:dyDescent="0.2">
      <c r="A122" t="s">
        <v>4711</v>
      </c>
      <c r="B122" t="s">
        <v>1656</v>
      </c>
      <c r="C122" t="s">
        <v>433</v>
      </c>
      <c r="D122" t="str">
        <f t="shared" si="1"/>
        <v>FDWLCSC42-JXF017</v>
      </c>
      <c r="E122" t="s">
        <v>434</v>
      </c>
      <c r="F122">
        <f>G122-SUMIFS('Sold out'!K:K,'Sold out'!I:I,'Main Stock'!C122)+SUMIFS('Receiving '!G:G,'Receiving '!E:E,'Main Stock'!C122)</f>
        <v>0</v>
      </c>
      <c r="G122">
        <v>0</v>
      </c>
    </row>
    <row r="123" spans="1:8" x14ac:dyDescent="0.2">
      <c r="A123" t="s">
        <v>4711</v>
      </c>
      <c r="B123" t="s">
        <v>1656</v>
      </c>
      <c r="C123" t="s">
        <v>435</v>
      </c>
      <c r="D123" t="str">
        <f t="shared" si="1"/>
        <v>760248901</v>
      </c>
      <c r="E123" t="s">
        <v>436</v>
      </c>
      <c r="F123">
        <f>G123-SUMIFS('Sold out'!K:K,'Sold out'!I:I,'Main Stock'!C123)+SUMIFS('Receiving '!G:G,'Receiving '!E:E,'Main Stock'!C123)</f>
        <v>0</v>
      </c>
      <c r="G123">
        <v>0</v>
      </c>
    </row>
    <row r="124" spans="1:8" x14ac:dyDescent="0.2">
      <c r="A124" t="s">
        <v>4711</v>
      </c>
      <c r="B124" t="s">
        <v>1656</v>
      </c>
      <c r="C124" t="s">
        <v>437</v>
      </c>
      <c r="D124" t="str">
        <f t="shared" si="1"/>
        <v>700009749</v>
      </c>
      <c r="E124" t="s">
        <v>438</v>
      </c>
      <c r="F124">
        <f>G124-SUMIFS('Sold out'!K:K,'Sold out'!I:I,'Main Stock'!C124)+SUMIFS('Receiving '!G:G,'Receiving '!E:E,'Main Stock'!C124)</f>
        <v>0</v>
      </c>
      <c r="G124">
        <v>0</v>
      </c>
    </row>
    <row r="125" spans="1:8" x14ac:dyDescent="0.2">
      <c r="A125" t="s">
        <v>4711</v>
      </c>
      <c r="B125" t="s">
        <v>1656</v>
      </c>
      <c r="C125" t="s">
        <v>439</v>
      </c>
      <c r="D125" t="str">
        <f t="shared" si="1"/>
        <v>884041954/16</v>
      </c>
      <c r="E125" t="s">
        <v>440</v>
      </c>
      <c r="F125">
        <f>G125-SUMIFS('Sold out'!K:K,'Sold out'!I:I,'Main Stock'!C125)+SUMIFS('Receiving '!G:G,'Receiving '!E:E,'Main Stock'!C125)</f>
        <v>2524496</v>
      </c>
      <c r="G125">
        <v>2236496</v>
      </c>
      <c r="H125" t="s">
        <v>1308</v>
      </c>
    </row>
    <row r="126" spans="1:8" x14ac:dyDescent="0.2">
      <c r="A126" t="s">
        <v>4711</v>
      </c>
      <c r="B126" t="s">
        <v>1656</v>
      </c>
      <c r="C126" t="s">
        <v>441</v>
      </c>
      <c r="D126" t="str">
        <f t="shared" si="1"/>
        <v>760237047</v>
      </c>
      <c r="E126" t="s">
        <v>442</v>
      </c>
      <c r="F126">
        <f>G126-SUMIFS('Sold out'!K:K,'Sold out'!I:I,'Main Stock'!C126)+SUMIFS('Receiving '!G:G,'Receiving '!E:E,'Main Stock'!C126)</f>
        <v>369</v>
      </c>
      <c r="G126">
        <v>251</v>
      </c>
      <c r="H126" t="s">
        <v>1285</v>
      </c>
    </row>
    <row r="127" spans="1:8" x14ac:dyDescent="0.2">
      <c r="A127" t="s">
        <v>4711</v>
      </c>
      <c r="B127" t="s">
        <v>1656</v>
      </c>
      <c r="C127" t="s">
        <v>443</v>
      </c>
      <c r="D127" t="str">
        <f t="shared" si="1"/>
        <v>NPC06UZDB-WT005M</v>
      </c>
      <c r="E127" t="s">
        <v>442</v>
      </c>
      <c r="F127">
        <f>G127-SUMIFS('Sold out'!K:K,'Sold out'!I:I,'Main Stock'!C127)+SUMIFS('Receiving '!G:G,'Receiving '!E:E,'Main Stock'!C127)</f>
        <v>0</v>
      </c>
      <c r="G127">
        <v>0</v>
      </c>
    </row>
    <row r="128" spans="1:8" x14ac:dyDescent="0.2">
      <c r="A128" t="s">
        <v>4711</v>
      </c>
      <c r="B128" t="s">
        <v>1656</v>
      </c>
      <c r="C128" t="s">
        <v>444</v>
      </c>
      <c r="D128" t="str">
        <f t="shared" si="1"/>
        <v>NPC6ASZDB-WT001M</v>
      </c>
      <c r="E128" t="s">
        <v>445</v>
      </c>
      <c r="F128">
        <f>G128-SUMIFS('Sold out'!K:K,'Sold out'!I:I,'Main Stock'!C128)+SUMIFS('Receiving '!G:G,'Receiving '!E:E,'Main Stock'!C128)</f>
        <v>8447</v>
      </c>
      <c r="G128">
        <v>8447</v>
      </c>
      <c r="H128">
        <v>0</v>
      </c>
    </row>
    <row r="129" spans="1:9" x14ac:dyDescent="0.2">
      <c r="A129" t="s">
        <v>4711</v>
      </c>
      <c r="B129" t="s">
        <v>1656</v>
      </c>
      <c r="C129" t="s">
        <v>446</v>
      </c>
      <c r="D129" t="str">
        <f t="shared" si="1"/>
        <v>760152587</v>
      </c>
      <c r="E129" t="s">
        <v>447</v>
      </c>
      <c r="F129">
        <f>G129-SUMIFS('Sold out'!K:K,'Sold out'!I:I,'Main Stock'!C129)+SUMIFS('Receiving '!G:G,'Receiving '!E:E,'Main Stock'!C129)</f>
        <v>123</v>
      </c>
      <c r="G129">
        <v>123</v>
      </c>
      <c r="H129" t="s">
        <v>1285</v>
      </c>
    </row>
    <row r="130" spans="1:9" x14ac:dyDescent="0.2">
      <c r="A130" t="s">
        <v>4711</v>
      </c>
      <c r="B130" t="s">
        <v>1656</v>
      </c>
      <c r="C130" t="s">
        <v>448</v>
      </c>
      <c r="D130" t="str">
        <f t="shared" si="1"/>
        <v>760152595</v>
      </c>
      <c r="E130" t="s">
        <v>449</v>
      </c>
      <c r="F130">
        <f>G130-SUMIFS('Sold out'!K:K,'Sold out'!I:I,'Main Stock'!C130)+SUMIFS('Receiving '!G:G,'Receiving '!E:E,'Main Stock'!C130)</f>
        <v>131</v>
      </c>
      <c r="G130">
        <v>131</v>
      </c>
      <c r="H130" t="s">
        <v>1309</v>
      </c>
    </row>
    <row r="131" spans="1:9" x14ac:dyDescent="0.2">
      <c r="A131" t="s">
        <v>4711</v>
      </c>
      <c r="B131" t="s">
        <v>1656</v>
      </c>
      <c r="C131" t="s">
        <v>450</v>
      </c>
      <c r="D131" t="str">
        <f t="shared" ref="D131:D194" si="2">C131</f>
        <v>1711163-1</v>
      </c>
      <c r="E131" t="s">
        <v>451</v>
      </c>
      <c r="F131">
        <f>G131-SUMIFS('Sold out'!K:K,'Sold out'!I:I,'Main Stock'!C131)+SUMIFS('Receiving '!G:G,'Receiving '!E:E,'Main Stock'!C131)</f>
        <v>0</v>
      </c>
      <c r="G131">
        <v>0</v>
      </c>
    </row>
    <row r="132" spans="1:9" x14ac:dyDescent="0.2">
      <c r="A132" t="s">
        <v>4711</v>
      </c>
      <c r="B132" t="s">
        <v>1656</v>
      </c>
      <c r="C132" t="s">
        <v>452</v>
      </c>
      <c r="D132" t="str">
        <f t="shared" si="2"/>
        <v>NPC6ASZDB-BL003M</v>
      </c>
      <c r="E132" t="s">
        <v>453</v>
      </c>
      <c r="F132">
        <f>G132-SUMIFS('Sold out'!K:K,'Sold out'!I:I,'Main Stock'!C132)+SUMIFS('Receiving '!G:G,'Receiving '!E:E,'Main Stock'!C132)</f>
        <v>15</v>
      </c>
      <c r="G132">
        <v>15</v>
      </c>
      <c r="H132" t="s">
        <v>1288</v>
      </c>
    </row>
    <row r="133" spans="1:9" x14ac:dyDescent="0.2">
      <c r="A133" t="s">
        <v>4711</v>
      </c>
      <c r="B133" t="s">
        <v>1656</v>
      </c>
      <c r="C133" t="s">
        <v>454</v>
      </c>
      <c r="D133" t="str">
        <f t="shared" si="2"/>
        <v>760106047</v>
      </c>
      <c r="E133" t="s">
        <v>455</v>
      </c>
      <c r="F133">
        <f>G133-SUMIFS('Sold out'!K:K,'Sold out'!I:I,'Main Stock'!C133)+SUMIFS('Receiving '!G:G,'Receiving '!E:E,'Main Stock'!C133)</f>
        <v>303000</v>
      </c>
      <c r="G133">
        <v>303000</v>
      </c>
      <c r="H133" t="s">
        <v>1310</v>
      </c>
    </row>
    <row r="134" spans="1:9" x14ac:dyDescent="0.2">
      <c r="A134" t="s">
        <v>4711</v>
      </c>
      <c r="B134" t="s">
        <v>1656</v>
      </c>
      <c r="C134" t="s">
        <v>456</v>
      </c>
      <c r="D134" t="str">
        <f t="shared" si="2"/>
        <v>760106039</v>
      </c>
      <c r="E134" t="s">
        <v>457</v>
      </c>
      <c r="F134">
        <f>G134-SUMIFS('Sold out'!K:K,'Sold out'!I:I,'Main Stock'!C134)+SUMIFS('Receiving '!G:G,'Receiving '!E:E,'Main Stock'!C134)</f>
        <v>0</v>
      </c>
      <c r="G134">
        <v>0</v>
      </c>
    </row>
    <row r="135" spans="1:9" x14ac:dyDescent="0.2">
      <c r="A135" t="s">
        <v>4711</v>
      </c>
      <c r="B135" t="s">
        <v>1656</v>
      </c>
      <c r="C135" t="s">
        <v>458</v>
      </c>
      <c r="D135" t="str">
        <f t="shared" si="2"/>
        <v>760105890</v>
      </c>
      <c r="E135" t="s">
        <v>455</v>
      </c>
      <c r="F135">
        <f>G135-SUMIFS('Sold out'!K:K,'Sold out'!I:I,'Main Stock'!C135)+SUMIFS('Receiving '!G:G,'Receiving '!E:E,'Main Stock'!C135)</f>
        <v>0</v>
      </c>
      <c r="G135">
        <v>0</v>
      </c>
    </row>
    <row r="136" spans="1:9" x14ac:dyDescent="0.2">
      <c r="A136" t="s">
        <v>4711</v>
      </c>
      <c r="B136" t="s">
        <v>1656</v>
      </c>
      <c r="C136" t="s">
        <v>459</v>
      </c>
      <c r="D136" t="str">
        <f t="shared" si="2"/>
        <v>NPC6ASZDB-RD001M</v>
      </c>
      <c r="E136" t="s">
        <v>460</v>
      </c>
      <c r="F136">
        <f>G136-SUMIFS('Sold out'!K:K,'Sold out'!I:I,'Main Stock'!C136)+SUMIFS('Receiving '!G:G,'Receiving '!E:E,'Main Stock'!C136)</f>
        <v>0</v>
      </c>
      <c r="G136">
        <v>0</v>
      </c>
    </row>
    <row r="137" spans="1:9" x14ac:dyDescent="0.2">
      <c r="A137" t="s">
        <v>4711</v>
      </c>
      <c r="B137" t="s">
        <v>1656</v>
      </c>
      <c r="C137" t="s">
        <v>461</v>
      </c>
      <c r="D137" t="str">
        <f t="shared" si="2"/>
        <v>CC8480-000</v>
      </c>
      <c r="E137" t="s">
        <v>462</v>
      </c>
      <c r="F137">
        <f>G137-SUMIFS('Sold out'!K:K,'Sold out'!I:I,'Main Stock'!C137)+SUMIFS('Receiving '!G:G,'Receiving '!E:E,'Main Stock'!C137)</f>
        <v>0</v>
      </c>
      <c r="G137">
        <v>0</v>
      </c>
    </row>
    <row r="138" spans="1:9" x14ac:dyDescent="0.2">
      <c r="A138" t="s">
        <v>4711</v>
      </c>
      <c r="B138" t="s">
        <v>1656</v>
      </c>
      <c r="C138" t="s">
        <v>463</v>
      </c>
      <c r="D138" t="str">
        <f t="shared" si="2"/>
        <v>1711411-1</v>
      </c>
      <c r="E138" t="s">
        <v>464</v>
      </c>
      <c r="F138">
        <f>G138-SUMIFS('Sold out'!K:K,'Sold out'!I:I,'Main Stock'!C138)+SUMIFS('Receiving '!G:G,'Receiving '!E:E,'Main Stock'!C138)</f>
        <v>0</v>
      </c>
      <c r="G138">
        <v>0</v>
      </c>
    </row>
    <row r="139" spans="1:9" x14ac:dyDescent="0.2">
      <c r="A139" t="s">
        <v>4711</v>
      </c>
      <c r="B139" t="s">
        <v>1656</v>
      </c>
      <c r="C139" t="s">
        <v>465</v>
      </c>
      <c r="D139" t="str">
        <f t="shared" si="2"/>
        <v>FFXLCLC42-MXF033</v>
      </c>
      <c r="E139" t="s">
        <v>466</v>
      </c>
      <c r="F139">
        <f>G139-SUMIFS('Sold out'!K:K,'Sold out'!I:I,'Main Stock'!C139)+SUMIFS('Receiving '!G:G,'Receiving '!E:E,'Main Stock'!C139)</f>
        <v>48</v>
      </c>
      <c r="G139">
        <v>48</v>
      </c>
      <c r="H139" t="s">
        <v>1288</v>
      </c>
    </row>
    <row r="140" spans="1:9" x14ac:dyDescent="0.2">
      <c r="A140" t="s">
        <v>4711</v>
      </c>
      <c r="B140" t="s">
        <v>1656</v>
      </c>
      <c r="C140" t="s">
        <v>467</v>
      </c>
      <c r="D140" t="str">
        <f t="shared" si="2"/>
        <v>CW16452-000</v>
      </c>
      <c r="E140" t="s">
        <v>468</v>
      </c>
      <c r="F140">
        <f>G140-SUMIFS('Sold out'!K:K,'Sold out'!I:I,'Main Stock'!C140)+SUMIFS('Receiving '!G:G,'Receiving '!E:E,'Main Stock'!C140)</f>
        <v>0</v>
      </c>
      <c r="G140">
        <v>0</v>
      </c>
    </row>
    <row r="141" spans="1:9" x14ac:dyDescent="0.2">
      <c r="A141" t="s">
        <v>4711</v>
      </c>
      <c r="B141" t="s">
        <v>1656</v>
      </c>
      <c r="C141" t="s">
        <v>469</v>
      </c>
      <c r="D141" t="str">
        <f t="shared" si="2"/>
        <v>760039867</v>
      </c>
      <c r="E141" t="s">
        <v>470</v>
      </c>
      <c r="F141">
        <f>G141-SUMIFS('Sold out'!K:K,'Sold out'!I:I,'Main Stock'!C141)+SUMIFS('Receiving '!G:G,'Receiving '!E:E,'Main Stock'!C141)</f>
        <v>92</v>
      </c>
      <c r="G141">
        <v>92</v>
      </c>
      <c r="H141" t="s">
        <v>1311</v>
      </c>
    </row>
    <row r="142" spans="1:9" ht="16" x14ac:dyDescent="0.2">
      <c r="A142" t="s">
        <v>4711</v>
      </c>
      <c r="B142" t="s">
        <v>1656</v>
      </c>
      <c r="C142" t="s">
        <v>471</v>
      </c>
      <c r="D142" t="str">
        <f t="shared" si="2"/>
        <v>760241035</v>
      </c>
      <c r="E142" t="s">
        <v>472</v>
      </c>
      <c r="F142">
        <f>G142-SUMIFS('Sold out'!K:K,'Sold out'!I:I,'Main Stock'!C142)+SUMIFS('Receiving '!G:G,'Receiving '!E:E,'Main Stock'!C142)</f>
        <v>2721</v>
      </c>
      <c r="G142">
        <v>2721</v>
      </c>
      <c r="H142" t="s">
        <v>1280</v>
      </c>
      <c r="I142" s="34" t="s">
        <v>1384</v>
      </c>
    </row>
    <row r="143" spans="1:9" ht="16" x14ac:dyDescent="0.2">
      <c r="A143" t="s">
        <v>4711</v>
      </c>
      <c r="B143" t="s">
        <v>1656</v>
      </c>
      <c r="C143" t="s">
        <v>473</v>
      </c>
      <c r="D143" t="str">
        <f t="shared" si="2"/>
        <v>760068718</v>
      </c>
      <c r="E143" t="s">
        <v>474</v>
      </c>
      <c r="F143">
        <f>G143-SUMIFS('Sold out'!K:K,'Sold out'!I:I,'Main Stock'!C143)+SUMIFS('Receiving '!G:G,'Receiving '!E:E,'Main Stock'!C143)</f>
        <v>6888</v>
      </c>
      <c r="G143">
        <v>6888</v>
      </c>
      <c r="H143" t="s">
        <v>1312</v>
      </c>
      <c r="I143" s="34" t="s">
        <v>1385</v>
      </c>
    </row>
    <row r="144" spans="1:9" x14ac:dyDescent="0.2">
      <c r="A144" t="s">
        <v>4711</v>
      </c>
      <c r="B144" t="s">
        <v>1656</v>
      </c>
      <c r="C144" t="s">
        <v>475</v>
      </c>
      <c r="D144" t="str">
        <f t="shared" si="2"/>
        <v>760053876</v>
      </c>
      <c r="E144" t="s">
        <v>476</v>
      </c>
      <c r="F144">
        <f>G144-SUMIFS('Sold out'!K:K,'Sold out'!I:I,'Main Stock'!C144)+SUMIFS('Receiving '!G:G,'Receiving '!E:E,'Main Stock'!C144)</f>
        <v>0</v>
      </c>
      <c r="G144">
        <v>0</v>
      </c>
    </row>
    <row r="145" spans="1:9" x14ac:dyDescent="0.2">
      <c r="A145" t="s">
        <v>4711</v>
      </c>
      <c r="B145" t="s">
        <v>1656</v>
      </c>
      <c r="C145" t="s">
        <v>477</v>
      </c>
      <c r="D145" t="str">
        <f t="shared" si="2"/>
        <v>3-2160016-0</v>
      </c>
      <c r="E145" t="s">
        <v>478</v>
      </c>
      <c r="F145">
        <f>G145-SUMIFS('Sold out'!K:K,'Sold out'!I:I,'Main Stock'!C145)+SUMIFS('Receiving '!G:G,'Receiving '!E:E,'Main Stock'!C145)</f>
        <v>0</v>
      </c>
      <c r="G145">
        <v>0</v>
      </c>
    </row>
    <row r="146" spans="1:9" x14ac:dyDescent="0.2">
      <c r="A146" t="s">
        <v>4711</v>
      </c>
      <c r="B146" t="s">
        <v>1656</v>
      </c>
      <c r="C146" t="s">
        <v>479</v>
      </c>
      <c r="D146" t="str">
        <f t="shared" si="2"/>
        <v>2-599625-3</v>
      </c>
      <c r="E146" t="s">
        <v>480</v>
      </c>
      <c r="F146">
        <f>G146-SUMIFS('Sold out'!K:K,'Sold out'!I:I,'Main Stock'!C146)+SUMIFS('Receiving '!G:G,'Receiving '!E:E,'Main Stock'!C146)</f>
        <v>0</v>
      </c>
      <c r="G146">
        <v>0</v>
      </c>
    </row>
    <row r="147" spans="1:9" ht="32" x14ac:dyDescent="0.2">
      <c r="A147" t="s">
        <v>4711</v>
      </c>
      <c r="B147" t="s">
        <v>1656</v>
      </c>
      <c r="C147" t="s">
        <v>481</v>
      </c>
      <c r="D147" t="str">
        <f t="shared" si="2"/>
        <v>2-599617-3</v>
      </c>
      <c r="E147" t="s">
        <v>482</v>
      </c>
      <c r="F147">
        <f>G147-SUMIFS('Sold out'!K:K,'Sold out'!I:I,'Main Stock'!C147)+SUMIFS('Receiving '!G:G,'Receiving '!E:E,'Main Stock'!C147)</f>
        <v>22</v>
      </c>
      <c r="G147">
        <v>22</v>
      </c>
      <c r="H147" t="s">
        <v>1313</v>
      </c>
      <c r="I147" s="34" t="s">
        <v>1386</v>
      </c>
    </row>
    <row r="148" spans="1:9" ht="32" x14ac:dyDescent="0.2">
      <c r="A148" t="s">
        <v>4711</v>
      </c>
      <c r="B148" t="s">
        <v>1656</v>
      </c>
      <c r="C148" t="s">
        <v>483</v>
      </c>
      <c r="D148" t="str">
        <f t="shared" si="2"/>
        <v>760053314</v>
      </c>
      <c r="E148" t="s">
        <v>484</v>
      </c>
      <c r="F148">
        <f>G148-SUMIFS('Sold out'!K:K,'Sold out'!I:I,'Main Stock'!C148)+SUMIFS('Receiving '!G:G,'Receiving '!E:E,'Main Stock'!C148)</f>
        <v>25364</v>
      </c>
      <c r="G148">
        <v>25364</v>
      </c>
      <c r="H148">
        <v>0</v>
      </c>
      <c r="I148" s="34" t="s">
        <v>1387</v>
      </c>
    </row>
    <row r="149" spans="1:9" ht="32" x14ac:dyDescent="0.2">
      <c r="A149" t="s">
        <v>4711</v>
      </c>
      <c r="B149" t="s">
        <v>1656</v>
      </c>
      <c r="C149" t="s">
        <v>485</v>
      </c>
      <c r="D149" t="str">
        <f t="shared" si="2"/>
        <v>2-599617-4</v>
      </c>
      <c r="E149" t="s">
        <v>486</v>
      </c>
      <c r="F149">
        <f>G149-SUMIFS('Sold out'!K:K,'Sold out'!I:I,'Main Stock'!C149)+SUMIFS('Receiving '!G:G,'Receiving '!E:E,'Main Stock'!C149)</f>
        <v>0</v>
      </c>
      <c r="G149">
        <v>0</v>
      </c>
      <c r="I149" s="34" t="s">
        <v>1388</v>
      </c>
    </row>
    <row r="150" spans="1:9" x14ac:dyDescent="0.2">
      <c r="A150" t="s">
        <v>4711</v>
      </c>
      <c r="B150" t="s">
        <v>1656</v>
      </c>
      <c r="C150" t="s">
        <v>487</v>
      </c>
      <c r="D150" t="str">
        <f t="shared" si="2"/>
        <v>2-599623-4</v>
      </c>
      <c r="E150" t="s">
        <v>488</v>
      </c>
      <c r="F150">
        <f>G150-SUMIFS('Sold out'!K:K,'Sold out'!I:I,'Main Stock'!C150)+SUMIFS('Receiving '!G:G,'Receiving '!E:E,'Main Stock'!C150)</f>
        <v>0</v>
      </c>
      <c r="G150">
        <v>0</v>
      </c>
    </row>
    <row r="151" spans="1:9" x14ac:dyDescent="0.2">
      <c r="A151" t="s">
        <v>4711</v>
      </c>
      <c r="B151" t="s">
        <v>1656</v>
      </c>
      <c r="C151" t="s">
        <v>489</v>
      </c>
      <c r="D151" t="str">
        <f t="shared" si="2"/>
        <v>760237406</v>
      </c>
      <c r="E151" t="s">
        <v>490</v>
      </c>
      <c r="F151">
        <f>G151-SUMIFS('Sold out'!K:K,'Sold out'!I:I,'Main Stock'!C151)+SUMIFS('Receiving '!G:G,'Receiving '!E:E,'Main Stock'!C151)</f>
        <v>0</v>
      </c>
      <c r="G151">
        <v>0</v>
      </c>
    </row>
    <row r="152" spans="1:9" x14ac:dyDescent="0.2">
      <c r="A152" t="s">
        <v>4711</v>
      </c>
      <c r="B152" t="s">
        <v>1656</v>
      </c>
      <c r="C152" t="s">
        <v>491</v>
      </c>
      <c r="D152" t="str">
        <f t="shared" si="2"/>
        <v>760107334</v>
      </c>
      <c r="E152" t="s">
        <v>492</v>
      </c>
      <c r="F152">
        <f>G152-SUMIFS('Sold out'!K:K,'Sold out'!I:I,'Main Stock'!C152)+SUMIFS('Receiving '!G:G,'Receiving '!E:E,'Main Stock'!C152)</f>
        <v>25997</v>
      </c>
      <c r="G152">
        <v>25997</v>
      </c>
      <c r="H152" t="s">
        <v>1314</v>
      </c>
    </row>
    <row r="153" spans="1:9" x14ac:dyDescent="0.2">
      <c r="A153" t="s">
        <v>4711</v>
      </c>
      <c r="B153" t="s">
        <v>1656</v>
      </c>
      <c r="C153" t="s">
        <v>493</v>
      </c>
      <c r="D153" t="str">
        <f t="shared" si="2"/>
        <v>760236037</v>
      </c>
      <c r="E153" t="s">
        <v>494</v>
      </c>
      <c r="F153">
        <f>G153-SUMIFS('Sold out'!K:K,'Sold out'!I:I,'Main Stock'!C153)+SUMIFS('Receiving '!G:G,'Receiving '!E:E,'Main Stock'!C153)</f>
        <v>49000</v>
      </c>
      <c r="G153">
        <v>49000</v>
      </c>
      <c r="H153" t="s">
        <v>1315</v>
      </c>
    </row>
    <row r="154" spans="1:9" x14ac:dyDescent="0.2">
      <c r="A154" t="s">
        <v>4711</v>
      </c>
      <c r="B154" t="s">
        <v>1656</v>
      </c>
      <c r="C154" t="s">
        <v>495</v>
      </c>
      <c r="D154" t="str">
        <f t="shared" si="2"/>
        <v>760119198</v>
      </c>
      <c r="E154" t="s">
        <v>496</v>
      </c>
      <c r="F154">
        <f>G154-SUMIFS('Sold out'!K:K,'Sold out'!I:I,'Main Stock'!C154)+SUMIFS('Receiving '!G:G,'Receiving '!E:E,'Main Stock'!C154)</f>
        <v>24000</v>
      </c>
      <c r="G154">
        <v>24000</v>
      </c>
      <c r="H154" t="s">
        <v>1316</v>
      </c>
    </row>
    <row r="155" spans="1:9" x14ac:dyDescent="0.2">
      <c r="A155" t="s">
        <v>4711</v>
      </c>
      <c r="B155" t="s">
        <v>1656</v>
      </c>
      <c r="C155" t="s">
        <v>497</v>
      </c>
      <c r="D155" t="str">
        <f t="shared" si="2"/>
        <v>CW6452-000</v>
      </c>
      <c r="E155" t="s">
        <v>468</v>
      </c>
      <c r="F155">
        <f>G155-SUMIFS('Sold out'!K:K,'Sold out'!I:I,'Main Stock'!C155)+SUMIFS('Receiving '!G:G,'Receiving '!E:E,'Main Stock'!C155)</f>
        <v>0</v>
      </c>
      <c r="G155">
        <v>0</v>
      </c>
    </row>
    <row r="156" spans="1:9" x14ac:dyDescent="0.2">
      <c r="A156" t="s">
        <v>4711</v>
      </c>
      <c r="B156" t="s">
        <v>1656</v>
      </c>
      <c r="C156" t="s">
        <v>498</v>
      </c>
      <c r="D156" t="str">
        <f t="shared" si="2"/>
        <v>F05119-000</v>
      </c>
      <c r="E156" t="s">
        <v>499</v>
      </c>
      <c r="F156">
        <f>G156-SUMIFS('Sold out'!K:K,'Sold out'!I:I,'Main Stock'!C156)+SUMIFS('Receiving '!G:G,'Receiving '!E:E,'Main Stock'!C156)</f>
        <v>3595</v>
      </c>
      <c r="G156">
        <v>3595</v>
      </c>
      <c r="H156" t="s">
        <v>1289</v>
      </c>
    </row>
    <row r="157" spans="1:9" x14ac:dyDescent="0.2">
      <c r="A157" t="s">
        <v>4711</v>
      </c>
      <c r="B157" t="s">
        <v>1656</v>
      </c>
      <c r="C157" t="s">
        <v>500</v>
      </c>
      <c r="D157" t="str">
        <f t="shared" si="2"/>
        <v>760019117</v>
      </c>
      <c r="E157" t="s">
        <v>501</v>
      </c>
      <c r="F157">
        <f>G157-SUMIFS('Sold out'!K:K,'Sold out'!I:I,'Main Stock'!C157)+SUMIFS('Receiving '!G:G,'Receiving '!E:E,'Main Stock'!C157)</f>
        <v>0</v>
      </c>
      <c r="G157">
        <v>0</v>
      </c>
    </row>
    <row r="158" spans="1:9" x14ac:dyDescent="0.2">
      <c r="A158" t="s">
        <v>4711</v>
      </c>
      <c r="B158" t="s">
        <v>1656</v>
      </c>
      <c r="C158" t="s">
        <v>502</v>
      </c>
      <c r="D158" t="str">
        <f t="shared" si="2"/>
        <v>FFXLCLC42-MXF065</v>
      </c>
      <c r="E158" t="s">
        <v>503</v>
      </c>
      <c r="F158">
        <f>G158-SUMIFS('Sold out'!K:K,'Sold out'!I:I,'Main Stock'!C158)+SUMIFS('Receiving '!G:G,'Receiving '!E:E,'Main Stock'!C158)</f>
        <v>0</v>
      </c>
      <c r="G158">
        <v>0</v>
      </c>
    </row>
    <row r="159" spans="1:9" x14ac:dyDescent="0.2">
      <c r="A159" t="s">
        <v>4711</v>
      </c>
      <c r="B159" t="s">
        <v>1656</v>
      </c>
      <c r="C159" t="s">
        <v>504</v>
      </c>
      <c r="D159" t="str">
        <f t="shared" si="2"/>
        <v>FFXLCLC42-MXF050</v>
      </c>
      <c r="E159" t="s">
        <v>505</v>
      </c>
      <c r="F159">
        <f>G159-SUMIFS('Sold out'!K:K,'Sold out'!I:I,'Main Stock'!C159)+SUMIFS('Receiving '!G:G,'Receiving '!E:E,'Main Stock'!C159)</f>
        <v>0</v>
      </c>
      <c r="G159">
        <v>0</v>
      </c>
    </row>
    <row r="160" spans="1:9" x14ac:dyDescent="0.2">
      <c r="A160" t="s">
        <v>4711</v>
      </c>
      <c r="B160" t="s">
        <v>1656</v>
      </c>
      <c r="C160" t="s">
        <v>506</v>
      </c>
      <c r="D160" t="str">
        <f t="shared" si="2"/>
        <v>760193771</v>
      </c>
      <c r="E160" t="s">
        <v>507</v>
      </c>
      <c r="F160">
        <f>G160-SUMIFS('Sold out'!K:K,'Sold out'!I:I,'Main Stock'!C160)+SUMIFS('Receiving '!G:G,'Receiving '!E:E,'Main Stock'!C160)</f>
        <v>44</v>
      </c>
      <c r="G160">
        <v>44</v>
      </c>
      <c r="H160">
        <v>0</v>
      </c>
    </row>
    <row r="161" spans="1:9" x14ac:dyDescent="0.2">
      <c r="A161" t="s">
        <v>4711</v>
      </c>
      <c r="B161" t="s">
        <v>1656</v>
      </c>
      <c r="C161" t="s">
        <v>508</v>
      </c>
      <c r="D161" t="str">
        <f t="shared" si="2"/>
        <v>760231506</v>
      </c>
      <c r="E161" t="s">
        <v>509</v>
      </c>
      <c r="F161">
        <f>G161-SUMIFS('Sold out'!K:K,'Sold out'!I:I,'Main Stock'!C161)+SUMIFS('Receiving '!G:G,'Receiving '!E:E,'Main Stock'!C161)</f>
        <v>58</v>
      </c>
      <c r="G161">
        <v>58</v>
      </c>
      <c r="H161" t="s">
        <v>1285</v>
      </c>
    </row>
    <row r="162" spans="1:9" x14ac:dyDescent="0.2">
      <c r="A162" t="s">
        <v>4711</v>
      </c>
      <c r="B162" t="s">
        <v>1656</v>
      </c>
      <c r="C162" t="s">
        <v>510</v>
      </c>
      <c r="D162" t="str">
        <f t="shared" si="2"/>
        <v>6-2111981-3</v>
      </c>
      <c r="E162" t="s">
        <v>511</v>
      </c>
      <c r="F162">
        <f>G162-SUMIFS('Sold out'!K:K,'Sold out'!I:I,'Main Stock'!C162)+SUMIFS('Receiving '!G:G,'Receiving '!E:E,'Main Stock'!C162)</f>
        <v>0</v>
      </c>
      <c r="G162">
        <v>0</v>
      </c>
    </row>
    <row r="163" spans="1:9" x14ac:dyDescent="0.2">
      <c r="A163" t="s">
        <v>4711</v>
      </c>
      <c r="B163" t="s">
        <v>1656</v>
      </c>
      <c r="C163" t="s">
        <v>512</v>
      </c>
      <c r="D163" t="str">
        <f t="shared" si="2"/>
        <v>760109496</v>
      </c>
      <c r="E163" t="s">
        <v>513</v>
      </c>
      <c r="F163">
        <f>G163-SUMIFS('Sold out'!K:K,'Sold out'!I:I,'Main Stock'!C163)+SUMIFS('Receiving '!G:G,'Receiving '!E:E,'Main Stock'!C163)</f>
        <v>236</v>
      </c>
      <c r="G163">
        <v>236</v>
      </c>
      <c r="H163" t="s">
        <v>1317</v>
      </c>
    </row>
    <row r="164" spans="1:9" x14ac:dyDescent="0.2">
      <c r="A164" t="s">
        <v>4711</v>
      </c>
      <c r="B164" t="s">
        <v>1656</v>
      </c>
      <c r="C164" t="s">
        <v>514</v>
      </c>
      <c r="D164" t="str">
        <f t="shared" si="2"/>
        <v>760178129</v>
      </c>
      <c r="E164" t="s">
        <v>515</v>
      </c>
      <c r="F164">
        <f>G164-SUMIFS('Sold out'!K:K,'Sold out'!I:I,'Main Stock'!C164)+SUMIFS('Receiving '!G:G,'Receiving '!E:E,'Main Stock'!C164)</f>
        <v>50000</v>
      </c>
      <c r="G164">
        <v>50000</v>
      </c>
      <c r="H164" t="s">
        <v>1318</v>
      </c>
    </row>
    <row r="165" spans="1:9" x14ac:dyDescent="0.2">
      <c r="A165" t="s">
        <v>4711</v>
      </c>
      <c r="B165" t="s">
        <v>1656</v>
      </c>
      <c r="C165" t="s">
        <v>516</v>
      </c>
      <c r="D165" t="str">
        <f t="shared" si="2"/>
        <v>1711006-1</v>
      </c>
      <c r="E165" t="s">
        <v>517</v>
      </c>
      <c r="F165">
        <f>G165-SUMIFS('Sold out'!K:K,'Sold out'!I:I,'Main Stock'!C165)+SUMIFS('Receiving '!G:G,'Receiving '!E:E,'Main Stock'!C165)</f>
        <v>0</v>
      </c>
      <c r="G165">
        <v>0</v>
      </c>
    </row>
    <row r="166" spans="1:9" x14ac:dyDescent="0.2">
      <c r="A166" t="s">
        <v>4711</v>
      </c>
      <c r="B166" t="s">
        <v>1656</v>
      </c>
      <c r="C166" t="s">
        <v>518</v>
      </c>
      <c r="D166" t="str">
        <f t="shared" si="2"/>
        <v>1859096-1</v>
      </c>
      <c r="E166" t="s">
        <v>519</v>
      </c>
      <c r="F166">
        <f>G166-SUMIFS('Sold out'!K:K,'Sold out'!I:I,'Main Stock'!C166)+SUMIFS('Receiving '!G:G,'Receiving '!E:E,'Main Stock'!C166)</f>
        <v>295</v>
      </c>
      <c r="G166">
        <v>295</v>
      </c>
      <c r="H166" t="s">
        <v>1293</v>
      </c>
    </row>
    <row r="167" spans="1:9" x14ac:dyDescent="0.2">
      <c r="A167" t="s">
        <v>4711</v>
      </c>
      <c r="B167" t="s">
        <v>1656</v>
      </c>
      <c r="C167" t="s">
        <v>520</v>
      </c>
      <c r="D167" t="str">
        <f t="shared" si="2"/>
        <v>FGS-MSNC-F</v>
      </c>
      <c r="E167" t="s">
        <v>521</v>
      </c>
      <c r="F167">
        <f>G167-SUMIFS('Sold out'!K:K,'Sold out'!I:I,'Main Stock'!C167)+SUMIFS('Receiving '!G:G,'Receiving '!E:E,'Main Stock'!C167)</f>
        <v>0</v>
      </c>
      <c r="G167">
        <v>0</v>
      </c>
    </row>
    <row r="168" spans="1:9" x14ac:dyDescent="0.2">
      <c r="A168" t="s">
        <v>4711</v>
      </c>
      <c r="B168" t="s">
        <v>1656</v>
      </c>
      <c r="C168" t="s">
        <v>522</v>
      </c>
      <c r="D168" t="str">
        <f t="shared" si="2"/>
        <v>FGS-MSHS-H</v>
      </c>
      <c r="E168" t="s">
        <v>523</v>
      </c>
      <c r="F168">
        <f>G168-SUMIFS('Sold out'!K:K,'Sold out'!I:I,'Main Stock'!C168)+SUMIFS('Receiving '!G:G,'Receiving '!E:E,'Main Stock'!C168)</f>
        <v>27</v>
      </c>
      <c r="G168">
        <v>27</v>
      </c>
      <c r="H168" t="s">
        <v>1319</v>
      </c>
    </row>
    <row r="169" spans="1:9" x14ac:dyDescent="0.2">
      <c r="A169" t="s">
        <v>4711</v>
      </c>
      <c r="B169" t="s">
        <v>1656</v>
      </c>
      <c r="C169" t="s">
        <v>524</v>
      </c>
      <c r="D169" t="str">
        <f t="shared" si="2"/>
        <v>FGS-MSHS-F</v>
      </c>
      <c r="E169" t="s">
        <v>525</v>
      </c>
      <c r="F169">
        <f>G169-SUMIFS('Sold out'!K:K,'Sold out'!I:I,'Main Stock'!C169)+SUMIFS('Receiving '!G:G,'Receiving '!E:E,'Main Stock'!C169)</f>
        <v>0</v>
      </c>
      <c r="G169">
        <v>0</v>
      </c>
    </row>
    <row r="170" spans="1:9" x14ac:dyDescent="0.2">
      <c r="A170" t="s">
        <v>4711</v>
      </c>
      <c r="B170" t="s">
        <v>1656</v>
      </c>
      <c r="C170" t="s">
        <v>526</v>
      </c>
      <c r="D170" t="str">
        <f t="shared" si="2"/>
        <v>884032314/10</v>
      </c>
      <c r="E170" t="s">
        <v>527</v>
      </c>
      <c r="F170">
        <f>G170-SUMIFS('Sold out'!K:K,'Sold out'!I:I,'Main Stock'!C170)+SUMIFS('Receiving '!G:G,'Receiving '!E:E,'Main Stock'!C170)</f>
        <v>221124</v>
      </c>
      <c r="G170">
        <v>221124</v>
      </c>
      <c r="H170">
        <v>0</v>
      </c>
    </row>
    <row r="171" spans="1:9" x14ac:dyDescent="0.2">
      <c r="A171" t="s">
        <v>4711</v>
      </c>
      <c r="B171" t="s">
        <v>1656</v>
      </c>
      <c r="C171" t="s">
        <v>528</v>
      </c>
      <c r="D171" t="str">
        <f t="shared" si="2"/>
        <v>1-6536501-5</v>
      </c>
      <c r="E171" t="s">
        <v>529</v>
      </c>
      <c r="F171">
        <f>G171-SUMIFS('Sold out'!K:K,'Sold out'!I:I,'Main Stock'!C171)+SUMIFS('Receiving '!G:G,'Receiving '!E:E,'Main Stock'!C171)</f>
        <v>0</v>
      </c>
      <c r="G171">
        <v>0</v>
      </c>
    </row>
    <row r="172" spans="1:9" x14ac:dyDescent="0.2">
      <c r="A172" t="s">
        <v>4711</v>
      </c>
      <c r="B172" t="s">
        <v>1656</v>
      </c>
      <c r="C172" t="s">
        <v>530</v>
      </c>
      <c r="D172" t="str">
        <f t="shared" si="2"/>
        <v>6536501-5</v>
      </c>
      <c r="E172" t="s">
        <v>531</v>
      </c>
      <c r="F172">
        <f>G172-SUMIFS('Sold out'!K:K,'Sold out'!I:I,'Main Stock'!C172)+SUMIFS('Receiving '!G:G,'Receiving '!E:E,'Main Stock'!C172)</f>
        <v>0</v>
      </c>
      <c r="G172">
        <v>0</v>
      </c>
    </row>
    <row r="173" spans="1:9" ht="350" x14ac:dyDescent="0.2">
      <c r="A173" t="s">
        <v>4711</v>
      </c>
      <c r="B173" t="s">
        <v>1656</v>
      </c>
      <c r="C173" t="s">
        <v>532</v>
      </c>
      <c r="D173" t="str">
        <f t="shared" si="2"/>
        <v>760053298</v>
      </c>
      <c r="E173" t="s">
        <v>533</v>
      </c>
      <c r="F173">
        <f>G173-SUMIFS('Sold out'!K:K,'Sold out'!I:I,'Main Stock'!C173)+SUMIFS('Receiving '!G:G,'Receiving '!E:E,'Main Stock'!C173)</f>
        <v>263088</v>
      </c>
      <c r="G173">
        <v>263088</v>
      </c>
      <c r="H173" t="s">
        <v>1320</v>
      </c>
      <c r="I173" s="34" t="s">
        <v>1389</v>
      </c>
    </row>
    <row r="174" spans="1:9" x14ac:dyDescent="0.2">
      <c r="A174" t="s">
        <v>4711</v>
      </c>
      <c r="B174" t="s">
        <v>1656</v>
      </c>
      <c r="C174" t="s">
        <v>534</v>
      </c>
      <c r="D174" t="str">
        <f t="shared" si="2"/>
        <v>760053843</v>
      </c>
      <c r="E174" t="s">
        <v>535</v>
      </c>
      <c r="F174">
        <f>G174-SUMIFS('Sold out'!K:K,'Sold out'!I:I,'Main Stock'!C174)+SUMIFS('Receiving '!G:G,'Receiving '!E:E,'Main Stock'!C174)</f>
        <v>0</v>
      </c>
      <c r="G174">
        <v>0</v>
      </c>
    </row>
    <row r="175" spans="1:9" x14ac:dyDescent="0.2">
      <c r="A175" t="s">
        <v>4711</v>
      </c>
      <c r="B175" t="s">
        <v>1656</v>
      </c>
      <c r="C175" t="s">
        <v>536</v>
      </c>
      <c r="D175" t="str">
        <f t="shared" si="2"/>
        <v>760053850</v>
      </c>
      <c r="E175" t="s">
        <v>537</v>
      </c>
      <c r="F175">
        <f>G175-SUMIFS('Sold out'!K:K,'Sold out'!I:I,'Main Stock'!C175)+SUMIFS('Receiving '!G:G,'Receiving '!E:E,'Main Stock'!C175)</f>
        <v>0</v>
      </c>
      <c r="G175">
        <v>0</v>
      </c>
    </row>
    <row r="176" spans="1:9" x14ac:dyDescent="0.2">
      <c r="A176" t="s">
        <v>4711</v>
      </c>
      <c r="B176" t="s">
        <v>1656</v>
      </c>
      <c r="C176" t="s">
        <v>538</v>
      </c>
      <c r="D176" t="str">
        <f t="shared" si="2"/>
        <v>760053892</v>
      </c>
      <c r="E176" t="s">
        <v>539</v>
      </c>
      <c r="F176">
        <f>G176-SUMIFS('Sold out'!K:K,'Sold out'!I:I,'Main Stock'!C176)+SUMIFS('Receiving '!G:G,'Receiving '!E:E,'Main Stock'!C176)</f>
        <v>0</v>
      </c>
      <c r="G176">
        <v>0</v>
      </c>
    </row>
    <row r="177" spans="1:8" x14ac:dyDescent="0.2">
      <c r="A177" t="s">
        <v>4711</v>
      </c>
      <c r="B177" t="s">
        <v>1656</v>
      </c>
      <c r="C177" t="s">
        <v>540</v>
      </c>
      <c r="D177" t="str">
        <f t="shared" si="2"/>
        <v>FFXLCLC42-MXF017</v>
      </c>
      <c r="E177" t="s">
        <v>541</v>
      </c>
      <c r="F177">
        <f>G177-SUMIFS('Sold out'!K:K,'Sold out'!I:I,'Main Stock'!C177)+SUMIFS('Receiving '!G:G,'Receiving '!E:E,'Main Stock'!C177)</f>
        <v>0</v>
      </c>
      <c r="G177">
        <v>0</v>
      </c>
    </row>
    <row r="178" spans="1:8" x14ac:dyDescent="0.2">
      <c r="A178" t="s">
        <v>4711</v>
      </c>
      <c r="B178" t="s">
        <v>1656</v>
      </c>
      <c r="C178" t="s">
        <v>542</v>
      </c>
      <c r="D178" t="str">
        <f t="shared" si="2"/>
        <v>A14037-000</v>
      </c>
      <c r="E178" t="s">
        <v>543</v>
      </c>
      <c r="F178">
        <f>G178-SUMIFS('Sold out'!K:K,'Sold out'!I:I,'Main Stock'!C178)+SUMIFS('Receiving '!G:G,'Receiving '!E:E,'Main Stock'!C178)</f>
        <v>7433</v>
      </c>
      <c r="G178">
        <v>7433</v>
      </c>
      <c r="H178" t="s">
        <v>1285</v>
      </c>
    </row>
    <row r="179" spans="1:8" x14ac:dyDescent="0.2">
      <c r="A179" t="s">
        <v>4711</v>
      </c>
      <c r="B179" t="s">
        <v>1656</v>
      </c>
      <c r="C179" t="s">
        <v>544</v>
      </c>
      <c r="D179" t="str">
        <f t="shared" si="2"/>
        <v>760246284</v>
      </c>
      <c r="E179" t="s">
        <v>545</v>
      </c>
      <c r="F179">
        <f>G179-SUMIFS('Sold out'!K:K,'Sold out'!I:I,'Main Stock'!C179)+SUMIFS('Receiving '!G:G,'Receiving '!E:E,'Main Stock'!C179)</f>
        <v>0</v>
      </c>
      <c r="G179">
        <v>0</v>
      </c>
    </row>
    <row r="180" spans="1:8" x14ac:dyDescent="0.2">
      <c r="A180" t="s">
        <v>4711</v>
      </c>
      <c r="B180" t="s">
        <v>1656</v>
      </c>
      <c r="C180" t="s">
        <v>546</v>
      </c>
      <c r="D180" t="str">
        <f t="shared" si="2"/>
        <v>CC0872-000</v>
      </c>
      <c r="E180" t="s">
        <v>547</v>
      </c>
      <c r="F180">
        <f>G180-SUMIFS('Sold out'!K:K,'Sold out'!I:I,'Main Stock'!C180)+SUMIFS('Receiving '!G:G,'Receiving '!E:E,'Main Stock'!C180)</f>
        <v>0</v>
      </c>
      <c r="G180">
        <v>0</v>
      </c>
      <c r="H180" t="s">
        <v>1285</v>
      </c>
    </row>
    <row r="181" spans="1:8" x14ac:dyDescent="0.2">
      <c r="A181" t="s">
        <v>4711</v>
      </c>
      <c r="B181" t="s">
        <v>1656</v>
      </c>
      <c r="C181" t="s">
        <v>548</v>
      </c>
      <c r="D181" t="str">
        <f t="shared" si="2"/>
        <v>CO15542-01F005</v>
      </c>
      <c r="E181" t="s">
        <v>549</v>
      </c>
      <c r="F181">
        <f>G181-SUMIFS('Sold out'!K:K,'Sold out'!I:I,'Main Stock'!C181)+SUMIFS('Receiving '!G:G,'Receiving '!E:E,'Main Stock'!C181)</f>
        <v>100</v>
      </c>
      <c r="G181">
        <v>100</v>
      </c>
      <c r="H181" t="s">
        <v>1321</v>
      </c>
    </row>
    <row r="182" spans="1:8" x14ac:dyDescent="0.2">
      <c r="A182" t="s">
        <v>4711</v>
      </c>
      <c r="B182" t="s">
        <v>1656</v>
      </c>
      <c r="C182" t="s">
        <v>550</v>
      </c>
      <c r="D182" t="str">
        <f t="shared" si="2"/>
        <v>CV6320-000</v>
      </c>
      <c r="E182" t="s">
        <v>551</v>
      </c>
      <c r="F182">
        <f>G182-SUMIFS('Sold out'!K:K,'Sold out'!I:I,'Main Stock'!C182)+SUMIFS('Receiving '!G:G,'Receiving '!E:E,'Main Stock'!C182)</f>
        <v>0</v>
      </c>
      <c r="G182">
        <v>0</v>
      </c>
    </row>
    <row r="183" spans="1:8" x14ac:dyDescent="0.2">
      <c r="A183" t="s">
        <v>4711</v>
      </c>
      <c r="B183" t="s">
        <v>1656</v>
      </c>
      <c r="C183" t="s">
        <v>552</v>
      </c>
      <c r="D183" t="str">
        <f t="shared" si="2"/>
        <v>CW3858-000</v>
      </c>
      <c r="E183" t="s">
        <v>553</v>
      </c>
      <c r="F183">
        <f>G183-SUMIFS('Sold out'!K:K,'Sold out'!I:I,'Main Stock'!C183)+SUMIFS('Receiving '!G:G,'Receiving '!E:E,'Main Stock'!C183)</f>
        <v>0</v>
      </c>
      <c r="G183">
        <v>0</v>
      </c>
    </row>
    <row r="184" spans="1:8" x14ac:dyDescent="0.2">
      <c r="A184" t="s">
        <v>4711</v>
      </c>
      <c r="B184" t="s">
        <v>1656</v>
      </c>
      <c r="C184" t="s">
        <v>554</v>
      </c>
      <c r="D184" t="str">
        <f t="shared" si="2"/>
        <v>CW6616-000</v>
      </c>
      <c r="E184" t="s">
        <v>555</v>
      </c>
      <c r="F184">
        <f>G184-SUMIFS('Sold out'!K:K,'Sold out'!I:I,'Main Stock'!C184)+SUMIFS('Receiving '!G:G,'Receiving '!E:E,'Main Stock'!C184)</f>
        <v>0</v>
      </c>
      <c r="G184">
        <v>0</v>
      </c>
    </row>
    <row r="185" spans="1:8" x14ac:dyDescent="0.2">
      <c r="A185" t="s">
        <v>4711</v>
      </c>
      <c r="B185" t="s">
        <v>1656</v>
      </c>
      <c r="C185" t="s">
        <v>556</v>
      </c>
      <c r="D185" t="str">
        <f t="shared" si="2"/>
        <v>CW6617-000</v>
      </c>
      <c r="E185" t="s">
        <v>557</v>
      </c>
      <c r="F185">
        <f>G185-SUMIFS('Sold out'!K:K,'Sold out'!I:I,'Main Stock'!C185)+SUMIFS('Receiving '!G:G,'Receiving '!E:E,'Main Stock'!C185)</f>
        <v>0</v>
      </c>
      <c r="G185">
        <v>0</v>
      </c>
      <c r="H185" t="s">
        <v>1297</v>
      </c>
    </row>
    <row r="186" spans="1:8" x14ac:dyDescent="0.2">
      <c r="A186" t="s">
        <v>4711</v>
      </c>
      <c r="B186" t="s">
        <v>1656</v>
      </c>
      <c r="C186" t="s">
        <v>558</v>
      </c>
      <c r="D186" t="str">
        <f t="shared" si="2"/>
        <v>EM2982-001</v>
      </c>
      <c r="E186" t="s">
        <v>559</v>
      </c>
      <c r="F186">
        <f>G186-SUMIFS('Sold out'!K:K,'Sold out'!I:I,'Main Stock'!C186)+SUMIFS('Receiving '!G:G,'Receiving '!E:E,'Main Stock'!C186)</f>
        <v>0</v>
      </c>
      <c r="G186">
        <v>0</v>
      </c>
    </row>
    <row r="187" spans="1:8" x14ac:dyDescent="0.2">
      <c r="A187" t="s">
        <v>4711</v>
      </c>
      <c r="B187" t="s">
        <v>1656</v>
      </c>
      <c r="C187" t="s">
        <v>560</v>
      </c>
      <c r="D187" t="str">
        <f t="shared" si="2"/>
        <v>760244933</v>
      </c>
      <c r="E187" t="s">
        <v>561</v>
      </c>
      <c r="F187">
        <f>G187-SUMIFS('Sold out'!K:K,'Sold out'!I:I,'Main Stock'!C187)+SUMIFS('Receiving '!G:G,'Receiving '!E:E,'Main Stock'!C187)</f>
        <v>0</v>
      </c>
      <c r="G187">
        <v>0</v>
      </c>
      <c r="H187" t="s">
        <v>1299</v>
      </c>
    </row>
    <row r="188" spans="1:8" x14ac:dyDescent="0.2">
      <c r="A188" t="s">
        <v>4711</v>
      </c>
      <c r="B188" t="s">
        <v>1656</v>
      </c>
      <c r="C188" t="s">
        <v>562</v>
      </c>
      <c r="D188" t="str">
        <f t="shared" si="2"/>
        <v>FFWLCLC42-JXF035</v>
      </c>
      <c r="E188" t="s">
        <v>563</v>
      </c>
      <c r="F188">
        <f>G188-SUMIFS('Sold out'!K:K,'Sold out'!I:I,'Main Stock'!C188)+SUMIFS('Receiving '!G:G,'Receiving '!E:E,'Main Stock'!C188)</f>
        <v>18</v>
      </c>
      <c r="G188">
        <v>18</v>
      </c>
      <c r="H188" t="s">
        <v>1322</v>
      </c>
    </row>
    <row r="189" spans="1:8" x14ac:dyDescent="0.2">
      <c r="A189" t="s">
        <v>4711</v>
      </c>
      <c r="B189" t="s">
        <v>1656</v>
      </c>
      <c r="C189" t="s">
        <v>564</v>
      </c>
      <c r="D189" t="str">
        <f t="shared" si="2"/>
        <v>1-6536501-0</v>
      </c>
      <c r="E189" t="s">
        <v>565</v>
      </c>
      <c r="F189">
        <f>G189-SUMIFS('Sold out'!K:K,'Sold out'!I:I,'Main Stock'!C189)+SUMIFS('Receiving '!G:G,'Receiving '!E:E,'Main Stock'!C189)</f>
        <v>0</v>
      </c>
      <c r="G189">
        <v>0</v>
      </c>
    </row>
    <row r="190" spans="1:8" x14ac:dyDescent="0.2">
      <c r="A190" t="s">
        <v>4711</v>
      </c>
      <c r="B190" t="s">
        <v>1656</v>
      </c>
      <c r="C190" t="s">
        <v>566</v>
      </c>
      <c r="D190" t="str">
        <f t="shared" si="2"/>
        <v>CO11192-01F005</v>
      </c>
      <c r="E190" t="s">
        <v>567</v>
      </c>
      <c r="F190">
        <f>G190-SUMIFS('Sold out'!K:K,'Sold out'!I:I,'Main Stock'!C190)+SUMIFS('Receiving '!G:G,'Receiving '!E:E,'Main Stock'!C190)</f>
        <v>0</v>
      </c>
      <c r="G190">
        <v>0</v>
      </c>
    </row>
    <row r="191" spans="1:8" x14ac:dyDescent="0.2">
      <c r="A191" t="s">
        <v>4711</v>
      </c>
      <c r="B191" t="s">
        <v>1656</v>
      </c>
      <c r="C191" t="s">
        <v>568</v>
      </c>
      <c r="D191" t="str">
        <f t="shared" si="2"/>
        <v>CPCSSZ2-03F003</v>
      </c>
      <c r="E191" t="s">
        <v>569</v>
      </c>
      <c r="F191">
        <f>G191-SUMIFS('Sold out'!K:K,'Sold out'!I:I,'Main Stock'!C191)+SUMIFS('Receiving '!G:G,'Receiving '!E:E,'Main Stock'!C191)</f>
        <v>20</v>
      </c>
      <c r="G191">
        <v>20</v>
      </c>
      <c r="H191" t="s">
        <v>1323</v>
      </c>
    </row>
    <row r="192" spans="1:8" x14ac:dyDescent="0.2">
      <c r="A192" t="s">
        <v>4711</v>
      </c>
      <c r="B192" t="s">
        <v>1656</v>
      </c>
      <c r="C192" t="s">
        <v>570</v>
      </c>
      <c r="D192" t="str">
        <f t="shared" si="2"/>
        <v>CPCSSZ2-08F003</v>
      </c>
      <c r="E192" t="s">
        <v>571</v>
      </c>
      <c r="F192">
        <f>G192-SUMIFS('Sold out'!K:K,'Sold out'!I:I,'Main Stock'!C192)+SUMIFS('Receiving '!G:G,'Receiving '!E:E,'Main Stock'!C192)</f>
        <v>0</v>
      </c>
      <c r="G192">
        <v>0</v>
      </c>
    </row>
    <row r="193" spans="1:8" x14ac:dyDescent="0.2">
      <c r="A193" t="s">
        <v>4711</v>
      </c>
      <c r="B193" t="s">
        <v>1656</v>
      </c>
      <c r="C193" t="s">
        <v>572</v>
      </c>
      <c r="D193" t="str">
        <f t="shared" si="2"/>
        <v>760188243</v>
      </c>
      <c r="E193" t="s">
        <v>573</v>
      </c>
      <c r="F193">
        <f>G193-SUMIFS('Sold out'!K:K,'Sold out'!I:I,'Main Stock'!C193)+SUMIFS('Receiving '!G:G,'Receiving '!E:E,'Main Stock'!C193)</f>
        <v>0</v>
      </c>
      <c r="G193">
        <v>0</v>
      </c>
    </row>
    <row r="194" spans="1:8" x14ac:dyDescent="0.2">
      <c r="A194" t="s">
        <v>4711</v>
      </c>
      <c r="B194" t="s">
        <v>1656</v>
      </c>
      <c r="C194" t="s">
        <v>574</v>
      </c>
      <c r="D194" t="str">
        <f t="shared" si="2"/>
        <v>760187195</v>
      </c>
      <c r="E194" t="s">
        <v>575</v>
      </c>
      <c r="F194">
        <f>G194-SUMIFS('Sold out'!K:K,'Sold out'!I:I,'Main Stock'!C194)+SUMIFS('Receiving '!G:G,'Receiving '!E:E,'Main Stock'!C194)</f>
        <v>0</v>
      </c>
      <c r="G194">
        <v>0</v>
      </c>
    </row>
    <row r="195" spans="1:8" x14ac:dyDescent="0.2">
      <c r="A195" t="s">
        <v>4711</v>
      </c>
      <c r="B195" t="s">
        <v>1656</v>
      </c>
      <c r="C195" t="s">
        <v>576</v>
      </c>
      <c r="D195" t="str">
        <f t="shared" ref="D195:D258" si="3">C195</f>
        <v>CW8862-000</v>
      </c>
      <c r="E195" t="s">
        <v>577</v>
      </c>
      <c r="F195">
        <f>G195-SUMIFS('Sold out'!K:K,'Sold out'!I:I,'Main Stock'!C195)+SUMIFS('Receiving '!G:G,'Receiving '!E:E,'Main Stock'!C195)</f>
        <v>0</v>
      </c>
      <c r="G195">
        <v>0</v>
      </c>
    </row>
    <row r="196" spans="1:8" x14ac:dyDescent="0.2">
      <c r="A196" t="s">
        <v>4711</v>
      </c>
      <c r="B196" t="s">
        <v>1656</v>
      </c>
      <c r="C196" t="s">
        <v>578</v>
      </c>
      <c r="D196" t="str">
        <f t="shared" si="3"/>
        <v>760083980</v>
      </c>
      <c r="E196" t="s">
        <v>579</v>
      </c>
      <c r="F196">
        <f>G196-SUMIFS('Sold out'!K:K,'Sold out'!I:I,'Main Stock'!C196)+SUMIFS('Receiving '!G:G,'Receiving '!E:E,'Main Stock'!C196)</f>
        <v>0</v>
      </c>
      <c r="G196">
        <v>0</v>
      </c>
    </row>
    <row r="197" spans="1:8" x14ac:dyDescent="0.2">
      <c r="A197" t="s">
        <v>4711</v>
      </c>
      <c r="B197" t="s">
        <v>1656</v>
      </c>
      <c r="C197" t="s">
        <v>580</v>
      </c>
      <c r="D197" t="str">
        <f t="shared" si="3"/>
        <v>FGS-MH4E-H</v>
      </c>
      <c r="E197" t="s">
        <v>581</v>
      </c>
      <c r="F197">
        <f>G197-SUMIFS('Sold out'!K:K,'Sold out'!I:I,'Main Stock'!C197)+SUMIFS('Receiving '!G:G,'Receiving '!E:E,'Main Stock'!C197)</f>
        <v>0</v>
      </c>
      <c r="G197">
        <v>0</v>
      </c>
      <c r="H197" t="s">
        <v>1324</v>
      </c>
    </row>
    <row r="198" spans="1:8" x14ac:dyDescent="0.2">
      <c r="A198" t="s">
        <v>4711</v>
      </c>
      <c r="B198" t="s">
        <v>1656</v>
      </c>
      <c r="C198" t="s">
        <v>582</v>
      </c>
      <c r="D198" t="str">
        <f t="shared" si="3"/>
        <v>FGS-MDSA-HF</v>
      </c>
      <c r="E198" t="s">
        <v>583</v>
      </c>
      <c r="F198">
        <f>G198-SUMIFS('Sold out'!K:K,'Sold out'!I:I,'Main Stock'!C198)+SUMIFS('Receiving '!G:G,'Receiving '!E:E,'Main Stock'!C198)</f>
        <v>0</v>
      </c>
      <c r="G198">
        <v>0</v>
      </c>
    </row>
    <row r="199" spans="1:8" x14ac:dyDescent="0.2">
      <c r="A199" t="s">
        <v>4711</v>
      </c>
      <c r="B199" t="s">
        <v>1656</v>
      </c>
      <c r="C199" t="s">
        <v>584</v>
      </c>
      <c r="D199" t="str">
        <f t="shared" si="3"/>
        <v>FGS-FDSA-HF</v>
      </c>
      <c r="E199" t="s">
        <v>585</v>
      </c>
      <c r="F199">
        <f>G199-SUMIFS('Sold out'!K:K,'Sold out'!I:I,'Main Stock'!C199)+SUMIFS('Receiving '!G:G,'Receiving '!E:E,'Main Stock'!C199)</f>
        <v>0</v>
      </c>
      <c r="G199">
        <v>0</v>
      </c>
    </row>
    <row r="200" spans="1:8" x14ac:dyDescent="0.2">
      <c r="A200" t="s">
        <v>4711</v>
      </c>
      <c r="B200" t="s">
        <v>1656</v>
      </c>
      <c r="C200" t="s">
        <v>586</v>
      </c>
      <c r="D200" t="str">
        <f t="shared" si="3"/>
        <v>FGS-MH9E-F</v>
      </c>
      <c r="E200" t="s">
        <v>587</v>
      </c>
      <c r="F200">
        <f>G200-SUMIFS('Sold out'!K:K,'Sold out'!I:I,'Main Stock'!C200)+SUMIFS('Receiving '!G:G,'Receiving '!E:E,'Main Stock'!C200)</f>
        <v>0</v>
      </c>
      <c r="G200">
        <v>0</v>
      </c>
    </row>
    <row r="201" spans="1:8" x14ac:dyDescent="0.2">
      <c r="A201" t="s">
        <v>4711</v>
      </c>
      <c r="B201" t="s">
        <v>1656</v>
      </c>
      <c r="C201" t="s">
        <v>588</v>
      </c>
      <c r="D201" t="str">
        <f t="shared" si="3"/>
        <v>FGS-MEXP-E-A/B/F</v>
      </c>
      <c r="E201" t="s">
        <v>589</v>
      </c>
      <c r="F201">
        <f>G201-SUMIFS('Sold out'!K:K,'Sold out'!I:I,'Main Stock'!C201)+SUMIFS('Receiving '!G:G,'Receiving '!E:E,'Main Stock'!C201)</f>
        <v>0</v>
      </c>
      <c r="G201">
        <v>0</v>
      </c>
    </row>
    <row r="202" spans="1:8" x14ac:dyDescent="0.2">
      <c r="A202" t="s">
        <v>4711</v>
      </c>
      <c r="B202" t="s">
        <v>1656</v>
      </c>
      <c r="C202" t="s">
        <v>590</v>
      </c>
      <c r="D202" t="str">
        <f t="shared" si="3"/>
        <v>FGS-KT03-A</v>
      </c>
      <c r="E202" t="s">
        <v>591</v>
      </c>
      <c r="F202">
        <f>G202-SUMIFS('Sold out'!K:K,'Sold out'!I:I,'Main Stock'!C202)+SUMIFS('Receiving '!G:G,'Receiving '!E:E,'Main Stock'!C202)</f>
        <v>136</v>
      </c>
      <c r="G202">
        <v>136</v>
      </c>
      <c r="H202" t="s">
        <v>1325</v>
      </c>
    </row>
    <row r="203" spans="1:8" x14ac:dyDescent="0.2">
      <c r="A203" t="s">
        <v>4711</v>
      </c>
      <c r="B203" t="s">
        <v>1656</v>
      </c>
      <c r="C203" t="s">
        <v>592</v>
      </c>
      <c r="D203" t="str">
        <f t="shared" si="3"/>
        <v>FGS-MEXP-A/B/F</v>
      </c>
      <c r="E203" t="s">
        <v>593</v>
      </c>
      <c r="F203">
        <f>G203-SUMIFS('Sold out'!K:K,'Sold out'!I:I,'Main Stock'!C203)+SUMIFS('Receiving '!G:G,'Receiving '!E:E,'Main Stock'!C203)</f>
        <v>4</v>
      </c>
      <c r="G203">
        <v>4</v>
      </c>
      <c r="H203" t="s">
        <v>1326</v>
      </c>
    </row>
    <row r="204" spans="1:8" x14ac:dyDescent="0.2">
      <c r="A204" t="s">
        <v>4711</v>
      </c>
      <c r="B204" t="s">
        <v>1656</v>
      </c>
      <c r="C204" t="s">
        <v>594</v>
      </c>
      <c r="D204" t="str">
        <f t="shared" si="3"/>
        <v>FGS-MHRT-F</v>
      </c>
      <c r="E204" t="s">
        <v>595</v>
      </c>
      <c r="F204">
        <f>G204-SUMIFS('Sold out'!K:K,'Sold out'!I:I,'Main Stock'!C204)+SUMIFS('Receiving '!G:G,'Receiving '!E:E,'Main Stock'!C204)</f>
        <v>0</v>
      </c>
      <c r="G204">
        <v>0</v>
      </c>
    </row>
    <row r="205" spans="1:8" x14ac:dyDescent="0.2">
      <c r="A205" t="s">
        <v>4711</v>
      </c>
      <c r="B205" t="s">
        <v>1656</v>
      </c>
      <c r="C205" t="s">
        <v>596</v>
      </c>
      <c r="D205" t="str">
        <f t="shared" si="3"/>
        <v>FGS-MHXP-H</v>
      </c>
      <c r="E205" t="s">
        <v>597</v>
      </c>
      <c r="F205">
        <f>G205-SUMIFS('Sold out'!K:K,'Sold out'!I:I,'Main Stock'!C205)+SUMIFS('Receiving '!G:G,'Receiving '!E:E,'Main Stock'!C205)</f>
        <v>0</v>
      </c>
      <c r="G205">
        <v>0</v>
      </c>
    </row>
    <row r="206" spans="1:8" x14ac:dyDescent="0.2">
      <c r="A206" t="s">
        <v>4711</v>
      </c>
      <c r="B206" t="s">
        <v>1656</v>
      </c>
      <c r="C206" t="s">
        <v>598</v>
      </c>
      <c r="D206" t="str">
        <f t="shared" si="3"/>
        <v>FGS-SHRT-F</v>
      </c>
      <c r="E206" t="s">
        <v>599</v>
      </c>
      <c r="F206">
        <f>G206-SUMIFS('Sold out'!K:K,'Sold out'!I:I,'Main Stock'!C206)+SUMIFS('Receiving '!G:G,'Receiving '!E:E,'Main Stock'!C206)</f>
        <v>0</v>
      </c>
      <c r="G206">
        <v>0</v>
      </c>
    </row>
    <row r="207" spans="1:8" x14ac:dyDescent="0.2">
      <c r="A207" t="s">
        <v>4711</v>
      </c>
      <c r="B207" t="s">
        <v>1656</v>
      </c>
      <c r="C207" t="s">
        <v>600</v>
      </c>
      <c r="D207" t="str">
        <f t="shared" si="3"/>
        <v>FGS-SH9E-F</v>
      </c>
      <c r="E207" t="s">
        <v>601</v>
      </c>
      <c r="F207">
        <f>G207-SUMIFS('Sold out'!K:K,'Sold out'!I:I,'Main Stock'!C207)+SUMIFS('Receiving '!G:G,'Receiving '!E:E,'Main Stock'!C207)</f>
        <v>0</v>
      </c>
      <c r="G207">
        <v>0</v>
      </c>
    </row>
    <row r="208" spans="1:8" x14ac:dyDescent="0.2">
      <c r="A208" t="s">
        <v>4711</v>
      </c>
      <c r="B208" t="s">
        <v>1656</v>
      </c>
      <c r="C208" t="s">
        <v>602</v>
      </c>
      <c r="D208" t="str">
        <f t="shared" si="3"/>
        <v>FGS-MFAW-F</v>
      </c>
      <c r="E208" t="s">
        <v>603</v>
      </c>
      <c r="F208">
        <f>G208-SUMIFS('Sold out'!K:K,'Sold out'!I:I,'Main Stock'!C208)+SUMIFS('Receiving '!G:G,'Receiving '!E:E,'Main Stock'!C208)</f>
        <v>0</v>
      </c>
      <c r="G208">
        <v>0</v>
      </c>
    </row>
    <row r="209" spans="1:8" x14ac:dyDescent="0.2">
      <c r="A209" t="s">
        <v>4711</v>
      </c>
      <c r="B209" t="s">
        <v>1656</v>
      </c>
      <c r="C209" t="s">
        <v>604</v>
      </c>
      <c r="D209" t="str">
        <f t="shared" si="3"/>
        <v>FGS-MFAW-H</v>
      </c>
      <c r="E209" t="s">
        <v>605</v>
      </c>
      <c r="F209">
        <f>G209-SUMIFS('Sold out'!K:K,'Sold out'!I:I,'Main Stock'!C209)+SUMIFS('Receiving '!G:G,'Receiving '!E:E,'Main Stock'!C209)</f>
        <v>408</v>
      </c>
      <c r="G209">
        <v>408</v>
      </c>
      <c r="H209" t="s">
        <v>1327</v>
      </c>
    </row>
    <row r="210" spans="1:8" x14ac:dyDescent="0.2">
      <c r="A210" t="s">
        <v>4711</v>
      </c>
      <c r="B210" t="s">
        <v>1656</v>
      </c>
      <c r="C210" t="s">
        <v>606</v>
      </c>
      <c r="D210" t="str">
        <f t="shared" si="3"/>
        <v>760109470</v>
      </c>
      <c r="E210" t="s">
        <v>607</v>
      </c>
      <c r="F210">
        <f>G210-SUMIFS('Sold out'!K:K,'Sold out'!I:I,'Main Stock'!C210)+SUMIFS('Receiving '!G:G,'Receiving '!E:E,'Main Stock'!C210)</f>
        <v>2</v>
      </c>
      <c r="G210">
        <v>2</v>
      </c>
      <c r="H210" t="s">
        <v>1297</v>
      </c>
    </row>
    <row r="211" spans="1:8" x14ac:dyDescent="0.2">
      <c r="A211" t="s">
        <v>4711</v>
      </c>
      <c r="B211" t="s">
        <v>1656</v>
      </c>
      <c r="C211" t="s">
        <v>608</v>
      </c>
      <c r="D211" t="str">
        <f t="shared" si="3"/>
        <v>FGS-HNTP-F-12MM</v>
      </c>
      <c r="E211" t="s">
        <v>609</v>
      </c>
      <c r="F211">
        <f>G211-SUMIFS('Sold out'!K:K,'Sold out'!I:I,'Main Stock'!C211)+SUMIFS('Receiving '!G:G,'Receiving '!E:E,'Main Stock'!C211)</f>
        <v>0</v>
      </c>
      <c r="G211">
        <v>0</v>
      </c>
    </row>
    <row r="212" spans="1:8" x14ac:dyDescent="0.2">
      <c r="A212" t="s">
        <v>4711</v>
      </c>
      <c r="B212" t="s">
        <v>1656</v>
      </c>
      <c r="C212" t="s">
        <v>610</v>
      </c>
      <c r="D212" t="str">
        <f t="shared" si="3"/>
        <v>FGS-MHRT-H</v>
      </c>
      <c r="E212" t="s">
        <v>611</v>
      </c>
      <c r="F212">
        <f>G212-SUMIFS('Sold out'!K:K,'Sold out'!I:I,'Main Stock'!C212)+SUMIFS('Receiving '!G:G,'Receiving '!E:E,'Main Stock'!C212)</f>
        <v>122</v>
      </c>
      <c r="G212">
        <v>122</v>
      </c>
      <c r="H212" t="s">
        <v>1328</v>
      </c>
    </row>
    <row r="213" spans="1:8" x14ac:dyDescent="0.2">
      <c r="A213" t="s">
        <v>4711</v>
      </c>
      <c r="B213" t="s">
        <v>1656</v>
      </c>
      <c r="C213" t="s">
        <v>612</v>
      </c>
      <c r="D213" t="str">
        <f t="shared" si="3"/>
        <v>760046649</v>
      </c>
      <c r="E213" t="s">
        <v>613</v>
      </c>
      <c r="F213">
        <f>G213-SUMIFS('Sold out'!K:K,'Sold out'!I:I,'Main Stock'!C213)+SUMIFS('Receiving '!G:G,'Receiving '!E:E,'Main Stock'!C213)</f>
        <v>0</v>
      </c>
      <c r="G213">
        <v>0</v>
      </c>
    </row>
    <row r="214" spans="1:8" x14ac:dyDescent="0.2">
      <c r="A214" t="s">
        <v>4711</v>
      </c>
      <c r="B214" t="s">
        <v>1656</v>
      </c>
      <c r="C214" t="s">
        <v>614</v>
      </c>
      <c r="D214" t="str">
        <f t="shared" si="3"/>
        <v>FFXLCLC42-MXF007</v>
      </c>
      <c r="E214" t="s">
        <v>615</v>
      </c>
      <c r="F214">
        <f>G214-SUMIFS('Sold out'!K:K,'Sold out'!I:I,'Main Stock'!C214)+SUMIFS('Receiving '!G:G,'Receiving '!E:E,'Main Stock'!C214)</f>
        <v>0</v>
      </c>
      <c r="G214">
        <v>0</v>
      </c>
    </row>
    <row r="215" spans="1:8" x14ac:dyDescent="0.2">
      <c r="A215" t="s">
        <v>4711</v>
      </c>
      <c r="B215" t="s">
        <v>1656</v>
      </c>
      <c r="C215" t="s">
        <v>616</v>
      </c>
      <c r="D215" t="str">
        <f t="shared" si="3"/>
        <v>760084046</v>
      </c>
      <c r="E215" t="s">
        <v>617</v>
      </c>
      <c r="F215">
        <f>G215-SUMIFS('Sold out'!K:K,'Sold out'!I:I,'Main Stock'!C215)+SUMIFS('Receiving '!G:G,'Receiving '!E:E,'Main Stock'!C215)</f>
        <v>0</v>
      </c>
      <c r="G215">
        <v>0</v>
      </c>
    </row>
    <row r="216" spans="1:8" x14ac:dyDescent="0.2">
      <c r="A216" t="s">
        <v>4711</v>
      </c>
      <c r="B216" t="s">
        <v>1656</v>
      </c>
      <c r="C216" t="s">
        <v>618</v>
      </c>
      <c r="D216" t="str">
        <f t="shared" si="3"/>
        <v>CS2725-000</v>
      </c>
      <c r="E216" t="s">
        <v>619</v>
      </c>
      <c r="F216">
        <f>G216-SUMIFS('Sold out'!K:K,'Sold out'!I:I,'Main Stock'!C216)+SUMIFS('Receiving '!G:G,'Receiving '!E:E,'Main Stock'!C216)</f>
        <v>0</v>
      </c>
      <c r="G216">
        <v>0</v>
      </c>
    </row>
    <row r="217" spans="1:8" x14ac:dyDescent="0.2">
      <c r="A217" t="s">
        <v>4711</v>
      </c>
      <c r="B217" t="s">
        <v>1656</v>
      </c>
      <c r="C217" t="s">
        <v>620</v>
      </c>
      <c r="D217" t="str">
        <f t="shared" si="3"/>
        <v>760244932</v>
      </c>
      <c r="E217" t="s">
        <v>621</v>
      </c>
      <c r="F217">
        <f>G217-SUMIFS('Sold out'!K:K,'Sold out'!I:I,'Main Stock'!C217)+SUMIFS('Receiving '!G:G,'Receiving '!E:E,'Main Stock'!C217)</f>
        <v>0</v>
      </c>
      <c r="G217">
        <v>0</v>
      </c>
    </row>
    <row r="218" spans="1:8" x14ac:dyDescent="0.2">
      <c r="A218" t="s">
        <v>4711</v>
      </c>
      <c r="B218" t="s">
        <v>1656</v>
      </c>
      <c r="C218" t="s">
        <v>622</v>
      </c>
      <c r="D218" t="str">
        <f t="shared" si="3"/>
        <v>CPCSSZ2-04F003</v>
      </c>
      <c r="E218" t="s">
        <v>623</v>
      </c>
      <c r="F218">
        <f>G218-SUMIFS('Sold out'!K:K,'Sold out'!I:I,'Main Stock'!C218)+SUMIFS('Receiving '!G:G,'Receiving '!E:E,'Main Stock'!C218)</f>
        <v>0</v>
      </c>
      <c r="G218">
        <v>0</v>
      </c>
    </row>
    <row r="219" spans="1:8" x14ac:dyDescent="0.2">
      <c r="A219" t="s">
        <v>4711</v>
      </c>
      <c r="B219" t="s">
        <v>1656</v>
      </c>
      <c r="C219" t="s">
        <v>624</v>
      </c>
      <c r="D219" t="str">
        <f t="shared" si="3"/>
        <v>760039875</v>
      </c>
      <c r="E219" t="s">
        <v>625</v>
      </c>
      <c r="F219">
        <f>G219-SUMIFS('Sold out'!K:K,'Sold out'!I:I,'Main Stock'!C219)+SUMIFS('Receiving '!G:G,'Receiving '!E:E,'Main Stock'!C219)</f>
        <v>0</v>
      </c>
      <c r="G219">
        <v>0</v>
      </c>
    </row>
    <row r="220" spans="1:8" x14ac:dyDescent="0.2">
      <c r="A220" t="s">
        <v>4711</v>
      </c>
      <c r="B220" t="s">
        <v>1656</v>
      </c>
      <c r="C220" t="s">
        <v>626</v>
      </c>
      <c r="D220" t="str">
        <f t="shared" si="3"/>
        <v>COP1KZ2-88F003</v>
      </c>
      <c r="E220" t="s">
        <v>627</v>
      </c>
      <c r="F220">
        <f>G220-SUMIFS('Sold out'!K:K,'Sold out'!I:I,'Main Stock'!C220)+SUMIFS('Receiving '!G:G,'Receiving '!E:E,'Main Stock'!C220)</f>
        <v>150</v>
      </c>
      <c r="G220">
        <v>150</v>
      </c>
      <c r="H220" t="s">
        <v>1329</v>
      </c>
    </row>
    <row r="221" spans="1:8" x14ac:dyDescent="0.2">
      <c r="A221" t="s">
        <v>4711</v>
      </c>
      <c r="B221" t="s">
        <v>1656</v>
      </c>
      <c r="C221" t="s">
        <v>628</v>
      </c>
      <c r="D221" t="str">
        <f t="shared" si="3"/>
        <v>CPCSSZ2-04F010</v>
      </c>
      <c r="E221" t="s">
        <v>629</v>
      </c>
      <c r="F221">
        <f>G221-SUMIFS('Sold out'!K:K,'Sold out'!I:I,'Main Stock'!C221)+SUMIFS('Receiving '!G:G,'Receiving '!E:E,'Main Stock'!C221)</f>
        <v>0</v>
      </c>
      <c r="G221">
        <v>0</v>
      </c>
    </row>
    <row r="222" spans="1:8" x14ac:dyDescent="0.2">
      <c r="A222" t="s">
        <v>4711</v>
      </c>
      <c r="B222" t="s">
        <v>1656</v>
      </c>
      <c r="C222" t="s">
        <v>630</v>
      </c>
      <c r="D222" t="str">
        <f t="shared" si="3"/>
        <v>CPCSSZ2-06F010</v>
      </c>
      <c r="E222" t="s">
        <v>631</v>
      </c>
      <c r="F222">
        <f>G222-SUMIFS('Sold out'!K:K,'Sold out'!I:I,'Main Stock'!C222)+SUMIFS('Receiving '!G:G,'Receiving '!E:E,'Main Stock'!C222)</f>
        <v>0</v>
      </c>
      <c r="G222">
        <v>0</v>
      </c>
    </row>
    <row r="223" spans="1:8" x14ac:dyDescent="0.2">
      <c r="A223" t="s">
        <v>4711</v>
      </c>
      <c r="B223" t="s">
        <v>1656</v>
      </c>
      <c r="C223" t="s">
        <v>632</v>
      </c>
      <c r="D223" t="str">
        <f t="shared" si="3"/>
        <v>760053868</v>
      </c>
      <c r="E223" t="s">
        <v>633</v>
      </c>
      <c r="F223">
        <f>G223-SUMIFS('Sold out'!K:K,'Sold out'!I:I,'Main Stock'!C223)+SUMIFS('Receiving '!G:G,'Receiving '!E:E,'Main Stock'!C223)</f>
        <v>0</v>
      </c>
      <c r="G223">
        <v>0</v>
      </c>
    </row>
    <row r="224" spans="1:8" x14ac:dyDescent="0.2">
      <c r="A224" t="s">
        <v>4711</v>
      </c>
      <c r="B224" t="s">
        <v>1656</v>
      </c>
      <c r="C224" t="s">
        <v>634</v>
      </c>
      <c r="D224" t="str">
        <f t="shared" si="3"/>
        <v>760092437</v>
      </c>
      <c r="E224" t="s">
        <v>635</v>
      </c>
      <c r="F224">
        <f>G224-SUMIFS('Sold out'!K:K,'Sold out'!I:I,'Main Stock'!C224)+SUMIFS('Receiving '!G:G,'Receiving '!E:E,'Main Stock'!C224)</f>
        <v>35</v>
      </c>
      <c r="G224">
        <v>35</v>
      </c>
      <c r="H224" t="s">
        <v>1330</v>
      </c>
    </row>
    <row r="225" spans="1:8" x14ac:dyDescent="0.2">
      <c r="A225" t="s">
        <v>4711</v>
      </c>
      <c r="B225" t="s">
        <v>1656</v>
      </c>
      <c r="C225" t="s">
        <v>636</v>
      </c>
      <c r="D225" t="str">
        <f t="shared" si="3"/>
        <v>CPCSSZ2-06F003</v>
      </c>
      <c r="E225" t="s">
        <v>637</v>
      </c>
      <c r="F225">
        <f>G225-SUMIFS('Sold out'!K:K,'Sold out'!I:I,'Main Stock'!C225)+SUMIFS('Receiving '!G:G,'Receiving '!E:E,'Main Stock'!C225)</f>
        <v>1</v>
      </c>
      <c r="G225">
        <v>1</v>
      </c>
      <c r="H225" t="s">
        <v>1331</v>
      </c>
    </row>
    <row r="226" spans="1:8" x14ac:dyDescent="0.2">
      <c r="A226" t="s">
        <v>4711</v>
      </c>
      <c r="B226" t="s">
        <v>1656</v>
      </c>
      <c r="C226" t="s">
        <v>638</v>
      </c>
      <c r="D226" t="str">
        <f t="shared" si="3"/>
        <v>760085662</v>
      </c>
      <c r="E226" t="s">
        <v>639</v>
      </c>
      <c r="F226">
        <f>G226-SUMIFS('Sold out'!K:K,'Sold out'!I:I,'Main Stock'!C226)+SUMIFS('Receiving '!G:G,'Receiving '!E:E,'Main Stock'!C226)</f>
        <v>0</v>
      </c>
      <c r="G226">
        <v>0</v>
      </c>
    </row>
    <row r="227" spans="1:8" x14ac:dyDescent="0.2">
      <c r="A227" t="s">
        <v>4711</v>
      </c>
      <c r="B227" t="s">
        <v>1656</v>
      </c>
      <c r="C227" t="s">
        <v>640</v>
      </c>
      <c r="D227" t="str">
        <f t="shared" si="3"/>
        <v>760109124</v>
      </c>
      <c r="E227" t="s">
        <v>641</v>
      </c>
      <c r="F227">
        <f>G227-SUMIFS('Sold out'!K:K,'Sold out'!I:I,'Main Stock'!C227)+SUMIFS('Receiving '!G:G,'Receiving '!E:E,'Main Stock'!C227)</f>
        <v>0</v>
      </c>
      <c r="G227">
        <v>0</v>
      </c>
    </row>
    <row r="228" spans="1:8" x14ac:dyDescent="0.2">
      <c r="A228" t="s">
        <v>4711</v>
      </c>
      <c r="B228" t="s">
        <v>1656</v>
      </c>
      <c r="C228" t="s">
        <v>642</v>
      </c>
      <c r="D228" t="str">
        <f t="shared" si="3"/>
        <v>760083923</v>
      </c>
      <c r="E228" t="s">
        <v>643</v>
      </c>
      <c r="F228">
        <f>G228-SUMIFS('Sold out'!K:K,'Sold out'!I:I,'Main Stock'!C228)+SUMIFS('Receiving '!G:G,'Receiving '!E:E,'Main Stock'!C228)</f>
        <v>0</v>
      </c>
      <c r="G228">
        <v>0</v>
      </c>
    </row>
    <row r="229" spans="1:8" x14ac:dyDescent="0.2">
      <c r="A229" t="s">
        <v>4711</v>
      </c>
      <c r="B229" t="s">
        <v>1656</v>
      </c>
      <c r="C229" t="s">
        <v>644</v>
      </c>
      <c r="D229" t="str">
        <f t="shared" si="3"/>
        <v>FGS-FH4E-H</v>
      </c>
      <c r="E229" t="s">
        <v>645</v>
      </c>
      <c r="F229">
        <f>G229-SUMIFS('Sold out'!K:K,'Sold out'!I:I,'Main Stock'!C229)+SUMIFS('Receiving '!G:G,'Receiving '!E:E,'Main Stock'!C229)</f>
        <v>7</v>
      </c>
      <c r="G229">
        <v>7</v>
      </c>
      <c r="H229" t="s">
        <v>1319</v>
      </c>
    </row>
    <row r="230" spans="1:8" x14ac:dyDescent="0.2">
      <c r="A230" t="s">
        <v>4711</v>
      </c>
      <c r="B230" t="s">
        <v>1656</v>
      </c>
      <c r="C230" t="s">
        <v>646</v>
      </c>
      <c r="D230" t="str">
        <f t="shared" si="3"/>
        <v>760083899</v>
      </c>
      <c r="E230" t="s">
        <v>647</v>
      </c>
      <c r="F230">
        <f>G230-SUMIFS('Sold out'!K:K,'Sold out'!I:I,'Main Stock'!C230)+SUMIFS('Receiving '!G:G,'Receiving '!E:E,'Main Stock'!C230)</f>
        <v>0</v>
      </c>
      <c r="G230">
        <v>0</v>
      </c>
    </row>
    <row r="231" spans="1:8" x14ac:dyDescent="0.2">
      <c r="A231" t="s">
        <v>4711</v>
      </c>
      <c r="B231" t="s">
        <v>1656</v>
      </c>
      <c r="C231" t="s">
        <v>648</v>
      </c>
      <c r="D231" t="str">
        <f t="shared" si="3"/>
        <v>FGS-MHRT-H/F-VS</v>
      </c>
      <c r="E231" t="s">
        <v>649</v>
      </c>
      <c r="F231">
        <f>G231-SUMIFS('Sold out'!K:K,'Sold out'!I:I,'Main Stock'!C231)+SUMIFS('Receiving '!G:G,'Receiving '!E:E,'Main Stock'!C231)</f>
        <v>208</v>
      </c>
      <c r="G231">
        <v>208</v>
      </c>
      <c r="H231" t="s">
        <v>1332</v>
      </c>
    </row>
    <row r="232" spans="1:8" x14ac:dyDescent="0.2">
      <c r="A232" t="s">
        <v>4711</v>
      </c>
      <c r="B232" t="s">
        <v>1656</v>
      </c>
      <c r="C232" t="s">
        <v>650</v>
      </c>
      <c r="D232" t="str">
        <f t="shared" si="3"/>
        <v>CPCSSZ2-03F010</v>
      </c>
      <c r="E232" t="s">
        <v>651</v>
      </c>
      <c r="F232">
        <f>G232-SUMIFS('Sold out'!K:K,'Sold out'!I:I,'Main Stock'!C232)+SUMIFS('Receiving '!G:G,'Receiving '!E:E,'Main Stock'!C232)</f>
        <v>5314</v>
      </c>
      <c r="G232">
        <v>5314</v>
      </c>
      <c r="H232" t="s">
        <v>1333</v>
      </c>
    </row>
    <row r="233" spans="1:8" x14ac:dyDescent="0.2">
      <c r="A233" t="s">
        <v>4711</v>
      </c>
      <c r="B233" t="s">
        <v>1656</v>
      </c>
      <c r="C233" t="s">
        <v>652</v>
      </c>
      <c r="D233" t="str">
        <f t="shared" si="3"/>
        <v>CPCSSZ2-03F017</v>
      </c>
      <c r="E233" t="s">
        <v>653</v>
      </c>
      <c r="F233">
        <f>G233-SUMIFS('Sold out'!K:K,'Sold out'!I:I,'Main Stock'!C233)+SUMIFS('Receiving '!G:G,'Receiving '!E:E,'Main Stock'!C233)</f>
        <v>500</v>
      </c>
      <c r="G233">
        <v>500</v>
      </c>
      <c r="H233" t="s">
        <v>1285</v>
      </c>
    </row>
    <row r="234" spans="1:8" x14ac:dyDescent="0.2">
      <c r="A234" t="s">
        <v>4711</v>
      </c>
      <c r="B234" t="s">
        <v>1656</v>
      </c>
      <c r="C234" t="s">
        <v>654</v>
      </c>
      <c r="D234" t="str">
        <f t="shared" si="3"/>
        <v>CPCSSZ2-03F020</v>
      </c>
      <c r="E234" t="s">
        <v>655</v>
      </c>
      <c r="F234">
        <f>G234-SUMIFS('Sold out'!K:K,'Sold out'!I:I,'Main Stock'!C234)+SUMIFS('Receiving '!G:G,'Receiving '!E:E,'Main Stock'!C234)</f>
        <v>0</v>
      </c>
      <c r="G234">
        <v>0</v>
      </c>
    </row>
    <row r="235" spans="1:8" x14ac:dyDescent="0.2">
      <c r="A235" t="s">
        <v>4711</v>
      </c>
      <c r="B235" t="s">
        <v>1656</v>
      </c>
      <c r="C235" t="s">
        <v>656</v>
      </c>
      <c r="D235" t="str">
        <f t="shared" si="3"/>
        <v>CPCSSZ2-03F033</v>
      </c>
      <c r="E235" t="s">
        <v>657</v>
      </c>
      <c r="F235">
        <f>G235-SUMIFS('Sold out'!K:K,'Sold out'!I:I,'Main Stock'!C235)+SUMIFS('Receiving '!G:G,'Receiving '!E:E,'Main Stock'!C235)</f>
        <v>0</v>
      </c>
      <c r="G235">
        <v>0</v>
      </c>
    </row>
    <row r="236" spans="1:8" x14ac:dyDescent="0.2">
      <c r="A236" t="s">
        <v>4711</v>
      </c>
      <c r="B236" t="s">
        <v>1656</v>
      </c>
      <c r="C236" t="s">
        <v>658</v>
      </c>
      <c r="D236" t="str">
        <f t="shared" si="3"/>
        <v>FFWLCLC42-JXF007</v>
      </c>
      <c r="E236" t="s">
        <v>659</v>
      </c>
      <c r="F236">
        <f>G236-SUMIFS('Sold out'!K:K,'Sold out'!I:I,'Main Stock'!C236)+SUMIFS('Receiving '!G:G,'Receiving '!E:E,'Main Stock'!C236)</f>
        <v>500</v>
      </c>
      <c r="G236">
        <v>500</v>
      </c>
      <c r="H236" t="s">
        <v>1285</v>
      </c>
    </row>
    <row r="237" spans="1:8" x14ac:dyDescent="0.2">
      <c r="A237" t="s">
        <v>4711</v>
      </c>
      <c r="B237" t="s">
        <v>1656</v>
      </c>
      <c r="C237" t="s">
        <v>660</v>
      </c>
      <c r="D237" t="str">
        <f t="shared" si="3"/>
        <v>FFWLCLC42-JXF066</v>
      </c>
      <c r="E237" t="s">
        <v>661</v>
      </c>
      <c r="F237">
        <f>G237-SUMIFS('Sold out'!K:K,'Sold out'!I:I,'Main Stock'!C237)+SUMIFS('Receiving '!G:G,'Receiving '!E:E,'Main Stock'!C237)</f>
        <v>0</v>
      </c>
      <c r="G237">
        <v>0</v>
      </c>
    </row>
    <row r="238" spans="1:8" x14ac:dyDescent="0.2">
      <c r="A238" t="s">
        <v>4711</v>
      </c>
      <c r="B238" t="s">
        <v>1656</v>
      </c>
      <c r="C238" t="s">
        <v>662</v>
      </c>
      <c r="D238" t="str">
        <f t="shared" si="3"/>
        <v>FGS-KT03-CA1</v>
      </c>
      <c r="E238" t="s">
        <v>663</v>
      </c>
      <c r="F238">
        <f>G238-SUMIFS('Sold out'!K:K,'Sold out'!I:I,'Main Stock'!C238)+SUMIFS('Receiving '!G:G,'Receiving '!E:E,'Main Stock'!C238)</f>
        <v>0</v>
      </c>
      <c r="G238">
        <v>0</v>
      </c>
    </row>
    <row r="239" spans="1:8" x14ac:dyDescent="0.2">
      <c r="A239" t="s">
        <v>4711</v>
      </c>
      <c r="B239" t="s">
        <v>1656</v>
      </c>
      <c r="C239" t="s">
        <v>664</v>
      </c>
      <c r="D239" t="str">
        <f t="shared" si="3"/>
        <v>FGS-FHXP-H</v>
      </c>
      <c r="E239" t="s">
        <v>665</v>
      </c>
      <c r="F239">
        <f>G239-SUMIFS('Sold out'!K:K,'Sold out'!I:I,'Main Stock'!C239)+SUMIFS('Receiving '!G:G,'Receiving '!E:E,'Main Stock'!C239)</f>
        <v>0</v>
      </c>
      <c r="G239">
        <v>0</v>
      </c>
    </row>
    <row r="240" spans="1:8" x14ac:dyDescent="0.2">
      <c r="A240" t="s">
        <v>4711</v>
      </c>
      <c r="B240" t="s">
        <v>1656</v>
      </c>
      <c r="C240" t="s">
        <v>666</v>
      </c>
      <c r="D240" t="str">
        <f t="shared" si="3"/>
        <v>CPCSSZ2-03F007</v>
      </c>
      <c r="E240" t="s">
        <v>667</v>
      </c>
      <c r="F240">
        <f>G240-SUMIFS('Sold out'!K:K,'Sold out'!I:I,'Main Stock'!C240)+SUMIFS('Receiving '!G:G,'Receiving '!E:E,'Main Stock'!C240)</f>
        <v>125</v>
      </c>
      <c r="G240">
        <v>125</v>
      </c>
      <c r="H240">
        <v>0</v>
      </c>
    </row>
    <row r="241" spans="1:8" x14ac:dyDescent="0.2">
      <c r="A241" t="s">
        <v>4711</v>
      </c>
      <c r="B241" t="s">
        <v>1656</v>
      </c>
      <c r="C241" t="s">
        <v>668</v>
      </c>
      <c r="D241" t="str">
        <f t="shared" si="3"/>
        <v>FGS-HNTP-H-5/8</v>
      </c>
      <c r="E241" t="s">
        <v>669</v>
      </c>
      <c r="F241">
        <f>G241-SUMIFS('Sold out'!K:K,'Sold out'!I:I,'Main Stock'!C241)+SUMIFS('Receiving '!G:G,'Receiving '!E:E,'Main Stock'!C241)</f>
        <v>750</v>
      </c>
      <c r="G241">
        <v>750</v>
      </c>
      <c r="H241" t="s">
        <v>1334</v>
      </c>
    </row>
    <row r="242" spans="1:8" x14ac:dyDescent="0.2">
      <c r="A242" t="s">
        <v>4711</v>
      </c>
      <c r="B242" t="s">
        <v>1656</v>
      </c>
      <c r="C242" t="s">
        <v>670</v>
      </c>
      <c r="D242" t="str">
        <f t="shared" si="3"/>
        <v>FFWLCLC42-JXF017</v>
      </c>
      <c r="E242" t="s">
        <v>671</v>
      </c>
      <c r="F242">
        <f>G242-SUMIFS('Sold out'!K:K,'Sold out'!I:I,'Main Stock'!C242)+SUMIFS('Receiving '!G:G,'Receiving '!E:E,'Main Stock'!C242)</f>
        <v>468</v>
      </c>
      <c r="G242">
        <v>468</v>
      </c>
      <c r="H242" t="s">
        <v>1285</v>
      </c>
    </row>
    <row r="243" spans="1:8" x14ac:dyDescent="0.2">
      <c r="A243" t="s">
        <v>4711</v>
      </c>
      <c r="B243" t="s">
        <v>1656</v>
      </c>
      <c r="C243" t="s">
        <v>672</v>
      </c>
      <c r="D243" t="str">
        <f t="shared" si="3"/>
        <v>FGS-FSFC-H</v>
      </c>
      <c r="E243" t="s">
        <v>673</v>
      </c>
      <c r="F243">
        <f>G243-SUMIFS('Sold out'!K:K,'Sold out'!I:I,'Main Stock'!C243)+SUMIFS('Receiving '!G:G,'Receiving '!E:E,'Main Stock'!C243)</f>
        <v>100</v>
      </c>
      <c r="G243">
        <v>100</v>
      </c>
      <c r="H243" t="s">
        <v>1335</v>
      </c>
    </row>
    <row r="244" spans="1:8" x14ac:dyDescent="0.2">
      <c r="A244" t="s">
        <v>4711</v>
      </c>
      <c r="B244" t="s">
        <v>1656</v>
      </c>
      <c r="C244" t="s">
        <v>674</v>
      </c>
      <c r="D244" t="str">
        <f t="shared" si="3"/>
        <v>760107318</v>
      </c>
      <c r="E244" t="s">
        <v>675</v>
      </c>
      <c r="F244">
        <f>G244-SUMIFS('Sold out'!K:K,'Sold out'!I:I,'Main Stock'!C244)+SUMIFS('Receiving '!G:G,'Receiving '!E:E,'Main Stock'!C244)</f>
        <v>0</v>
      </c>
      <c r="G244">
        <v>0</v>
      </c>
    </row>
    <row r="245" spans="1:8" x14ac:dyDescent="0.2">
      <c r="A245" t="s">
        <v>4711</v>
      </c>
      <c r="B245" t="s">
        <v>1656</v>
      </c>
      <c r="C245" t="s">
        <v>676</v>
      </c>
      <c r="D245" t="str">
        <f t="shared" si="3"/>
        <v>760092429</v>
      </c>
      <c r="E245" t="s">
        <v>677</v>
      </c>
      <c r="F245">
        <f>G245-SUMIFS('Sold out'!K:K,'Sold out'!I:I,'Main Stock'!C245)+SUMIFS('Receiving '!G:G,'Receiving '!E:E,'Main Stock'!C245)</f>
        <v>6053</v>
      </c>
      <c r="G245">
        <v>6053</v>
      </c>
      <c r="H245" t="s">
        <v>1336</v>
      </c>
    </row>
    <row r="246" spans="1:8" x14ac:dyDescent="0.2">
      <c r="A246" t="s">
        <v>4711</v>
      </c>
      <c r="B246" t="s">
        <v>1656</v>
      </c>
      <c r="C246" t="s">
        <v>678</v>
      </c>
      <c r="D246" t="str">
        <f t="shared" si="3"/>
        <v>FFWLCLC42-JXF015</v>
      </c>
      <c r="E246" t="s">
        <v>679</v>
      </c>
      <c r="F246">
        <f>G246-SUMIFS('Sold out'!K:K,'Sold out'!I:I,'Main Stock'!C246)+SUMIFS('Receiving '!G:G,'Receiving '!E:E,'Main Stock'!C246)</f>
        <v>0</v>
      </c>
      <c r="G246">
        <v>0</v>
      </c>
    </row>
    <row r="247" spans="1:8" x14ac:dyDescent="0.2">
      <c r="A247" t="s">
        <v>4711</v>
      </c>
      <c r="B247" t="s">
        <v>1656</v>
      </c>
      <c r="C247" t="s">
        <v>680</v>
      </c>
      <c r="D247" t="str">
        <f t="shared" si="3"/>
        <v>760139600</v>
      </c>
      <c r="E247" t="s">
        <v>681</v>
      </c>
      <c r="F247">
        <f>G247-SUMIFS('Sold out'!K:K,'Sold out'!I:I,'Main Stock'!C247)+SUMIFS('Receiving '!G:G,'Receiving '!E:E,'Main Stock'!C247)</f>
        <v>0</v>
      </c>
      <c r="G247">
        <v>0</v>
      </c>
    </row>
    <row r="248" spans="1:8" x14ac:dyDescent="0.2">
      <c r="A248" t="s">
        <v>4711</v>
      </c>
      <c r="B248" t="s">
        <v>1656</v>
      </c>
      <c r="C248" t="s">
        <v>682</v>
      </c>
      <c r="D248" t="str">
        <f t="shared" si="3"/>
        <v>760092403</v>
      </c>
      <c r="E248" t="s">
        <v>683</v>
      </c>
      <c r="F248">
        <f>G248-SUMIFS('Sold out'!K:K,'Sold out'!I:I,'Main Stock'!C248)+SUMIFS('Receiving '!G:G,'Receiving '!E:E,'Main Stock'!C248)</f>
        <v>21</v>
      </c>
      <c r="G248">
        <v>21</v>
      </c>
      <c r="H248" t="s">
        <v>1337</v>
      </c>
    </row>
    <row r="249" spans="1:8" x14ac:dyDescent="0.2">
      <c r="A249" t="s">
        <v>4711</v>
      </c>
      <c r="B249" t="s">
        <v>1656</v>
      </c>
      <c r="C249" t="s">
        <v>684</v>
      </c>
      <c r="D249" t="str">
        <f t="shared" si="3"/>
        <v>CPCSSZ2-0ZF003</v>
      </c>
      <c r="E249" t="s">
        <v>685</v>
      </c>
      <c r="F249">
        <f>G249-SUMIFS('Sold out'!K:K,'Sold out'!I:I,'Main Stock'!C249)+SUMIFS('Receiving '!G:G,'Receiving '!E:E,'Main Stock'!C249)</f>
        <v>0</v>
      </c>
      <c r="G249">
        <v>0</v>
      </c>
    </row>
    <row r="250" spans="1:8" x14ac:dyDescent="0.2">
      <c r="A250" t="s">
        <v>4711</v>
      </c>
      <c r="B250" t="s">
        <v>1656</v>
      </c>
      <c r="C250" t="s">
        <v>686</v>
      </c>
      <c r="D250" t="str">
        <f t="shared" si="3"/>
        <v>760109462</v>
      </c>
      <c r="E250" t="s">
        <v>687</v>
      </c>
      <c r="F250">
        <f>G250-SUMIFS('Sold out'!K:K,'Sold out'!I:I,'Main Stock'!C250)+SUMIFS('Receiving '!G:G,'Receiving '!E:E,'Main Stock'!C250)</f>
        <v>7</v>
      </c>
      <c r="G250">
        <v>7</v>
      </c>
      <c r="H250">
        <v>0</v>
      </c>
    </row>
    <row r="251" spans="1:8" x14ac:dyDescent="0.2">
      <c r="A251" t="s">
        <v>4711</v>
      </c>
      <c r="B251" t="s">
        <v>1656</v>
      </c>
      <c r="C251" t="s">
        <v>688</v>
      </c>
      <c r="D251" t="str">
        <f t="shared" si="3"/>
        <v>760095554</v>
      </c>
      <c r="E251" t="s">
        <v>689</v>
      </c>
      <c r="F251">
        <f>G251-SUMIFS('Sold out'!K:K,'Sold out'!I:I,'Main Stock'!C251)+SUMIFS('Receiving '!G:G,'Receiving '!E:E,'Main Stock'!C251)</f>
        <v>0</v>
      </c>
      <c r="G251">
        <v>0</v>
      </c>
    </row>
    <row r="252" spans="1:8" x14ac:dyDescent="0.2">
      <c r="A252" t="s">
        <v>4711</v>
      </c>
      <c r="B252" t="s">
        <v>1656</v>
      </c>
      <c r="C252" t="s">
        <v>690</v>
      </c>
      <c r="D252" t="str">
        <f t="shared" si="3"/>
        <v>760207274</v>
      </c>
      <c r="E252" t="s">
        <v>691</v>
      </c>
      <c r="F252">
        <f>G252-SUMIFS('Sold out'!K:K,'Sold out'!I:I,'Main Stock'!C252)+SUMIFS('Receiving '!G:G,'Receiving '!E:E,'Main Stock'!C252)</f>
        <v>0</v>
      </c>
      <c r="G252">
        <v>0</v>
      </c>
    </row>
    <row r="253" spans="1:8" x14ac:dyDescent="0.2">
      <c r="A253" t="s">
        <v>4711</v>
      </c>
      <c r="B253" t="s">
        <v>1656</v>
      </c>
      <c r="C253" t="s">
        <v>692</v>
      </c>
      <c r="D253" t="str">
        <f t="shared" si="3"/>
        <v>FGS-FHRT-H</v>
      </c>
      <c r="E253" t="s">
        <v>693</v>
      </c>
      <c r="F253">
        <f>G253-SUMIFS('Sold out'!K:K,'Sold out'!I:I,'Main Stock'!C253)+SUMIFS('Receiving '!G:G,'Receiving '!E:E,'Main Stock'!C253)</f>
        <v>60</v>
      </c>
      <c r="G253">
        <v>60</v>
      </c>
      <c r="H253" t="s">
        <v>1285</v>
      </c>
    </row>
    <row r="254" spans="1:8" x14ac:dyDescent="0.2">
      <c r="A254" t="s">
        <v>4711</v>
      </c>
      <c r="B254" t="s">
        <v>1656</v>
      </c>
      <c r="C254" t="s">
        <v>694</v>
      </c>
      <c r="D254" t="str">
        <f t="shared" si="3"/>
        <v>1-1375055-3</v>
      </c>
      <c r="E254" t="s">
        <v>695</v>
      </c>
      <c r="F254">
        <f>G254-SUMIFS('Sold out'!K:K,'Sold out'!I:I,'Main Stock'!C254)+SUMIFS('Receiving '!G:G,'Receiving '!E:E,'Main Stock'!C254)</f>
        <v>1641</v>
      </c>
      <c r="G254">
        <v>1641</v>
      </c>
      <c r="H254" t="s">
        <v>1338</v>
      </c>
    </row>
    <row r="255" spans="1:8" x14ac:dyDescent="0.2">
      <c r="A255" t="s">
        <v>4711</v>
      </c>
      <c r="B255" t="s">
        <v>1656</v>
      </c>
      <c r="C255" t="s">
        <v>696</v>
      </c>
      <c r="D255" t="str">
        <f t="shared" si="3"/>
        <v>418280-000</v>
      </c>
      <c r="E255" t="s">
        <v>697</v>
      </c>
      <c r="F255">
        <f>G255-SUMIFS('Sold out'!K:K,'Sold out'!I:I,'Main Stock'!C255)+SUMIFS('Receiving '!G:G,'Receiving '!E:E,'Main Stock'!C255)</f>
        <v>1</v>
      </c>
      <c r="G255">
        <v>1</v>
      </c>
      <c r="H255" t="s">
        <v>1297</v>
      </c>
    </row>
    <row r="256" spans="1:8" x14ac:dyDescent="0.2">
      <c r="A256" t="s">
        <v>4711</v>
      </c>
      <c r="B256" t="s">
        <v>1656</v>
      </c>
      <c r="C256" t="s">
        <v>698</v>
      </c>
      <c r="D256" t="str">
        <f t="shared" si="3"/>
        <v>CW6618-000</v>
      </c>
      <c r="E256" t="s">
        <v>699</v>
      </c>
      <c r="F256">
        <f>G256-SUMIFS('Sold out'!K:K,'Sold out'!I:I,'Main Stock'!C256)+SUMIFS('Receiving '!G:G,'Receiving '!E:E,'Main Stock'!C256)</f>
        <v>0</v>
      </c>
      <c r="G256">
        <v>0</v>
      </c>
      <c r="H256" t="s">
        <v>1339</v>
      </c>
    </row>
    <row r="257" spans="1:9" x14ac:dyDescent="0.2">
      <c r="A257" t="s">
        <v>4711</v>
      </c>
      <c r="B257" t="s">
        <v>1656</v>
      </c>
      <c r="C257" t="s">
        <v>700</v>
      </c>
      <c r="D257" t="str">
        <f t="shared" si="3"/>
        <v>CV6799-000</v>
      </c>
      <c r="E257" t="s">
        <v>701</v>
      </c>
      <c r="F257">
        <f>G257-SUMIFS('Sold out'!K:K,'Sold out'!I:I,'Main Stock'!C257)+SUMIFS('Receiving '!G:G,'Receiving '!E:E,'Main Stock'!C257)</f>
        <v>0</v>
      </c>
      <c r="G257">
        <v>0</v>
      </c>
    </row>
    <row r="258" spans="1:9" x14ac:dyDescent="0.2">
      <c r="A258" t="s">
        <v>4711</v>
      </c>
      <c r="B258" t="s">
        <v>1656</v>
      </c>
      <c r="C258" t="s">
        <v>702</v>
      </c>
      <c r="D258" t="str">
        <f t="shared" si="3"/>
        <v>FFWLCLC42-JXF033</v>
      </c>
      <c r="E258" t="s">
        <v>703</v>
      </c>
      <c r="F258">
        <f>G258-SUMIFS('Sold out'!K:K,'Sold out'!I:I,'Main Stock'!C258)+SUMIFS('Receiving '!G:G,'Receiving '!E:E,'Main Stock'!C258)</f>
        <v>45</v>
      </c>
      <c r="G258">
        <v>45</v>
      </c>
      <c r="H258" t="s">
        <v>1340</v>
      </c>
    </row>
    <row r="259" spans="1:9" x14ac:dyDescent="0.2">
      <c r="A259" t="s">
        <v>4711</v>
      </c>
      <c r="B259" t="s">
        <v>1656</v>
      </c>
      <c r="C259" t="s">
        <v>704</v>
      </c>
      <c r="D259" t="str">
        <f t="shared" ref="D259:D322" si="4">C259</f>
        <v>FFWLCLC42-JXF050</v>
      </c>
      <c r="E259" t="s">
        <v>705</v>
      </c>
      <c r="F259">
        <f>G259-SUMIFS('Sold out'!K:K,'Sold out'!I:I,'Main Stock'!C259)+SUMIFS('Receiving '!G:G,'Receiving '!E:E,'Main Stock'!C259)</f>
        <v>192</v>
      </c>
      <c r="G259">
        <v>192</v>
      </c>
      <c r="H259" t="s">
        <v>1341</v>
      </c>
    </row>
    <row r="260" spans="1:9" x14ac:dyDescent="0.2">
      <c r="A260" t="s">
        <v>4711</v>
      </c>
      <c r="B260" t="s">
        <v>1656</v>
      </c>
      <c r="C260" t="s">
        <v>706</v>
      </c>
      <c r="D260" t="str">
        <f t="shared" si="4"/>
        <v>FFWLCLC42-JXF003</v>
      </c>
      <c r="E260" t="s">
        <v>707</v>
      </c>
      <c r="F260">
        <f>G260-SUMIFS('Sold out'!K:K,'Sold out'!I:I,'Main Stock'!C260)+SUMIFS('Receiving '!G:G,'Receiving '!E:E,'Main Stock'!C260)</f>
        <v>495</v>
      </c>
      <c r="G260">
        <v>495</v>
      </c>
      <c r="H260" t="s">
        <v>1342</v>
      </c>
    </row>
    <row r="261" spans="1:9" x14ac:dyDescent="0.2">
      <c r="A261" t="s">
        <v>4711</v>
      </c>
      <c r="B261" t="s">
        <v>1656</v>
      </c>
      <c r="C261" t="s">
        <v>708</v>
      </c>
      <c r="D261" t="str">
        <f t="shared" si="4"/>
        <v>FFXLCLC42-MXF010</v>
      </c>
      <c r="E261" t="s">
        <v>709</v>
      </c>
      <c r="F261">
        <f>G261-SUMIFS('Sold out'!K:K,'Sold out'!I:I,'Main Stock'!C261)+SUMIFS('Receiving '!G:G,'Receiving '!E:E,'Main Stock'!C261)</f>
        <v>0</v>
      </c>
      <c r="G261">
        <v>0</v>
      </c>
    </row>
    <row r="262" spans="1:9" x14ac:dyDescent="0.2">
      <c r="A262" t="s">
        <v>4711</v>
      </c>
      <c r="B262" t="s">
        <v>1656</v>
      </c>
      <c r="C262" t="s">
        <v>710</v>
      </c>
      <c r="D262" t="str">
        <f t="shared" si="4"/>
        <v>FFWLCLC42-JXF065</v>
      </c>
      <c r="E262" t="s">
        <v>711</v>
      </c>
      <c r="F262">
        <f>G262-SUMIFS('Sold out'!K:K,'Sold out'!I:I,'Main Stock'!C262)+SUMIFS('Receiving '!G:G,'Receiving '!E:E,'Main Stock'!C262)</f>
        <v>480</v>
      </c>
      <c r="G262">
        <v>480</v>
      </c>
      <c r="H262" t="s">
        <v>1343</v>
      </c>
    </row>
    <row r="263" spans="1:9" x14ac:dyDescent="0.2">
      <c r="A263" t="s">
        <v>4711</v>
      </c>
      <c r="B263" t="s">
        <v>1656</v>
      </c>
      <c r="C263" t="s">
        <v>712</v>
      </c>
      <c r="D263" t="str">
        <f t="shared" si="4"/>
        <v>FFWLCLC42-JXF010</v>
      </c>
      <c r="E263" t="s">
        <v>713</v>
      </c>
      <c r="F263">
        <f>G263-SUMIFS('Sold out'!K:K,'Sold out'!I:I,'Main Stock'!C263)+SUMIFS('Receiving '!G:G,'Receiving '!E:E,'Main Stock'!C263)</f>
        <v>0</v>
      </c>
      <c r="G263">
        <v>0</v>
      </c>
      <c r="H263" t="s">
        <v>1344</v>
      </c>
    </row>
    <row r="264" spans="1:9" x14ac:dyDescent="0.2">
      <c r="A264" t="s">
        <v>4711</v>
      </c>
      <c r="B264" t="s">
        <v>1656</v>
      </c>
      <c r="C264" t="s">
        <v>714</v>
      </c>
      <c r="D264" t="str">
        <f t="shared" si="4"/>
        <v>EH6496-000</v>
      </c>
      <c r="E264" t="s">
        <v>214</v>
      </c>
      <c r="F264">
        <f>G264-SUMIFS('Sold out'!K:K,'Sold out'!I:I,'Main Stock'!C264)+SUMIFS('Receiving '!G:G,'Receiving '!E:E,'Main Stock'!C264)</f>
        <v>0</v>
      </c>
      <c r="G264">
        <v>0</v>
      </c>
    </row>
    <row r="265" spans="1:9" x14ac:dyDescent="0.2">
      <c r="A265" t="s">
        <v>4711</v>
      </c>
      <c r="B265" t="s">
        <v>1656</v>
      </c>
      <c r="C265" t="s">
        <v>715</v>
      </c>
      <c r="D265" t="str">
        <f t="shared" si="4"/>
        <v>760249249</v>
      </c>
      <c r="E265" t="s">
        <v>716</v>
      </c>
      <c r="F265">
        <f>G265-SUMIFS('Sold out'!K:K,'Sold out'!I:I,'Main Stock'!C265)+SUMIFS('Receiving '!G:G,'Receiving '!E:E,'Main Stock'!C265)</f>
        <v>775</v>
      </c>
      <c r="G265">
        <v>775</v>
      </c>
      <c r="H265" t="s">
        <v>1345</v>
      </c>
    </row>
    <row r="266" spans="1:9" x14ac:dyDescent="0.2">
      <c r="A266" t="s">
        <v>4711</v>
      </c>
      <c r="B266" t="s">
        <v>1656</v>
      </c>
      <c r="C266" t="s">
        <v>717</v>
      </c>
      <c r="D266" t="str">
        <f t="shared" si="4"/>
        <v>760249251</v>
      </c>
      <c r="E266" t="s">
        <v>718</v>
      </c>
      <c r="F266">
        <f>G266-SUMIFS('Sold out'!K:K,'Sold out'!I:I,'Main Stock'!C266)+SUMIFS('Receiving '!G:G,'Receiving '!E:E,'Main Stock'!C266)</f>
        <v>4986</v>
      </c>
      <c r="G266">
        <v>4986</v>
      </c>
      <c r="H266" t="s">
        <v>1346</v>
      </c>
    </row>
    <row r="267" spans="1:9" x14ac:dyDescent="0.2">
      <c r="A267" t="s">
        <v>4711</v>
      </c>
      <c r="B267" t="s">
        <v>1656</v>
      </c>
      <c r="C267" t="s">
        <v>719</v>
      </c>
      <c r="D267" t="str">
        <f t="shared" si="4"/>
        <v>CPCSSZ2-07F010</v>
      </c>
      <c r="E267" t="s">
        <v>720</v>
      </c>
      <c r="F267">
        <f>G267-SUMIFS('Sold out'!K:K,'Sold out'!I:I,'Main Stock'!C267)+SUMIFS('Receiving '!G:G,'Receiving '!E:E,'Main Stock'!C267)</f>
        <v>0</v>
      </c>
      <c r="G267">
        <v>0</v>
      </c>
    </row>
    <row r="268" spans="1:9" x14ac:dyDescent="0.2">
      <c r="A268" t="s">
        <v>4711</v>
      </c>
      <c r="B268" t="s">
        <v>1656</v>
      </c>
      <c r="C268" t="s">
        <v>721</v>
      </c>
      <c r="D268" t="str">
        <f t="shared" si="4"/>
        <v>760234921</v>
      </c>
      <c r="E268" t="s">
        <v>722</v>
      </c>
      <c r="F268">
        <f>G268-SUMIFS('Sold out'!K:K,'Sold out'!I:I,'Main Stock'!C268)+SUMIFS('Receiving '!G:G,'Receiving '!E:E,'Main Stock'!C268)</f>
        <v>0</v>
      </c>
      <c r="G268">
        <v>0</v>
      </c>
    </row>
    <row r="269" spans="1:9" x14ac:dyDescent="0.2">
      <c r="A269" t="s">
        <v>4711</v>
      </c>
      <c r="B269" t="s">
        <v>1656</v>
      </c>
      <c r="C269" t="s">
        <v>723</v>
      </c>
      <c r="D269" t="str">
        <f t="shared" si="4"/>
        <v>FGS-MHXP-P-H</v>
      </c>
      <c r="E269" t="s">
        <v>724</v>
      </c>
      <c r="F269">
        <f>G269-SUMIFS('Sold out'!K:K,'Sold out'!I:I,'Main Stock'!C269)+SUMIFS('Receiving '!G:G,'Receiving '!E:E,'Main Stock'!C269)</f>
        <v>0</v>
      </c>
      <c r="G269">
        <v>0</v>
      </c>
    </row>
    <row r="270" spans="1:9" x14ac:dyDescent="0.2">
      <c r="A270" t="s">
        <v>4711</v>
      </c>
      <c r="B270" t="s">
        <v>1656</v>
      </c>
      <c r="C270" t="s">
        <v>725</v>
      </c>
      <c r="D270" t="str">
        <f t="shared" si="4"/>
        <v>CPCSSZ2-0ZF005</v>
      </c>
      <c r="E270" t="s">
        <v>726</v>
      </c>
      <c r="F270">
        <f>G270-SUMIFS('Sold out'!K:K,'Sold out'!I:I,'Main Stock'!C270)+SUMIFS('Receiving '!G:G,'Receiving '!E:E,'Main Stock'!C270)</f>
        <v>0</v>
      </c>
      <c r="G270">
        <v>0</v>
      </c>
    </row>
    <row r="271" spans="1:9" x14ac:dyDescent="0.2">
      <c r="A271" t="s">
        <v>4711</v>
      </c>
      <c r="B271" t="s">
        <v>1656</v>
      </c>
      <c r="C271" t="s">
        <v>727</v>
      </c>
      <c r="D271" t="str">
        <f t="shared" si="4"/>
        <v>760253100</v>
      </c>
      <c r="E271" t="s">
        <v>728</v>
      </c>
      <c r="F271">
        <f>G271-SUMIFS('Sold out'!K:K,'Sold out'!I:I,'Main Stock'!C271)+SUMIFS('Receiving '!G:G,'Receiving '!E:E,'Main Stock'!C271)</f>
        <v>0</v>
      </c>
      <c r="G271">
        <v>0</v>
      </c>
    </row>
    <row r="272" spans="1:9" ht="16" x14ac:dyDescent="0.2">
      <c r="A272" t="s">
        <v>4711</v>
      </c>
      <c r="B272" t="s">
        <v>1656</v>
      </c>
      <c r="C272" t="s">
        <v>729</v>
      </c>
      <c r="D272" t="str">
        <f t="shared" si="4"/>
        <v>760053330</v>
      </c>
      <c r="E272" t="s">
        <v>730</v>
      </c>
      <c r="F272">
        <f>G272-SUMIFS('Sold out'!K:K,'Sold out'!I:I,'Main Stock'!C272)+SUMIFS('Receiving '!G:G,'Receiving '!E:E,'Main Stock'!C272)</f>
        <v>17480</v>
      </c>
      <c r="G272">
        <v>17480</v>
      </c>
      <c r="H272" t="s">
        <v>1347</v>
      </c>
      <c r="I272" s="34" t="s">
        <v>1390</v>
      </c>
    </row>
    <row r="273" spans="1:9" ht="32" x14ac:dyDescent="0.2">
      <c r="A273" t="s">
        <v>4711</v>
      </c>
      <c r="B273" t="s">
        <v>1656</v>
      </c>
      <c r="C273" t="s">
        <v>731</v>
      </c>
      <c r="D273" t="str">
        <f t="shared" si="4"/>
        <v>760053355</v>
      </c>
      <c r="E273" t="s">
        <v>732</v>
      </c>
      <c r="F273">
        <f>G273-SUMIFS('Sold out'!K:K,'Sold out'!I:I,'Main Stock'!C273)+SUMIFS('Receiving '!G:G,'Receiving '!E:E,'Main Stock'!C273)</f>
        <v>50000</v>
      </c>
      <c r="G273">
        <v>50000</v>
      </c>
      <c r="H273">
        <v>0</v>
      </c>
      <c r="I273" s="34" t="s">
        <v>1391</v>
      </c>
    </row>
    <row r="274" spans="1:9" x14ac:dyDescent="0.2">
      <c r="A274" t="s">
        <v>4711</v>
      </c>
      <c r="B274" t="s">
        <v>1656</v>
      </c>
      <c r="C274" t="s">
        <v>733</v>
      </c>
      <c r="D274" t="str">
        <f t="shared" si="4"/>
        <v>760242980</v>
      </c>
      <c r="E274" t="s">
        <v>734</v>
      </c>
      <c r="F274">
        <f>G274-SUMIFS('Sold out'!K:K,'Sold out'!I:I,'Main Stock'!C274)+SUMIFS('Receiving '!G:G,'Receiving '!E:E,'Main Stock'!C274)</f>
        <v>0</v>
      </c>
      <c r="G274">
        <v>0</v>
      </c>
    </row>
    <row r="275" spans="1:9" x14ac:dyDescent="0.2">
      <c r="A275" t="s">
        <v>4711</v>
      </c>
      <c r="B275" t="s">
        <v>1656</v>
      </c>
      <c r="C275" t="s">
        <v>735</v>
      </c>
      <c r="D275" t="str">
        <f t="shared" si="4"/>
        <v>CA111K2-08F003</v>
      </c>
      <c r="E275" t="s">
        <v>736</v>
      </c>
      <c r="F275">
        <f>G275-SUMIFS('Sold out'!K:K,'Sold out'!I:I,'Main Stock'!C275)+SUMIFS('Receiving '!G:G,'Receiving '!E:E,'Main Stock'!C275)</f>
        <v>1215</v>
      </c>
      <c r="G275">
        <v>1215</v>
      </c>
      <c r="H275" t="s">
        <v>1348</v>
      </c>
    </row>
    <row r="276" spans="1:9" ht="112" x14ac:dyDescent="0.2">
      <c r="A276" t="s">
        <v>4711</v>
      </c>
      <c r="B276" t="s">
        <v>1656</v>
      </c>
      <c r="C276" t="s">
        <v>737</v>
      </c>
      <c r="D276" t="str">
        <f t="shared" si="4"/>
        <v>9-1592145-9</v>
      </c>
      <c r="E276" t="s">
        <v>738</v>
      </c>
      <c r="F276">
        <f>G276-SUMIFS('Sold out'!K:K,'Sold out'!I:I,'Main Stock'!C276)+SUMIFS('Receiving '!G:G,'Receiving '!E:E,'Main Stock'!C276)</f>
        <v>7853</v>
      </c>
      <c r="G276">
        <v>7853</v>
      </c>
      <c r="H276" t="s">
        <v>1349</v>
      </c>
      <c r="I276" s="34" t="s">
        <v>1392</v>
      </c>
    </row>
    <row r="277" spans="1:9" x14ac:dyDescent="0.2">
      <c r="A277" t="s">
        <v>4711</v>
      </c>
      <c r="B277" t="s">
        <v>1656</v>
      </c>
      <c r="C277" t="s">
        <v>739</v>
      </c>
      <c r="D277" t="str">
        <f t="shared" si="4"/>
        <v>760168443</v>
      </c>
      <c r="E277" t="s">
        <v>740</v>
      </c>
      <c r="F277">
        <f>G277-SUMIFS('Sold out'!K:K,'Sold out'!I:I,'Main Stock'!C277)+SUMIFS('Receiving '!G:G,'Receiving '!E:E,'Main Stock'!C277)</f>
        <v>0</v>
      </c>
      <c r="G277">
        <v>0</v>
      </c>
    </row>
    <row r="278" spans="1:9" x14ac:dyDescent="0.2">
      <c r="A278" t="s">
        <v>4711</v>
      </c>
      <c r="B278" t="s">
        <v>1656</v>
      </c>
      <c r="C278" t="s">
        <v>741</v>
      </c>
      <c r="D278" t="str">
        <f t="shared" si="4"/>
        <v>CK9477-000</v>
      </c>
      <c r="E278" t="s">
        <v>742</v>
      </c>
      <c r="F278">
        <f>G278-SUMIFS('Sold out'!K:K,'Sold out'!I:I,'Main Stock'!C278)+SUMIFS('Receiving '!G:G,'Receiving '!E:E,'Main Stock'!C278)</f>
        <v>66</v>
      </c>
      <c r="G278">
        <v>66</v>
      </c>
      <c r="H278" t="s">
        <v>1350</v>
      </c>
    </row>
    <row r="279" spans="1:9" x14ac:dyDescent="0.2">
      <c r="A279" t="s">
        <v>4711</v>
      </c>
      <c r="B279" t="s">
        <v>1656</v>
      </c>
      <c r="C279" t="s">
        <v>743</v>
      </c>
      <c r="D279" t="str">
        <f t="shared" si="4"/>
        <v>888118-000</v>
      </c>
      <c r="E279" t="s">
        <v>744</v>
      </c>
      <c r="F279">
        <f>G279-SUMIFS('Sold out'!K:K,'Sold out'!I:I,'Main Stock'!C279)+SUMIFS('Receiving '!G:G,'Receiving '!E:E,'Main Stock'!C279)</f>
        <v>69</v>
      </c>
      <c r="G279">
        <v>69</v>
      </c>
      <c r="H279" t="s">
        <v>1301</v>
      </c>
    </row>
    <row r="280" spans="1:9" x14ac:dyDescent="0.2">
      <c r="A280" t="s">
        <v>4711</v>
      </c>
      <c r="B280" t="s">
        <v>1656</v>
      </c>
      <c r="C280" t="s">
        <v>745</v>
      </c>
      <c r="D280" t="str">
        <f t="shared" si="4"/>
        <v>CA111K2-08F010</v>
      </c>
      <c r="E280" t="s">
        <v>746</v>
      </c>
      <c r="F280">
        <f>G280-SUMIFS('Sold out'!K:K,'Sold out'!I:I,'Main Stock'!C280)+SUMIFS('Receiving '!G:G,'Receiving '!E:E,'Main Stock'!C280)</f>
        <v>0</v>
      </c>
      <c r="G280">
        <v>0</v>
      </c>
    </row>
    <row r="281" spans="1:9" ht="32" x14ac:dyDescent="0.2">
      <c r="A281" t="s">
        <v>4711</v>
      </c>
      <c r="B281" t="s">
        <v>1656</v>
      </c>
      <c r="C281" t="s">
        <v>747</v>
      </c>
      <c r="D281" t="str">
        <f t="shared" si="4"/>
        <v>760098442</v>
      </c>
      <c r="E281" t="s">
        <v>748</v>
      </c>
      <c r="F281">
        <f>G281-SUMIFS('Sold out'!K:K,'Sold out'!I:I,'Main Stock'!C281)+SUMIFS('Receiving '!G:G,'Receiving '!E:E,'Main Stock'!C281)</f>
        <v>7965</v>
      </c>
      <c r="G281">
        <v>7965</v>
      </c>
      <c r="H281" t="s">
        <v>1351</v>
      </c>
      <c r="I281" s="34" t="s">
        <v>1393</v>
      </c>
    </row>
    <row r="282" spans="1:9" ht="32" x14ac:dyDescent="0.2">
      <c r="A282" t="s">
        <v>4711</v>
      </c>
      <c r="B282" t="s">
        <v>1656</v>
      </c>
      <c r="C282" t="s">
        <v>749</v>
      </c>
      <c r="D282" t="str">
        <f t="shared" si="4"/>
        <v>810010171/DB</v>
      </c>
      <c r="E282" t="s">
        <v>750</v>
      </c>
      <c r="F282">
        <f>G282-SUMIFS('Sold out'!K:K,'Sold out'!I:I,'Main Stock'!C282)+SUMIFS('Receiving '!G:G,'Receiving '!E:E,'Main Stock'!C282)</f>
        <v>6041</v>
      </c>
      <c r="G282">
        <v>6041</v>
      </c>
      <c r="H282">
        <v>0</v>
      </c>
      <c r="I282" s="34" t="s">
        <v>1394</v>
      </c>
    </row>
    <row r="283" spans="1:9" x14ac:dyDescent="0.2">
      <c r="A283" t="s">
        <v>4711</v>
      </c>
      <c r="B283" t="s">
        <v>1656</v>
      </c>
      <c r="C283" t="s">
        <v>751</v>
      </c>
      <c r="D283" t="str">
        <f t="shared" si="4"/>
        <v>760117366</v>
      </c>
      <c r="E283" t="s">
        <v>752</v>
      </c>
      <c r="F283">
        <f>G283-SUMIFS('Sold out'!K:K,'Sold out'!I:I,'Main Stock'!C283)+SUMIFS('Receiving '!G:G,'Receiving '!E:E,'Main Stock'!C283)</f>
        <v>100</v>
      </c>
      <c r="G283">
        <v>50</v>
      </c>
    </row>
    <row r="284" spans="1:9" x14ac:dyDescent="0.2">
      <c r="A284" t="s">
        <v>4711</v>
      </c>
      <c r="B284" t="s">
        <v>1656</v>
      </c>
      <c r="C284" t="s">
        <v>753</v>
      </c>
      <c r="D284" t="str">
        <f t="shared" si="4"/>
        <v>760102244</v>
      </c>
      <c r="E284" t="s">
        <v>754</v>
      </c>
      <c r="F284">
        <f>G284-SUMIFS('Sold out'!K:K,'Sold out'!I:I,'Main Stock'!C284)+SUMIFS('Receiving '!G:G,'Receiving '!E:E,'Main Stock'!C284)</f>
        <v>0</v>
      </c>
      <c r="G284">
        <v>0</v>
      </c>
    </row>
    <row r="285" spans="1:9" x14ac:dyDescent="0.2">
      <c r="A285" t="s">
        <v>4711</v>
      </c>
      <c r="B285" t="s">
        <v>1656</v>
      </c>
      <c r="C285" t="s">
        <v>755</v>
      </c>
      <c r="D285" t="str">
        <f t="shared" si="4"/>
        <v>64201013-00</v>
      </c>
      <c r="E285" t="s">
        <v>756</v>
      </c>
      <c r="F285">
        <f>G285-SUMIFS('Sold out'!K:K,'Sold out'!I:I,'Main Stock'!C285)+SUMIFS('Receiving '!G:G,'Receiving '!E:E,'Main Stock'!C285)</f>
        <v>0</v>
      </c>
      <c r="G285">
        <v>0</v>
      </c>
    </row>
    <row r="286" spans="1:9" x14ac:dyDescent="0.2">
      <c r="A286" t="s">
        <v>4711</v>
      </c>
      <c r="B286" t="s">
        <v>1656</v>
      </c>
      <c r="C286" t="s">
        <v>757</v>
      </c>
      <c r="D286" t="str">
        <f t="shared" si="4"/>
        <v>60891120-02</v>
      </c>
      <c r="E286" t="s">
        <v>758</v>
      </c>
      <c r="F286">
        <f>G286-SUMIFS('Sold out'!K:K,'Sold out'!I:I,'Main Stock'!C286)+SUMIFS('Receiving '!G:G,'Receiving '!E:E,'Main Stock'!C286)</f>
        <v>0</v>
      </c>
      <c r="G286">
        <v>0</v>
      </c>
    </row>
    <row r="287" spans="1:9" x14ac:dyDescent="0.2">
      <c r="A287" t="s">
        <v>4711</v>
      </c>
      <c r="B287" t="s">
        <v>1656</v>
      </c>
      <c r="C287" t="s">
        <v>759</v>
      </c>
      <c r="D287" t="str">
        <f t="shared" si="4"/>
        <v>60891121-02</v>
      </c>
      <c r="E287" t="s">
        <v>760</v>
      </c>
      <c r="F287">
        <f>G287-SUMIFS('Sold out'!K:K,'Sold out'!I:I,'Main Stock'!C287)+SUMIFS('Receiving '!G:G,'Receiving '!E:E,'Main Stock'!C287)</f>
        <v>0</v>
      </c>
      <c r="G287">
        <v>0</v>
      </c>
    </row>
    <row r="288" spans="1:9" x14ac:dyDescent="0.2">
      <c r="A288" t="s">
        <v>4711</v>
      </c>
      <c r="B288" t="s">
        <v>1656</v>
      </c>
      <c r="C288" t="s">
        <v>761</v>
      </c>
      <c r="D288" t="str">
        <f t="shared" si="4"/>
        <v>64690001-17</v>
      </c>
      <c r="E288" t="s">
        <v>762</v>
      </c>
      <c r="F288">
        <f>G288-SUMIFS('Sold out'!K:K,'Sold out'!I:I,'Main Stock'!C288)+SUMIFS('Receiving '!G:G,'Receiving '!E:E,'Main Stock'!C288)</f>
        <v>0</v>
      </c>
      <c r="G288">
        <v>0</v>
      </c>
    </row>
    <row r="289" spans="1:9" x14ac:dyDescent="0.2">
      <c r="A289" t="s">
        <v>4711</v>
      </c>
      <c r="B289" t="s">
        <v>1656</v>
      </c>
      <c r="C289" t="s">
        <v>763</v>
      </c>
      <c r="D289" t="str">
        <f t="shared" si="4"/>
        <v>64172055-11</v>
      </c>
      <c r="E289" t="s">
        <v>764</v>
      </c>
      <c r="F289">
        <f>G289-SUMIFS('Sold out'!K:K,'Sold out'!I:I,'Main Stock'!C289)+SUMIFS('Receiving '!G:G,'Receiving '!E:E,'Main Stock'!C289)</f>
        <v>0</v>
      </c>
      <c r="G289">
        <v>0</v>
      </c>
    </row>
    <row r="290" spans="1:9" x14ac:dyDescent="0.2">
      <c r="A290" t="s">
        <v>4711</v>
      </c>
      <c r="B290" t="s">
        <v>1656</v>
      </c>
      <c r="C290" t="s">
        <v>765</v>
      </c>
      <c r="D290" t="str">
        <f t="shared" si="4"/>
        <v>60892023-01</v>
      </c>
      <c r="E290" t="s">
        <v>766</v>
      </c>
      <c r="F290">
        <f>G290-SUMIFS('Sold out'!K:K,'Sold out'!I:I,'Main Stock'!C290)+SUMIFS('Receiving '!G:G,'Receiving '!E:E,'Main Stock'!C290)</f>
        <v>40</v>
      </c>
      <c r="G290">
        <v>40</v>
      </c>
      <c r="H290" t="s">
        <v>1352</v>
      </c>
    </row>
    <row r="291" spans="1:9" ht="16" x14ac:dyDescent="0.2">
      <c r="A291" t="s">
        <v>4711</v>
      </c>
      <c r="B291" t="s">
        <v>1656</v>
      </c>
      <c r="C291" t="s">
        <v>767</v>
      </c>
      <c r="D291" t="str">
        <f t="shared" si="4"/>
        <v>PFC-S04L16</v>
      </c>
      <c r="E291" t="s">
        <v>768</v>
      </c>
      <c r="F291">
        <f>G291-SUMIFS('Sold out'!K:K,'Sold out'!I:I,'Main Stock'!C291)+SUMIFS('Receiving '!G:G,'Receiving '!E:E,'Main Stock'!C291)</f>
        <v>0</v>
      </c>
      <c r="G291">
        <v>0</v>
      </c>
      <c r="I291" s="34" t="s">
        <v>1395</v>
      </c>
    </row>
    <row r="292" spans="1:9" x14ac:dyDescent="0.2">
      <c r="A292" t="s">
        <v>4711</v>
      </c>
      <c r="B292" t="s">
        <v>1656</v>
      </c>
      <c r="C292" t="s">
        <v>769</v>
      </c>
      <c r="D292" t="str">
        <f t="shared" si="4"/>
        <v>760105122</v>
      </c>
      <c r="E292" t="s">
        <v>770</v>
      </c>
      <c r="F292">
        <f>G292-SUMIFS('Sold out'!K:K,'Sold out'!I:I,'Main Stock'!C292)+SUMIFS('Receiving '!G:G,'Receiving '!E:E,'Main Stock'!C292)</f>
        <v>0</v>
      </c>
      <c r="G292">
        <v>0</v>
      </c>
    </row>
    <row r="293" spans="1:9" x14ac:dyDescent="0.2">
      <c r="A293" t="s">
        <v>4711</v>
      </c>
      <c r="B293" t="s">
        <v>1656</v>
      </c>
      <c r="C293" t="s">
        <v>771</v>
      </c>
      <c r="D293" t="str">
        <f t="shared" si="4"/>
        <v>760231514</v>
      </c>
      <c r="E293" t="s">
        <v>772</v>
      </c>
      <c r="F293">
        <f>G293-SUMIFS('Sold out'!K:K,'Sold out'!I:I,'Main Stock'!C293)+SUMIFS('Receiving '!G:G,'Receiving '!E:E,'Main Stock'!C293)</f>
        <v>56</v>
      </c>
      <c r="G293">
        <v>56</v>
      </c>
      <c r="H293" t="s">
        <v>1285</v>
      </c>
    </row>
    <row r="294" spans="1:9" x14ac:dyDescent="0.2">
      <c r="A294" t="s">
        <v>4711</v>
      </c>
      <c r="B294" t="s">
        <v>1656</v>
      </c>
      <c r="C294" t="s">
        <v>773</v>
      </c>
      <c r="D294" t="str">
        <f t="shared" si="4"/>
        <v>CU5172-000</v>
      </c>
      <c r="E294" t="s">
        <v>774</v>
      </c>
      <c r="F294">
        <f>G294-SUMIFS('Sold out'!K:K,'Sold out'!I:I,'Main Stock'!C294)+SUMIFS('Receiving '!G:G,'Receiving '!E:E,'Main Stock'!C294)</f>
        <v>78</v>
      </c>
      <c r="G294">
        <v>78</v>
      </c>
      <c r="H294" t="s">
        <v>1293</v>
      </c>
    </row>
    <row r="295" spans="1:9" x14ac:dyDescent="0.2">
      <c r="A295" t="s">
        <v>4711</v>
      </c>
      <c r="B295" t="s">
        <v>1656</v>
      </c>
      <c r="C295" t="s">
        <v>775</v>
      </c>
      <c r="D295" t="str">
        <f t="shared" si="4"/>
        <v>760105148</v>
      </c>
      <c r="E295" t="s">
        <v>776</v>
      </c>
      <c r="F295">
        <f>G295-SUMIFS('Sold out'!K:K,'Sold out'!I:I,'Main Stock'!C295)+SUMIFS('Receiving '!G:G,'Receiving '!E:E,'Main Stock'!C295)</f>
        <v>1</v>
      </c>
      <c r="G295">
        <v>1</v>
      </c>
      <c r="H295" t="s">
        <v>1299</v>
      </c>
    </row>
    <row r="296" spans="1:9" x14ac:dyDescent="0.2">
      <c r="A296" t="s">
        <v>4711</v>
      </c>
      <c r="B296" t="s">
        <v>1656</v>
      </c>
      <c r="C296" t="s">
        <v>777</v>
      </c>
      <c r="D296" t="str">
        <f t="shared" si="4"/>
        <v>103897-000</v>
      </c>
      <c r="E296" t="s">
        <v>778</v>
      </c>
      <c r="F296">
        <f>G296-SUMIFS('Sold out'!K:K,'Sold out'!I:I,'Main Stock'!C296)+SUMIFS('Receiving '!G:G,'Receiving '!E:E,'Main Stock'!C296)</f>
        <v>200</v>
      </c>
      <c r="G296">
        <v>200</v>
      </c>
      <c r="H296" t="s">
        <v>1353</v>
      </c>
    </row>
    <row r="297" spans="1:9" x14ac:dyDescent="0.2">
      <c r="A297" t="s">
        <v>4711</v>
      </c>
      <c r="B297" t="s">
        <v>1656</v>
      </c>
      <c r="C297" t="s">
        <v>779</v>
      </c>
      <c r="D297" t="str">
        <f t="shared" si="4"/>
        <v>760152801</v>
      </c>
      <c r="E297" t="s">
        <v>780</v>
      </c>
      <c r="F297">
        <f>G297-SUMIFS('Sold out'!K:K,'Sold out'!I:I,'Main Stock'!C297)+SUMIFS('Receiving '!G:G,'Receiving '!E:E,'Main Stock'!C297)</f>
        <v>246</v>
      </c>
      <c r="G297">
        <v>246</v>
      </c>
      <c r="H297" t="s">
        <v>1294</v>
      </c>
    </row>
    <row r="298" spans="1:9" x14ac:dyDescent="0.2">
      <c r="A298" t="s">
        <v>4711</v>
      </c>
      <c r="B298" t="s">
        <v>1656</v>
      </c>
      <c r="C298" t="s">
        <v>781</v>
      </c>
      <c r="D298" t="str">
        <f t="shared" si="4"/>
        <v>760249256</v>
      </c>
      <c r="E298" t="s">
        <v>782</v>
      </c>
      <c r="F298">
        <f>G298-SUMIFS('Sold out'!K:K,'Sold out'!I:I,'Main Stock'!C298)+SUMIFS('Receiving '!G:G,'Receiving '!E:E,'Main Stock'!C298)</f>
        <v>50</v>
      </c>
      <c r="G298">
        <v>50</v>
      </c>
      <c r="H298" t="s">
        <v>1288</v>
      </c>
    </row>
    <row r="299" spans="1:9" x14ac:dyDescent="0.2">
      <c r="A299" t="s">
        <v>4711</v>
      </c>
      <c r="B299" t="s">
        <v>1656</v>
      </c>
      <c r="C299" t="s">
        <v>783</v>
      </c>
      <c r="D299" t="str">
        <f t="shared" si="4"/>
        <v>760200428</v>
      </c>
      <c r="E299" t="s">
        <v>784</v>
      </c>
      <c r="F299">
        <f>G299-SUMIFS('Sold out'!K:K,'Sold out'!I:I,'Main Stock'!C299)+SUMIFS('Receiving '!G:G,'Receiving '!E:E,'Main Stock'!C299)</f>
        <v>0</v>
      </c>
      <c r="G299">
        <v>0</v>
      </c>
    </row>
    <row r="300" spans="1:9" x14ac:dyDescent="0.2">
      <c r="A300" t="s">
        <v>4711</v>
      </c>
      <c r="B300" t="s">
        <v>1656</v>
      </c>
      <c r="C300" t="s">
        <v>785</v>
      </c>
      <c r="D300" t="str">
        <f t="shared" si="4"/>
        <v>760209965</v>
      </c>
      <c r="E300" t="s">
        <v>786</v>
      </c>
      <c r="F300">
        <f>G300-SUMIFS('Sold out'!K:K,'Sold out'!I:I,'Main Stock'!C300)+SUMIFS('Receiving '!G:G,'Receiving '!E:E,'Main Stock'!C300)</f>
        <v>0</v>
      </c>
      <c r="G300">
        <v>0</v>
      </c>
      <c r="H300" t="s">
        <v>1285</v>
      </c>
    </row>
    <row r="301" spans="1:9" x14ac:dyDescent="0.2">
      <c r="A301" t="s">
        <v>4711</v>
      </c>
      <c r="B301" t="s">
        <v>1656</v>
      </c>
      <c r="C301" t="s">
        <v>787</v>
      </c>
      <c r="D301" t="str">
        <f t="shared" si="4"/>
        <v>CPC3392-03F017</v>
      </c>
      <c r="E301" t="s">
        <v>788</v>
      </c>
      <c r="F301">
        <f>G301-SUMIFS('Sold out'!K:K,'Sold out'!I:I,'Main Stock'!C301)+SUMIFS('Receiving '!G:G,'Receiving '!E:E,'Main Stock'!C301)</f>
        <v>50</v>
      </c>
      <c r="G301">
        <v>50</v>
      </c>
      <c r="H301" t="s">
        <v>1280</v>
      </c>
    </row>
    <row r="302" spans="1:9" x14ac:dyDescent="0.2">
      <c r="A302" t="s">
        <v>4711</v>
      </c>
      <c r="B302" t="s">
        <v>1656</v>
      </c>
      <c r="C302" t="s">
        <v>789</v>
      </c>
      <c r="D302" t="str">
        <f t="shared" si="4"/>
        <v>760209957</v>
      </c>
      <c r="E302" t="s">
        <v>790</v>
      </c>
      <c r="F302">
        <f>G302-SUMIFS('Sold out'!K:K,'Sold out'!I:I,'Main Stock'!C302)+SUMIFS('Receiving '!G:G,'Receiving '!E:E,'Main Stock'!C302)</f>
        <v>0</v>
      </c>
      <c r="G302">
        <v>0</v>
      </c>
    </row>
    <row r="303" spans="1:9" x14ac:dyDescent="0.2">
      <c r="A303" t="s">
        <v>4711</v>
      </c>
      <c r="B303" t="s">
        <v>1656</v>
      </c>
      <c r="C303" t="s">
        <v>791</v>
      </c>
      <c r="D303" t="str">
        <f t="shared" si="4"/>
        <v>CPC3392-03F003</v>
      </c>
      <c r="E303" t="s">
        <v>792</v>
      </c>
      <c r="F303">
        <f>G303-SUMIFS('Sold out'!K:K,'Sold out'!I:I,'Main Stock'!C303)+SUMIFS('Receiving '!G:G,'Receiving '!E:E,'Main Stock'!C303)</f>
        <v>0</v>
      </c>
      <c r="G303">
        <v>0</v>
      </c>
    </row>
    <row r="304" spans="1:9" x14ac:dyDescent="0.2">
      <c r="A304" t="s">
        <v>4711</v>
      </c>
      <c r="B304" t="s">
        <v>1656</v>
      </c>
      <c r="C304" t="s">
        <v>793</v>
      </c>
      <c r="D304" t="str">
        <f t="shared" si="4"/>
        <v>CPC3392-03F010</v>
      </c>
      <c r="E304" t="s">
        <v>794</v>
      </c>
      <c r="F304">
        <f>G304-SUMIFS('Sold out'!K:K,'Sold out'!I:I,'Main Stock'!C304)+SUMIFS('Receiving '!G:G,'Receiving '!E:E,'Main Stock'!C304)</f>
        <v>0</v>
      </c>
      <c r="G304">
        <v>0</v>
      </c>
    </row>
    <row r="305" spans="1:9" ht="32" x14ac:dyDescent="0.2">
      <c r="A305" t="s">
        <v>4711</v>
      </c>
      <c r="B305" t="s">
        <v>1656</v>
      </c>
      <c r="C305" t="s">
        <v>795</v>
      </c>
      <c r="D305" t="str">
        <f t="shared" si="4"/>
        <v>760205401</v>
      </c>
      <c r="E305" t="s">
        <v>796</v>
      </c>
      <c r="F305">
        <f>G305-SUMIFS('Sold out'!K:K,'Sold out'!I:I,'Main Stock'!C305)+SUMIFS('Receiving '!G:G,'Receiving '!E:E,'Main Stock'!C305)</f>
        <v>0</v>
      </c>
      <c r="G305">
        <v>0</v>
      </c>
      <c r="I305" s="34" t="s">
        <v>1396</v>
      </c>
    </row>
    <row r="306" spans="1:9" x14ac:dyDescent="0.2">
      <c r="A306" t="s">
        <v>4711</v>
      </c>
      <c r="B306" t="s">
        <v>1656</v>
      </c>
      <c r="C306" t="s">
        <v>797</v>
      </c>
      <c r="D306" t="str">
        <f t="shared" si="4"/>
        <v>153396-000</v>
      </c>
      <c r="E306" t="s">
        <v>798</v>
      </c>
      <c r="F306">
        <f>G306-SUMIFS('Sold out'!K:K,'Sold out'!I:I,'Main Stock'!C306)+SUMIFS('Receiving '!G:G,'Receiving '!E:E,'Main Stock'!C306)</f>
        <v>69</v>
      </c>
      <c r="G306">
        <v>69</v>
      </c>
      <c r="H306" t="s">
        <v>1354</v>
      </c>
    </row>
    <row r="307" spans="1:9" x14ac:dyDescent="0.2">
      <c r="A307" t="s">
        <v>4711</v>
      </c>
      <c r="B307" t="s">
        <v>1656</v>
      </c>
      <c r="C307" t="s">
        <v>799</v>
      </c>
      <c r="D307" t="str">
        <f t="shared" si="4"/>
        <v>760201194</v>
      </c>
      <c r="E307" t="s">
        <v>800</v>
      </c>
      <c r="F307">
        <f>G307-SUMIFS('Sold out'!K:K,'Sold out'!I:I,'Main Stock'!C307)+SUMIFS('Receiving '!G:G,'Receiving '!E:E,'Main Stock'!C307)</f>
        <v>9</v>
      </c>
      <c r="G307">
        <v>9</v>
      </c>
      <c r="H307" t="s">
        <v>1299</v>
      </c>
    </row>
    <row r="308" spans="1:9" x14ac:dyDescent="0.2">
      <c r="A308" t="s">
        <v>4711</v>
      </c>
      <c r="B308" t="s">
        <v>1656</v>
      </c>
      <c r="C308" t="s">
        <v>801</v>
      </c>
      <c r="D308" t="str">
        <f t="shared" si="4"/>
        <v>760201145</v>
      </c>
      <c r="E308" t="s">
        <v>802</v>
      </c>
      <c r="F308">
        <f>G308-SUMIFS('Sold out'!K:K,'Sold out'!I:I,'Main Stock'!C308)+SUMIFS('Receiving '!G:G,'Receiving '!E:E,'Main Stock'!C308)</f>
        <v>0</v>
      </c>
      <c r="G308">
        <v>0</v>
      </c>
    </row>
    <row r="309" spans="1:9" x14ac:dyDescent="0.2">
      <c r="A309" t="s">
        <v>4711</v>
      </c>
      <c r="B309" t="s">
        <v>1656</v>
      </c>
      <c r="C309" t="s">
        <v>803</v>
      </c>
      <c r="D309" t="str">
        <f t="shared" si="4"/>
        <v>760152561</v>
      </c>
      <c r="E309" t="s">
        <v>804</v>
      </c>
      <c r="F309">
        <f>G309-SUMIFS('Sold out'!K:K,'Sold out'!I:I,'Main Stock'!C309)+SUMIFS('Receiving '!G:G,'Receiving '!E:E,'Main Stock'!C309)</f>
        <v>45</v>
      </c>
      <c r="G309">
        <v>45</v>
      </c>
      <c r="H309">
        <v>0</v>
      </c>
    </row>
    <row r="310" spans="1:9" x14ac:dyDescent="0.2">
      <c r="A310" t="s">
        <v>4711</v>
      </c>
      <c r="B310" t="s">
        <v>1656</v>
      </c>
      <c r="C310" t="s">
        <v>805</v>
      </c>
      <c r="D310" t="str">
        <f t="shared" si="4"/>
        <v>700206725</v>
      </c>
      <c r="E310" t="s">
        <v>806</v>
      </c>
      <c r="F310">
        <f>G310-SUMIFS('Sold out'!K:K,'Sold out'!I:I,'Main Stock'!C310)+SUMIFS('Receiving '!G:G,'Receiving '!E:E,'Main Stock'!C310)</f>
        <v>2500</v>
      </c>
      <c r="G310">
        <v>2500</v>
      </c>
      <c r="H310">
        <v>0</v>
      </c>
    </row>
    <row r="311" spans="1:9" x14ac:dyDescent="0.2">
      <c r="A311" t="s">
        <v>4711</v>
      </c>
      <c r="B311" t="s">
        <v>1656</v>
      </c>
      <c r="C311" t="s">
        <v>807</v>
      </c>
      <c r="D311" t="str">
        <f t="shared" si="4"/>
        <v>FFXLCLC42-MXF003</v>
      </c>
      <c r="E311" t="s">
        <v>808</v>
      </c>
      <c r="F311">
        <f>G311-SUMIFS('Sold out'!K:K,'Sold out'!I:I,'Main Stock'!C311)+SUMIFS('Receiving '!G:G,'Receiving '!E:E,'Main Stock'!C311)</f>
        <v>109</v>
      </c>
      <c r="G311">
        <v>109</v>
      </c>
      <c r="H311" t="s">
        <v>1355</v>
      </c>
    </row>
    <row r="312" spans="1:9" ht="16" x14ac:dyDescent="0.2">
      <c r="A312" t="s">
        <v>4711</v>
      </c>
      <c r="B312" t="s">
        <v>1656</v>
      </c>
      <c r="C312" t="s">
        <v>809</v>
      </c>
      <c r="D312" t="str">
        <f t="shared" si="4"/>
        <v>810010117/DB</v>
      </c>
      <c r="E312" t="s">
        <v>810</v>
      </c>
      <c r="F312">
        <f>G312-SUMIFS('Sold out'!K:K,'Sold out'!I:I,'Main Stock'!C312)+SUMIFS('Receiving '!G:G,'Receiving '!E:E,'Main Stock'!C312)</f>
        <v>0</v>
      </c>
      <c r="G312">
        <v>0</v>
      </c>
      <c r="I312" s="34" t="s">
        <v>1397</v>
      </c>
    </row>
    <row r="313" spans="1:9" ht="32" x14ac:dyDescent="0.2">
      <c r="A313" t="s">
        <v>4711</v>
      </c>
      <c r="B313" t="s">
        <v>1656</v>
      </c>
      <c r="C313" t="s">
        <v>811</v>
      </c>
      <c r="D313" t="str">
        <f t="shared" si="4"/>
        <v>760244986</v>
      </c>
      <c r="E313" t="s">
        <v>812</v>
      </c>
      <c r="F313">
        <f>G313-SUMIFS('Sold out'!K:K,'Sold out'!I:I,'Main Stock'!C313)+SUMIFS('Receiving '!G:G,'Receiving '!E:E,'Main Stock'!C313)</f>
        <v>0</v>
      </c>
      <c r="G313">
        <v>0</v>
      </c>
      <c r="I313" s="34" t="s">
        <v>1398</v>
      </c>
    </row>
    <row r="314" spans="1:9" ht="64" x14ac:dyDescent="0.2">
      <c r="A314" t="s">
        <v>4711</v>
      </c>
      <c r="B314" t="s">
        <v>1656</v>
      </c>
      <c r="C314" t="s">
        <v>813</v>
      </c>
      <c r="D314" t="str">
        <f t="shared" si="4"/>
        <v>760244990</v>
      </c>
      <c r="E314" t="s">
        <v>814</v>
      </c>
      <c r="F314">
        <f>G314-SUMIFS('Sold out'!K:K,'Sold out'!I:I,'Main Stock'!C314)+SUMIFS('Receiving '!G:G,'Receiving '!E:E,'Main Stock'!C314)</f>
        <v>6205</v>
      </c>
      <c r="G314">
        <v>6205</v>
      </c>
      <c r="H314" t="s">
        <v>1296</v>
      </c>
      <c r="I314" s="34" t="s">
        <v>1399</v>
      </c>
    </row>
    <row r="315" spans="1:9" ht="64" x14ac:dyDescent="0.2">
      <c r="A315" t="s">
        <v>4711</v>
      </c>
      <c r="B315" t="s">
        <v>1656</v>
      </c>
      <c r="C315" t="s">
        <v>815</v>
      </c>
      <c r="D315" t="str">
        <f t="shared" si="4"/>
        <v>760244991</v>
      </c>
      <c r="E315" t="s">
        <v>816</v>
      </c>
      <c r="F315">
        <f>G315-SUMIFS('Sold out'!K:K,'Sold out'!I:I,'Main Stock'!C315)+SUMIFS('Receiving '!G:G,'Receiving '!E:E,'Main Stock'!C315)</f>
        <v>11233</v>
      </c>
      <c r="G315">
        <v>11233</v>
      </c>
      <c r="H315" t="s">
        <v>1296</v>
      </c>
      <c r="I315" s="34" t="s">
        <v>1400</v>
      </c>
    </row>
    <row r="316" spans="1:9" ht="32" x14ac:dyDescent="0.2">
      <c r="A316" t="s">
        <v>4711</v>
      </c>
      <c r="B316" t="s">
        <v>1656</v>
      </c>
      <c r="C316" t="s">
        <v>817</v>
      </c>
      <c r="D316" t="str">
        <f t="shared" si="4"/>
        <v>760189597</v>
      </c>
      <c r="E316" t="s">
        <v>818</v>
      </c>
      <c r="F316">
        <f>G316-SUMIFS('Sold out'!K:K,'Sold out'!I:I,'Main Stock'!C316)+SUMIFS('Receiving '!G:G,'Receiving '!E:E,'Main Stock'!C316)</f>
        <v>3280</v>
      </c>
      <c r="G316">
        <v>3280</v>
      </c>
      <c r="H316" t="s">
        <v>1356</v>
      </c>
      <c r="I316" s="34" t="s">
        <v>1401</v>
      </c>
    </row>
    <row r="317" spans="1:9" x14ac:dyDescent="0.2">
      <c r="A317" t="s">
        <v>4711</v>
      </c>
      <c r="B317" t="s">
        <v>1656</v>
      </c>
      <c r="C317" t="s">
        <v>819</v>
      </c>
      <c r="D317" t="str">
        <f t="shared" si="4"/>
        <v>2160852-2</v>
      </c>
      <c r="E317" t="s">
        <v>820</v>
      </c>
      <c r="F317">
        <f>G317-SUMIFS('Sold out'!K:K,'Sold out'!I:I,'Main Stock'!C317)+SUMIFS('Receiving '!G:G,'Receiving '!E:E,'Main Stock'!C317)</f>
        <v>50</v>
      </c>
      <c r="G317">
        <v>50</v>
      </c>
      <c r="H317" t="s">
        <v>1285</v>
      </c>
    </row>
    <row r="318" spans="1:9" x14ac:dyDescent="0.2">
      <c r="A318" t="s">
        <v>4711</v>
      </c>
      <c r="B318" t="s">
        <v>1656</v>
      </c>
      <c r="C318" t="s">
        <v>821</v>
      </c>
      <c r="D318" t="str">
        <f t="shared" si="4"/>
        <v>2-2160565-0</v>
      </c>
      <c r="E318" t="s">
        <v>822</v>
      </c>
      <c r="F318">
        <f>G318-SUMIFS('Sold out'!K:K,'Sold out'!I:I,'Main Stock'!C318)+SUMIFS('Receiving '!G:G,'Receiving '!E:E,'Main Stock'!C318)</f>
        <v>1005</v>
      </c>
      <c r="G318">
        <v>1005</v>
      </c>
      <c r="H318" t="s">
        <v>1294</v>
      </c>
    </row>
    <row r="319" spans="1:9" x14ac:dyDescent="0.2">
      <c r="A319" t="s">
        <v>4711</v>
      </c>
      <c r="B319" t="s">
        <v>1656</v>
      </c>
      <c r="C319" t="s">
        <v>823</v>
      </c>
      <c r="D319" t="str">
        <f t="shared" si="4"/>
        <v>488880-000</v>
      </c>
      <c r="E319" t="s">
        <v>824</v>
      </c>
      <c r="F319">
        <f>G319-SUMIFS('Sold out'!K:K,'Sold out'!I:I,'Main Stock'!C319)+SUMIFS('Receiving '!G:G,'Receiving '!E:E,'Main Stock'!C319)</f>
        <v>0</v>
      </c>
      <c r="G319">
        <v>0</v>
      </c>
      <c r="H319" t="s">
        <v>1285</v>
      </c>
    </row>
    <row r="320" spans="1:9" x14ac:dyDescent="0.2">
      <c r="A320" t="s">
        <v>4711</v>
      </c>
      <c r="B320" t="s">
        <v>1656</v>
      </c>
      <c r="C320" t="s">
        <v>825</v>
      </c>
      <c r="D320" t="str">
        <f t="shared" si="4"/>
        <v>760244985</v>
      </c>
      <c r="E320" t="s">
        <v>826</v>
      </c>
      <c r="F320">
        <f>G320-SUMIFS('Sold out'!K:K,'Sold out'!I:I,'Main Stock'!C320)+SUMIFS('Receiving '!G:G,'Receiving '!E:E,'Main Stock'!C320)</f>
        <v>0</v>
      </c>
      <c r="G320">
        <v>0</v>
      </c>
    </row>
    <row r="321" spans="1:9" ht="64" x14ac:dyDescent="0.2">
      <c r="A321" t="s">
        <v>4711</v>
      </c>
      <c r="B321" t="s">
        <v>1656</v>
      </c>
      <c r="C321" t="s">
        <v>827</v>
      </c>
      <c r="D321" t="str">
        <f t="shared" si="4"/>
        <v>760254800</v>
      </c>
      <c r="E321" t="s">
        <v>828</v>
      </c>
      <c r="F321">
        <f>G321-SUMIFS('Sold out'!K:K,'Sold out'!I:I,'Main Stock'!C321)+SUMIFS('Receiving '!G:G,'Receiving '!E:E,'Main Stock'!C321)</f>
        <v>58192</v>
      </c>
      <c r="G321">
        <v>56109</v>
      </c>
      <c r="H321" t="s">
        <v>1357</v>
      </c>
      <c r="I321" s="34" t="s">
        <v>1402</v>
      </c>
    </row>
    <row r="322" spans="1:9" s="20" customFormat="1" ht="224" x14ac:dyDescent="0.2">
      <c r="A322" t="s">
        <v>4711</v>
      </c>
      <c r="B322" t="s">
        <v>1656</v>
      </c>
      <c r="C322" s="20" t="s">
        <v>829</v>
      </c>
      <c r="D322" t="str">
        <f t="shared" si="4"/>
        <v>760254801</v>
      </c>
      <c r="E322" s="20" t="s">
        <v>830</v>
      </c>
      <c r="F322">
        <f>G322-SUMIFS('Sold out'!K:K,'Sold out'!I:I,'Main Stock'!C322)+SUMIFS('Receiving '!G:G,'Receiving '!E:E,'Main Stock'!C322)</f>
        <v>101656</v>
      </c>
      <c r="G322" s="20">
        <v>51008</v>
      </c>
      <c r="H322" s="20">
        <v>0</v>
      </c>
      <c r="I322" s="29" t="s">
        <v>1403</v>
      </c>
    </row>
    <row r="323" spans="1:9" ht="64" x14ac:dyDescent="0.2">
      <c r="A323" t="s">
        <v>4711</v>
      </c>
      <c r="B323" t="s">
        <v>1656</v>
      </c>
      <c r="C323" t="s">
        <v>831</v>
      </c>
      <c r="D323" t="str">
        <f t="shared" ref="D323:D386" si="5">C323</f>
        <v>9-1594455-9</v>
      </c>
      <c r="E323" t="s">
        <v>832</v>
      </c>
      <c r="F323">
        <f>G323-SUMIFS('Sold out'!K:K,'Sold out'!I:I,'Main Stock'!C323)+SUMIFS('Receiving '!G:G,'Receiving '!E:E,'Main Stock'!C323)</f>
        <v>15371</v>
      </c>
      <c r="G323">
        <v>15371</v>
      </c>
      <c r="H323" t="s">
        <v>1358</v>
      </c>
      <c r="I323" s="34" t="s">
        <v>1404</v>
      </c>
    </row>
    <row r="324" spans="1:9" ht="16" x14ac:dyDescent="0.2">
      <c r="A324" t="s">
        <v>4711</v>
      </c>
      <c r="B324" t="s">
        <v>1656</v>
      </c>
      <c r="C324" t="s">
        <v>833</v>
      </c>
      <c r="D324" t="str">
        <f t="shared" si="5"/>
        <v>760244992</v>
      </c>
      <c r="E324" t="s">
        <v>834</v>
      </c>
      <c r="F324">
        <f>G324-SUMIFS('Sold out'!K:K,'Sold out'!I:I,'Main Stock'!C324)+SUMIFS('Receiving '!G:G,'Receiving '!E:E,'Main Stock'!C324)</f>
        <v>0</v>
      </c>
      <c r="G324">
        <v>0</v>
      </c>
      <c r="I324" s="34" t="s">
        <v>1395</v>
      </c>
    </row>
    <row r="325" spans="1:9" ht="32" x14ac:dyDescent="0.2">
      <c r="A325" t="s">
        <v>4711</v>
      </c>
      <c r="B325" t="s">
        <v>1656</v>
      </c>
      <c r="C325" t="s">
        <v>835</v>
      </c>
      <c r="D325" t="str">
        <f t="shared" si="5"/>
        <v>760244988</v>
      </c>
      <c r="E325" t="s">
        <v>836</v>
      </c>
      <c r="F325">
        <f>G325-SUMIFS('Sold out'!K:K,'Sold out'!I:I,'Main Stock'!C325)+SUMIFS('Receiving '!G:G,'Receiving '!E:E,'Main Stock'!C325)</f>
        <v>798</v>
      </c>
      <c r="G325">
        <v>798</v>
      </c>
      <c r="H325" t="s">
        <v>1359</v>
      </c>
      <c r="I325" s="34" t="s">
        <v>1405</v>
      </c>
    </row>
    <row r="326" spans="1:9" x14ac:dyDescent="0.2">
      <c r="A326" t="s">
        <v>4711</v>
      </c>
      <c r="B326" t="s">
        <v>1656</v>
      </c>
      <c r="C326" t="s">
        <v>837</v>
      </c>
      <c r="D326" t="str">
        <f t="shared" si="5"/>
        <v>FGS-KT03-CAI</v>
      </c>
      <c r="E326" t="s">
        <v>838</v>
      </c>
      <c r="F326">
        <f>G326-SUMIFS('Sold out'!K:K,'Sold out'!I:I,'Main Stock'!C326)+SUMIFS('Receiving '!G:G,'Receiving '!E:E,'Main Stock'!C326)</f>
        <v>0</v>
      </c>
      <c r="G326">
        <v>0</v>
      </c>
    </row>
    <row r="327" spans="1:9" x14ac:dyDescent="0.2">
      <c r="A327" t="s">
        <v>4711</v>
      </c>
      <c r="B327" t="s">
        <v>1656</v>
      </c>
      <c r="C327" t="s">
        <v>839</v>
      </c>
      <c r="D327" t="str">
        <f t="shared" si="5"/>
        <v>760256175</v>
      </c>
      <c r="E327" t="s">
        <v>840</v>
      </c>
      <c r="F327">
        <f>G327-SUMIFS('Sold out'!K:K,'Sold out'!I:I,'Main Stock'!C327)+SUMIFS('Receiving '!G:G,'Receiving '!E:E,'Main Stock'!C327)</f>
        <v>4</v>
      </c>
      <c r="G327">
        <v>4</v>
      </c>
      <c r="H327" t="s">
        <v>1360</v>
      </c>
    </row>
    <row r="328" spans="1:9" x14ac:dyDescent="0.2">
      <c r="A328" t="s">
        <v>4711</v>
      </c>
      <c r="B328" t="s">
        <v>1656</v>
      </c>
      <c r="C328" t="s">
        <v>841</v>
      </c>
      <c r="D328" t="str">
        <f t="shared" si="5"/>
        <v>CK9475-000</v>
      </c>
      <c r="E328" t="s">
        <v>842</v>
      </c>
      <c r="F328">
        <f>G328-SUMIFS('Sold out'!K:K,'Sold out'!I:I,'Main Stock'!C328)+SUMIFS('Receiving '!G:G,'Receiving '!E:E,'Main Stock'!C328)</f>
        <v>17</v>
      </c>
      <c r="G328">
        <v>7</v>
      </c>
    </row>
    <row r="329" spans="1:9" x14ac:dyDescent="0.2">
      <c r="A329" t="s">
        <v>4711</v>
      </c>
      <c r="B329" t="s">
        <v>1656</v>
      </c>
      <c r="C329" t="s">
        <v>843</v>
      </c>
      <c r="D329" t="str">
        <f t="shared" si="5"/>
        <v>760107326</v>
      </c>
      <c r="E329" t="s">
        <v>457</v>
      </c>
      <c r="F329">
        <f>G329-SUMIFS('Sold out'!K:K,'Sold out'!I:I,'Main Stock'!C329)+SUMIFS('Receiving '!G:G,'Receiving '!E:E,'Main Stock'!C329)</f>
        <v>140000</v>
      </c>
      <c r="G329">
        <v>140000</v>
      </c>
      <c r="H329" t="s">
        <v>64</v>
      </c>
    </row>
    <row r="330" spans="1:9" x14ac:dyDescent="0.2">
      <c r="A330" t="s">
        <v>4711</v>
      </c>
      <c r="B330" t="s">
        <v>1656</v>
      </c>
      <c r="C330" t="s">
        <v>844</v>
      </c>
      <c r="D330" t="str">
        <f t="shared" si="5"/>
        <v>760206047</v>
      </c>
      <c r="E330" t="s">
        <v>845</v>
      </c>
      <c r="F330">
        <f>G330-SUMIFS('Sold out'!K:K,'Sold out'!I:I,'Main Stock'!C330)+SUMIFS('Receiving '!G:G,'Receiving '!E:E,'Main Stock'!C330)</f>
        <v>0</v>
      </c>
      <c r="G330">
        <v>0</v>
      </c>
    </row>
    <row r="331" spans="1:9" x14ac:dyDescent="0.2">
      <c r="A331" t="s">
        <v>4711</v>
      </c>
      <c r="B331" t="s">
        <v>1656</v>
      </c>
      <c r="C331" t="s">
        <v>846</v>
      </c>
      <c r="D331" t="str">
        <f t="shared" si="5"/>
        <v>CPC3392-07F010</v>
      </c>
      <c r="E331" t="s">
        <v>847</v>
      </c>
      <c r="F331">
        <f>G331-SUMIFS('Sold out'!K:K,'Sold out'!I:I,'Main Stock'!C331)+SUMIFS('Receiving '!G:G,'Receiving '!E:E,'Main Stock'!C331)</f>
        <v>0</v>
      </c>
      <c r="G331">
        <v>0</v>
      </c>
    </row>
    <row r="332" spans="1:9" x14ac:dyDescent="0.2">
      <c r="A332" t="s">
        <v>4711</v>
      </c>
      <c r="B332" t="s">
        <v>1656</v>
      </c>
      <c r="C332" t="s">
        <v>848</v>
      </c>
      <c r="D332" t="str">
        <f t="shared" si="5"/>
        <v>CPC3392-09F010</v>
      </c>
      <c r="E332" t="s">
        <v>849</v>
      </c>
      <c r="F332">
        <f>G332-SUMIFS('Sold out'!K:K,'Sold out'!I:I,'Main Stock'!C332)+SUMIFS('Receiving '!G:G,'Receiving '!E:E,'Main Stock'!C332)</f>
        <v>0</v>
      </c>
      <c r="G332">
        <v>0</v>
      </c>
    </row>
    <row r="333" spans="1:9" x14ac:dyDescent="0.2">
      <c r="A333" t="s">
        <v>4711</v>
      </c>
      <c r="B333" t="s">
        <v>1656</v>
      </c>
      <c r="C333" t="s">
        <v>850</v>
      </c>
      <c r="D333" t="str">
        <f t="shared" si="5"/>
        <v>5-1933433-3</v>
      </c>
      <c r="E333" t="s">
        <v>851</v>
      </c>
      <c r="F333">
        <f>G333-SUMIFS('Sold out'!K:K,'Sold out'!I:I,'Main Stock'!C333)+SUMIFS('Receiving '!G:G,'Receiving '!E:E,'Main Stock'!C333)</f>
        <v>0</v>
      </c>
      <c r="G333">
        <v>0</v>
      </c>
    </row>
    <row r="334" spans="1:9" x14ac:dyDescent="0.2">
      <c r="A334" t="s">
        <v>4711</v>
      </c>
      <c r="B334" t="s">
        <v>1656</v>
      </c>
      <c r="C334" t="s">
        <v>852</v>
      </c>
      <c r="D334" t="str">
        <f t="shared" si="5"/>
        <v>FFXLCLC42-MXF164</v>
      </c>
      <c r="E334" t="s">
        <v>853</v>
      </c>
      <c r="F334">
        <f>G334-SUMIFS('Sold out'!K:K,'Sold out'!I:I,'Main Stock'!C334)+SUMIFS('Receiving '!G:G,'Receiving '!E:E,'Main Stock'!C334)</f>
        <v>0</v>
      </c>
      <c r="G334">
        <v>0</v>
      </c>
    </row>
    <row r="335" spans="1:9" x14ac:dyDescent="0.2">
      <c r="A335" t="s">
        <v>4711</v>
      </c>
      <c r="B335" t="s">
        <v>1656</v>
      </c>
      <c r="C335" t="s">
        <v>854</v>
      </c>
      <c r="D335" t="str">
        <f t="shared" si="5"/>
        <v>FFXLCLC42-MXF328</v>
      </c>
      <c r="E335" t="s">
        <v>855</v>
      </c>
      <c r="F335">
        <f>G335-SUMIFS('Sold out'!K:K,'Sold out'!I:I,'Main Stock'!C335)+SUMIFS('Receiving '!G:G,'Receiving '!E:E,'Main Stock'!C335)</f>
        <v>0</v>
      </c>
      <c r="G335">
        <v>0</v>
      </c>
    </row>
    <row r="336" spans="1:9" x14ac:dyDescent="0.2">
      <c r="A336" t="s">
        <v>4711</v>
      </c>
      <c r="B336" t="s">
        <v>1656</v>
      </c>
      <c r="C336" t="s">
        <v>856</v>
      </c>
      <c r="D336" t="str">
        <f t="shared" si="5"/>
        <v>FJXMPMPAD-MBF017</v>
      </c>
      <c r="E336" t="s">
        <v>857</v>
      </c>
      <c r="F336">
        <f>G336-SUMIFS('Sold out'!K:K,'Sold out'!I:I,'Main Stock'!C336)+SUMIFS('Receiving '!G:G,'Receiving '!E:E,'Main Stock'!C336)</f>
        <v>0</v>
      </c>
      <c r="G336">
        <v>0</v>
      </c>
    </row>
    <row r="337" spans="1:9" x14ac:dyDescent="0.2">
      <c r="A337" t="s">
        <v>4711</v>
      </c>
      <c r="B337" t="s">
        <v>1656</v>
      </c>
      <c r="C337" t="s">
        <v>858</v>
      </c>
      <c r="D337" t="str">
        <f t="shared" si="5"/>
        <v>EM1613-001</v>
      </c>
      <c r="E337" t="s">
        <v>859</v>
      </c>
      <c r="F337">
        <f>G337-SUMIFS('Sold out'!K:K,'Sold out'!I:I,'Main Stock'!C337)+SUMIFS('Receiving '!G:G,'Receiving '!E:E,'Main Stock'!C337)</f>
        <v>0</v>
      </c>
      <c r="G337">
        <v>0</v>
      </c>
    </row>
    <row r="338" spans="1:9" x14ac:dyDescent="0.2">
      <c r="A338" t="s">
        <v>4711</v>
      </c>
      <c r="B338" t="s">
        <v>1656</v>
      </c>
      <c r="C338" t="s">
        <v>860</v>
      </c>
      <c r="D338" t="str">
        <f t="shared" si="5"/>
        <v>FJXMPMPAD-MBF050</v>
      </c>
      <c r="E338" t="s">
        <v>857</v>
      </c>
      <c r="F338">
        <f>G338-SUMIFS('Sold out'!K:K,'Sold out'!I:I,'Main Stock'!C338)+SUMIFS('Receiving '!G:G,'Receiving '!E:E,'Main Stock'!C338)</f>
        <v>0</v>
      </c>
      <c r="G338">
        <v>0</v>
      </c>
    </row>
    <row r="339" spans="1:9" x14ac:dyDescent="0.2">
      <c r="A339" t="s">
        <v>4711</v>
      </c>
      <c r="B339" t="s">
        <v>1656</v>
      </c>
      <c r="C339" t="s">
        <v>861</v>
      </c>
      <c r="D339" t="str">
        <f t="shared" si="5"/>
        <v>FJXMPMPAD-MBF010</v>
      </c>
      <c r="E339" t="s">
        <v>857</v>
      </c>
      <c r="F339">
        <f>G339-SUMIFS('Sold out'!K:K,'Sold out'!I:I,'Main Stock'!C339)+SUMIFS('Receiving '!G:G,'Receiving '!E:E,'Main Stock'!C339)</f>
        <v>0</v>
      </c>
      <c r="G339">
        <v>0</v>
      </c>
    </row>
    <row r="340" spans="1:9" x14ac:dyDescent="0.2">
      <c r="A340" t="s">
        <v>4711</v>
      </c>
      <c r="B340" t="s">
        <v>1656</v>
      </c>
      <c r="C340" t="s">
        <v>862</v>
      </c>
      <c r="D340" t="str">
        <f t="shared" si="5"/>
        <v>760201202</v>
      </c>
      <c r="E340" t="s">
        <v>863</v>
      </c>
      <c r="F340">
        <f>G340-SUMIFS('Sold out'!K:K,'Sold out'!I:I,'Main Stock'!C340)+SUMIFS('Receiving '!G:G,'Receiving '!E:E,'Main Stock'!C340)</f>
        <v>1</v>
      </c>
      <c r="G340">
        <v>1</v>
      </c>
      <c r="H340" t="s">
        <v>1297</v>
      </c>
    </row>
    <row r="341" spans="1:9" x14ac:dyDescent="0.2">
      <c r="A341" t="s">
        <v>4711</v>
      </c>
      <c r="B341" t="s">
        <v>1656</v>
      </c>
      <c r="C341" t="s">
        <v>864</v>
      </c>
      <c r="D341" t="str">
        <f t="shared" si="5"/>
        <v>108168543</v>
      </c>
      <c r="E341" t="s">
        <v>865</v>
      </c>
      <c r="F341">
        <f>G341-SUMIFS('Sold out'!K:K,'Sold out'!I:I,'Main Stock'!C341)+SUMIFS('Receiving '!G:G,'Receiving '!E:E,'Main Stock'!C341)</f>
        <v>0</v>
      </c>
      <c r="G341">
        <v>0</v>
      </c>
    </row>
    <row r="342" spans="1:9" ht="32" x14ac:dyDescent="0.2">
      <c r="A342" t="s">
        <v>4711</v>
      </c>
      <c r="B342" t="s">
        <v>1656</v>
      </c>
      <c r="C342" t="s">
        <v>866</v>
      </c>
      <c r="D342" t="str">
        <f t="shared" si="5"/>
        <v>760244890</v>
      </c>
      <c r="E342" t="s">
        <v>867</v>
      </c>
      <c r="F342">
        <f>G342-SUMIFS('Sold out'!K:K,'Sold out'!I:I,'Main Stock'!C342)+SUMIFS('Receiving '!G:G,'Receiving '!E:E,'Main Stock'!C342)</f>
        <v>3076</v>
      </c>
      <c r="G342">
        <v>3076</v>
      </c>
      <c r="H342" t="s">
        <v>1361</v>
      </c>
      <c r="I342" s="34" t="s">
        <v>1406</v>
      </c>
    </row>
    <row r="343" spans="1:9" ht="16" x14ac:dyDescent="0.2">
      <c r="A343" t="s">
        <v>4711</v>
      </c>
      <c r="B343" t="s">
        <v>1656</v>
      </c>
      <c r="C343" t="s">
        <v>868</v>
      </c>
      <c r="D343" t="str">
        <f t="shared" si="5"/>
        <v>760244889</v>
      </c>
      <c r="E343" t="s">
        <v>869</v>
      </c>
      <c r="F343">
        <f>G343-SUMIFS('Sold out'!K:K,'Sold out'!I:I,'Main Stock'!C343)+SUMIFS('Receiving '!G:G,'Receiving '!E:E,'Main Stock'!C343)</f>
        <v>701</v>
      </c>
      <c r="G343">
        <v>701</v>
      </c>
      <c r="H343" t="s">
        <v>1362</v>
      </c>
      <c r="I343" s="34" t="s">
        <v>1407</v>
      </c>
    </row>
    <row r="344" spans="1:9" ht="16" x14ac:dyDescent="0.2">
      <c r="A344" t="s">
        <v>4711</v>
      </c>
      <c r="B344" t="s">
        <v>1656</v>
      </c>
      <c r="C344" t="s">
        <v>870</v>
      </c>
      <c r="D344" t="str">
        <f t="shared" si="5"/>
        <v>760241058</v>
      </c>
      <c r="E344" t="s">
        <v>871</v>
      </c>
      <c r="F344">
        <f>G344-SUMIFS('Sold out'!K:K,'Sold out'!I:I,'Main Stock'!C344)+SUMIFS('Receiving '!G:G,'Receiving '!E:E,'Main Stock'!C344)</f>
        <v>367</v>
      </c>
      <c r="G344">
        <v>367</v>
      </c>
      <c r="H344" t="s">
        <v>64</v>
      </c>
      <c r="I344" s="34" t="s">
        <v>1408</v>
      </c>
    </row>
    <row r="345" spans="1:9" ht="32" x14ac:dyDescent="0.2">
      <c r="A345" t="s">
        <v>4711</v>
      </c>
      <c r="B345" t="s">
        <v>1656</v>
      </c>
      <c r="C345" t="s">
        <v>872</v>
      </c>
      <c r="D345" t="str">
        <f t="shared" si="5"/>
        <v>760241059</v>
      </c>
      <c r="E345" t="s">
        <v>873</v>
      </c>
      <c r="F345">
        <f>G345-SUMIFS('Sold out'!K:K,'Sold out'!I:I,'Main Stock'!C345)+SUMIFS('Receiving '!G:G,'Receiving '!E:E,'Main Stock'!C345)</f>
        <v>564</v>
      </c>
      <c r="G345">
        <v>564</v>
      </c>
      <c r="H345" t="s">
        <v>1363</v>
      </c>
      <c r="I345" s="34" t="s">
        <v>1409</v>
      </c>
    </row>
    <row r="346" spans="1:9" x14ac:dyDescent="0.2">
      <c r="A346" t="s">
        <v>4711</v>
      </c>
      <c r="B346" t="s">
        <v>1656</v>
      </c>
      <c r="C346" t="s">
        <v>874</v>
      </c>
      <c r="D346" t="str">
        <f t="shared" si="5"/>
        <v>760241060</v>
      </c>
      <c r="E346" t="s">
        <v>875</v>
      </c>
      <c r="F346">
        <f>G346-SUMIFS('Sold out'!K:K,'Sold out'!I:I,'Main Stock'!C346)+SUMIFS('Receiving '!G:G,'Receiving '!E:E,'Main Stock'!C346)</f>
        <v>0</v>
      </c>
      <c r="G346">
        <v>0</v>
      </c>
    </row>
    <row r="347" spans="1:9" x14ac:dyDescent="0.2">
      <c r="A347" t="s">
        <v>4711</v>
      </c>
      <c r="B347" t="s">
        <v>1656</v>
      </c>
      <c r="C347" t="s">
        <v>876</v>
      </c>
      <c r="D347" t="str">
        <f t="shared" si="5"/>
        <v>FFXLCLC42-MXF066</v>
      </c>
      <c r="E347" t="s">
        <v>877</v>
      </c>
      <c r="F347">
        <f>G347-SUMIFS('Sold out'!K:K,'Sold out'!I:I,'Main Stock'!C347)+SUMIFS('Receiving '!G:G,'Receiving '!E:E,'Main Stock'!C347)</f>
        <v>0</v>
      </c>
      <c r="G347">
        <v>0</v>
      </c>
    </row>
    <row r="348" spans="1:9" x14ac:dyDescent="0.2">
      <c r="A348" t="s">
        <v>4711</v>
      </c>
      <c r="B348" t="s">
        <v>1656</v>
      </c>
      <c r="C348" t="s">
        <v>878</v>
      </c>
      <c r="D348" t="str">
        <f t="shared" si="5"/>
        <v>760193755</v>
      </c>
      <c r="E348" t="s">
        <v>879</v>
      </c>
      <c r="F348">
        <f>G348-SUMIFS('Sold out'!K:K,'Sold out'!I:I,'Main Stock'!C348)+SUMIFS('Receiving '!G:G,'Receiving '!E:E,'Main Stock'!C348)</f>
        <v>0</v>
      </c>
      <c r="G348">
        <v>0</v>
      </c>
    </row>
    <row r="349" spans="1:9" x14ac:dyDescent="0.2">
      <c r="A349" t="s">
        <v>4711</v>
      </c>
      <c r="B349" t="s">
        <v>1656</v>
      </c>
      <c r="C349" t="s">
        <v>880</v>
      </c>
      <c r="D349" t="str">
        <f t="shared" si="5"/>
        <v>FBWLCUC11-JXF005</v>
      </c>
      <c r="E349" t="s">
        <v>881</v>
      </c>
      <c r="F349">
        <f>G349-SUMIFS('Sold out'!K:K,'Sold out'!I:I,'Main Stock'!C349)+SUMIFS('Receiving '!G:G,'Receiving '!E:E,'Main Stock'!C349)</f>
        <v>1500</v>
      </c>
      <c r="G349">
        <v>1500</v>
      </c>
      <c r="H349" t="s">
        <v>1285</v>
      </c>
    </row>
    <row r="350" spans="1:9" x14ac:dyDescent="0.2">
      <c r="A350" t="s">
        <v>4711</v>
      </c>
      <c r="B350" t="s">
        <v>1656</v>
      </c>
      <c r="C350" t="s">
        <v>882</v>
      </c>
      <c r="D350" t="str">
        <f t="shared" si="5"/>
        <v>6-2111984-3</v>
      </c>
      <c r="E350" t="s">
        <v>883</v>
      </c>
      <c r="F350">
        <f>G350-SUMIFS('Sold out'!K:K,'Sold out'!I:I,'Main Stock'!C350)+SUMIFS('Receiving '!G:G,'Receiving '!E:E,'Main Stock'!C350)</f>
        <v>400</v>
      </c>
      <c r="G350">
        <v>400</v>
      </c>
      <c r="H350" t="s">
        <v>1352</v>
      </c>
    </row>
    <row r="351" spans="1:9" x14ac:dyDescent="0.2">
      <c r="A351" t="s">
        <v>4711</v>
      </c>
      <c r="B351" t="s">
        <v>1656</v>
      </c>
      <c r="C351" t="s">
        <v>884</v>
      </c>
      <c r="D351" t="str">
        <f t="shared" si="5"/>
        <v>760245495</v>
      </c>
      <c r="E351" t="s">
        <v>885</v>
      </c>
      <c r="F351">
        <f>G351-SUMIFS('Sold out'!K:K,'Sold out'!I:I,'Main Stock'!C351)+SUMIFS('Receiving '!G:G,'Receiving '!E:E,'Main Stock'!C351)</f>
        <v>0</v>
      </c>
      <c r="G351">
        <v>0</v>
      </c>
    </row>
    <row r="352" spans="1:9" x14ac:dyDescent="0.2">
      <c r="A352" t="s">
        <v>4711</v>
      </c>
      <c r="B352" t="s">
        <v>1656</v>
      </c>
      <c r="C352" t="s">
        <v>886</v>
      </c>
      <c r="D352" t="str">
        <f t="shared" si="5"/>
        <v>760172908</v>
      </c>
      <c r="E352" t="s">
        <v>887</v>
      </c>
      <c r="F352">
        <f>G352-SUMIFS('Sold out'!K:K,'Sold out'!I:I,'Main Stock'!C352)+SUMIFS('Receiving '!G:G,'Receiving '!E:E,'Main Stock'!C352)</f>
        <v>0</v>
      </c>
      <c r="G352">
        <v>0</v>
      </c>
    </row>
    <row r="353" spans="1:8" x14ac:dyDescent="0.2">
      <c r="A353" t="s">
        <v>4711</v>
      </c>
      <c r="B353" t="s">
        <v>1656</v>
      </c>
      <c r="C353" t="s">
        <v>888</v>
      </c>
      <c r="D353" t="str">
        <f t="shared" si="5"/>
        <v>FFWLCLC42-JXF005</v>
      </c>
      <c r="E353" t="s">
        <v>889</v>
      </c>
      <c r="F353">
        <f>G353-SUMIFS('Sold out'!K:K,'Sold out'!I:I,'Main Stock'!C353)+SUMIFS('Receiving '!G:G,'Receiving '!E:E,'Main Stock'!C353)</f>
        <v>0</v>
      </c>
      <c r="G353">
        <v>0</v>
      </c>
    </row>
    <row r="354" spans="1:8" x14ac:dyDescent="0.2">
      <c r="A354" t="s">
        <v>4711</v>
      </c>
      <c r="B354" t="s">
        <v>1656</v>
      </c>
      <c r="C354" t="s">
        <v>890</v>
      </c>
      <c r="D354" t="str">
        <f t="shared" si="5"/>
        <v>760172288</v>
      </c>
      <c r="E354" t="s">
        <v>891</v>
      </c>
      <c r="F354">
        <f>G354-SUMIFS('Sold out'!K:K,'Sold out'!I:I,'Main Stock'!C354)+SUMIFS('Receiving '!G:G,'Receiving '!E:E,'Main Stock'!C354)</f>
        <v>29</v>
      </c>
      <c r="G354">
        <v>0</v>
      </c>
    </row>
    <row r="355" spans="1:8" x14ac:dyDescent="0.2">
      <c r="A355" t="s">
        <v>4711</v>
      </c>
      <c r="B355" t="s">
        <v>1656</v>
      </c>
      <c r="C355" t="s">
        <v>892</v>
      </c>
      <c r="D355" t="str">
        <f t="shared" si="5"/>
        <v>884016558/16</v>
      </c>
      <c r="E355" t="s">
        <v>893</v>
      </c>
      <c r="F355">
        <f>G355-SUMIFS('Sold out'!K:K,'Sold out'!I:I,'Main Stock'!C355)+SUMIFS('Receiving '!G:G,'Receiving '!E:E,'Main Stock'!C355)</f>
        <v>0</v>
      </c>
      <c r="G355">
        <v>0</v>
      </c>
    </row>
    <row r="356" spans="1:8" x14ac:dyDescent="0.2">
      <c r="A356" t="s">
        <v>4711</v>
      </c>
      <c r="B356" t="s">
        <v>1656</v>
      </c>
      <c r="C356" t="s">
        <v>894</v>
      </c>
      <c r="D356" t="str">
        <f t="shared" si="5"/>
        <v>760207282</v>
      </c>
      <c r="E356" t="s">
        <v>895</v>
      </c>
      <c r="F356">
        <f>G356-SUMIFS('Sold out'!K:K,'Sold out'!I:I,'Main Stock'!C356)+SUMIFS('Receiving '!G:G,'Receiving '!E:E,'Main Stock'!C356)</f>
        <v>0</v>
      </c>
      <c r="G356">
        <v>0</v>
      </c>
    </row>
    <row r="357" spans="1:8" x14ac:dyDescent="0.2">
      <c r="A357" t="s">
        <v>4711</v>
      </c>
      <c r="B357" t="s">
        <v>1656</v>
      </c>
      <c r="C357" t="s">
        <v>896</v>
      </c>
      <c r="D357" t="str">
        <f t="shared" si="5"/>
        <v>CPC3392-03F001</v>
      </c>
      <c r="E357" t="s">
        <v>897</v>
      </c>
      <c r="F357">
        <f>G357-SUMIFS('Sold out'!K:K,'Sold out'!I:I,'Main Stock'!C357)+SUMIFS('Receiving '!G:G,'Receiving '!E:E,'Main Stock'!C357)</f>
        <v>0</v>
      </c>
      <c r="G357">
        <v>0</v>
      </c>
    </row>
    <row r="358" spans="1:8" x14ac:dyDescent="0.2">
      <c r="A358" t="s">
        <v>4711</v>
      </c>
      <c r="B358" t="s">
        <v>1656</v>
      </c>
      <c r="C358" t="s">
        <v>898</v>
      </c>
      <c r="D358" t="str">
        <f t="shared" si="5"/>
        <v>760200451</v>
      </c>
      <c r="E358" t="s">
        <v>899</v>
      </c>
      <c r="F358">
        <f>G358-SUMIFS('Sold out'!K:K,'Sold out'!I:I,'Main Stock'!C358)+SUMIFS('Receiving '!G:G,'Receiving '!E:E,'Main Stock'!C358)</f>
        <v>0</v>
      </c>
      <c r="G358">
        <v>0</v>
      </c>
    </row>
    <row r="359" spans="1:8" x14ac:dyDescent="0.2">
      <c r="A359" t="s">
        <v>4711</v>
      </c>
      <c r="B359" t="s">
        <v>1656</v>
      </c>
      <c r="C359" t="s">
        <v>900</v>
      </c>
      <c r="D359" t="str">
        <f t="shared" si="5"/>
        <v>760187187</v>
      </c>
      <c r="E359" t="s">
        <v>901</v>
      </c>
      <c r="F359">
        <f>G359-SUMIFS('Sold out'!K:K,'Sold out'!I:I,'Main Stock'!C359)+SUMIFS('Receiving '!G:G,'Receiving '!E:E,'Main Stock'!C359)</f>
        <v>0</v>
      </c>
      <c r="G359">
        <v>0</v>
      </c>
    </row>
    <row r="360" spans="1:8" x14ac:dyDescent="0.2">
      <c r="A360" t="s">
        <v>4711</v>
      </c>
      <c r="B360" t="s">
        <v>1656</v>
      </c>
      <c r="C360" t="s">
        <v>902</v>
      </c>
      <c r="D360" t="str">
        <f t="shared" si="5"/>
        <v>6-2843007-1</v>
      </c>
      <c r="E360" t="s">
        <v>903</v>
      </c>
      <c r="F360">
        <f>G360-SUMIFS('Sold out'!K:K,'Sold out'!I:I,'Main Stock'!C360)+SUMIFS('Receiving '!G:G,'Receiving '!E:E,'Main Stock'!C360)</f>
        <v>0</v>
      </c>
      <c r="G360">
        <v>0</v>
      </c>
    </row>
    <row r="361" spans="1:8" x14ac:dyDescent="0.2">
      <c r="A361" t="s">
        <v>4711</v>
      </c>
      <c r="B361" t="s">
        <v>1656</v>
      </c>
      <c r="C361" t="s">
        <v>904</v>
      </c>
      <c r="D361" t="str">
        <f t="shared" si="5"/>
        <v>760172882</v>
      </c>
      <c r="E361" t="s">
        <v>905</v>
      </c>
      <c r="F361">
        <f>G361-SUMIFS('Sold out'!K:K,'Sold out'!I:I,'Main Stock'!C361)+SUMIFS('Receiving '!G:G,'Receiving '!E:E,'Main Stock'!C361)</f>
        <v>292</v>
      </c>
      <c r="G361">
        <v>292</v>
      </c>
      <c r="H361" t="s">
        <v>1364</v>
      </c>
    </row>
    <row r="362" spans="1:8" x14ac:dyDescent="0.2">
      <c r="A362" t="s">
        <v>4711</v>
      </c>
      <c r="B362" t="s">
        <v>1656</v>
      </c>
      <c r="C362" t="s">
        <v>906</v>
      </c>
      <c r="D362" t="str">
        <f t="shared" si="5"/>
        <v>760242982</v>
      </c>
      <c r="E362" t="s">
        <v>907</v>
      </c>
      <c r="F362">
        <f>G362-SUMIFS('Sold out'!K:K,'Sold out'!I:I,'Main Stock'!C362)+SUMIFS('Receiving '!G:G,'Receiving '!E:E,'Main Stock'!C362)</f>
        <v>0</v>
      </c>
      <c r="G362">
        <v>0</v>
      </c>
      <c r="H362" t="s">
        <v>1285</v>
      </c>
    </row>
    <row r="363" spans="1:8" x14ac:dyDescent="0.2">
      <c r="A363" t="s">
        <v>4711</v>
      </c>
      <c r="B363" t="s">
        <v>1656</v>
      </c>
      <c r="C363" t="s">
        <v>908</v>
      </c>
      <c r="D363" t="str">
        <f t="shared" si="5"/>
        <v>FFXLCLC42-MXF188</v>
      </c>
      <c r="E363" t="s">
        <v>909</v>
      </c>
      <c r="F363">
        <f>G363-SUMIFS('Sold out'!K:K,'Sold out'!I:I,'Main Stock'!C363)+SUMIFS('Receiving '!G:G,'Receiving '!E:E,'Main Stock'!C363)</f>
        <v>0</v>
      </c>
      <c r="G363">
        <v>0</v>
      </c>
    </row>
    <row r="364" spans="1:8" x14ac:dyDescent="0.2">
      <c r="A364" t="s">
        <v>4711</v>
      </c>
      <c r="B364" t="s">
        <v>1656</v>
      </c>
      <c r="C364" t="s">
        <v>910</v>
      </c>
      <c r="D364" t="str">
        <f t="shared" si="5"/>
        <v>FFWLCLC42-JXF328</v>
      </c>
      <c r="E364" t="s">
        <v>911</v>
      </c>
      <c r="F364">
        <f>G364-SUMIFS('Sold out'!K:K,'Sold out'!I:I,'Main Stock'!C364)+SUMIFS('Receiving '!G:G,'Receiving '!E:E,'Main Stock'!C364)</f>
        <v>0</v>
      </c>
      <c r="G364">
        <v>0</v>
      </c>
    </row>
    <row r="365" spans="1:8" x14ac:dyDescent="0.2">
      <c r="A365" t="s">
        <v>4711</v>
      </c>
      <c r="B365" t="s">
        <v>1656</v>
      </c>
      <c r="C365" t="s">
        <v>912</v>
      </c>
      <c r="D365" t="str">
        <f t="shared" si="5"/>
        <v>CS1927-000</v>
      </c>
      <c r="E365" t="s">
        <v>913</v>
      </c>
      <c r="F365">
        <f>G365-SUMIFS('Sold out'!K:K,'Sold out'!I:I,'Main Stock'!C365)+SUMIFS('Receiving '!G:G,'Receiving '!E:E,'Main Stock'!C365)</f>
        <v>0</v>
      </c>
      <c r="G365">
        <v>0</v>
      </c>
      <c r="H365" t="s">
        <v>1285</v>
      </c>
    </row>
    <row r="366" spans="1:8" x14ac:dyDescent="0.2">
      <c r="A366" t="s">
        <v>4711</v>
      </c>
      <c r="B366" t="s">
        <v>1656</v>
      </c>
      <c r="C366" t="s">
        <v>914</v>
      </c>
      <c r="D366" t="str">
        <f t="shared" si="5"/>
        <v>FFWLCLC42-JXF188</v>
      </c>
      <c r="E366" t="s">
        <v>915</v>
      </c>
      <c r="F366">
        <f>G366-SUMIFS('Sold out'!K:K,'Sold out'!I:I,'Main Stock'!C366)+SUMIFS('Receiving '!G:G,'Receiving '!E:E,'Main Stock'!C366)</f>
        <v>0</v>
      </c>
      <c r="G366">
        <v>0</v>
      </c>
    </row>
    <row r="367" spans="1:8" x14ac:dyDescent="0.2">
      <c r="A367" t="s">
        <v>4711</v>
      </c>
      <c r="B367" t="s">
        <v>1656</v>
      </c>
      <c r="C367" t="s">
        <v>916</v>
      </c>
      <c r="D367" t="str">
        <f t="shared" si="5"/>
        <v>760239822</v>
      </c>
      <c r="E367" t="s">
        <v>917</v>
      </c>
      <c r="F367">
        <f>G367-SUMIFS('Sold out'!K:K,'Sold out'!I:I,'Main Stock'!C367)+SUMIFS('Receiving '!G:G,'Receiving '!E:E,'Main Stock'!C367)</f>
        <v>0</v>
      </c>
      <c r="G367">
        <v>0</v>
      </c>
    </row>
    <row r="368" spans="1:8" x14ac:dyDescent="0.2">
      <c r="A368" t="s">
        <v>4711</v>
      </c>
      <c r="B368" t="s">
        <v>1656</v>
      </c>
      <c r="C368" t="s">
        <v>918</v>
      </c>
      <c r="D368" t="str">
        <f t="shared" si="5"/>
        <v>760148254</v>
      </c>
      <c r="E368" t="s">
        <v>919</v>
      </c>
      <c r="F368">
        <f>G368-SUMIFS('Sold out'!K:K,'Sold out'!I:I,'Main Stock'!C368)+SUMIFS('Receiving '!G:G,'Receiving '!E:E,'Main Stock'!C368)</f>
        <v>0</v>
      </c>
      <c r="G368">
        <v>0</v>
      </c>
    </row>
    <row r="369" spans="1:8" x14ac:dyDescent="0.2">
      <c r="A369" t="s">
        <v>4711</v>
      </c>
      <c r="B369" t="s">
        <v>1656</v>
      </c>
      <c r="C369" t="s">
        <v>920</v>
      </c>
      <c r="D369" t="str">
        <f t="shared" si="5"/>
        <v>760070276</v>
      </c>
      <c r="E369" t="s">
        <v>921</v>
      </c>
      <c r="F369">
        <f>G369-SUMIFS('Sold out'!K:K,'Sold out'!I:I,'Main Stock'!C369)+SUMIFS('Receiving '!G:G,'Receiving '!E:E,'Main Stock'!C369)</f>
        <v>0</v>
      </c>
      <c r="G369">
        <v>0</v>
      </c>
    </row>
    <row r="370" spans="1:8" x14ac:dyDescent="0.2">
      <c r="A370" t="s">
        <v>4711</v>
      </c>
      <c r="B370" t="s">
        <v>1656</v>
      </c>
      <c r="C370" t="s">
        <v>922</v>
      </c>
      <c r="D370" t="str">
        <f t="shared" si="5"/>
        <v>760192260</v>
      </c>
      <c r="E370" t="s">
        <v>923</v>
      </c>
      <c r="F370">
        <f>G370-SUMIFS('Sold out'!K:K,'Sold out'!I:I,'Main Stock'!C370)+SUMIFS('Receiving '!G:G,'Receiving '!E:E,'Main Stock'!C370)</f>
        <v>0</v>
      </c>
      <c r="G370">
        <v>0</v>
      </c>
    </row>
    <row r="371" spans="1:8" x14ac:dyDescent="0.2">
      <c r="A371" t="s">
        <v>4711</v>
      </c>
      <c r="B371" t="s">
        <v>1656</v>
      </c>
      <c r="C371" t="s">
        <v>924</v>
      </c>
      <c r="D371" t="str">
        <f t="shared" si="5"/>
        <v>760109256</v>
      </c>
      <c r="E371" t="s">
        <v>925</v>
      </c>
      <c r="F371">
        <f>G371-SUMIFS('Sold out'!K:K,'Sold out'!I:I,'Main Stock'!C371)+SUMIFS('Receiving '!G:G,'Receiving '!E:E,'Main Stock'!C371)</f>
        <v>11</v>
      </c>
      <c r="G371">
        <v>11</v>
      </c>
      <c r="H371" t="s">
        <v>1365</v>
      </c>
    </row>
    <row r="372" spans="1:8" x14ac:dyDescent="0.2">
      <c r="A372" t="s">
        <v>4711</v>
      </c>
      <c r="B372" t="s">
        <v>1656</v>
      </c>
      <c r="C372" t="s">
        <v>926</v>
      </c>
      <c r="D372" t="str">
        <f t="shared" si="5"/>
        <v>FBXLCUC11-MXF005</v>
      </c>
      <c r="E372" t="s">
        <v>927</v>
      </c>
      <c r="F372">
        <f>G372-SUMIFS('Sold out'!K:K,'Sold out'!I:I,'Main Stock'!C372)+SUMIFS('Receiving '!G:G,'Receiving '!E:E,'Main Stock'!C372)</f>
        <v>0</v>
      </c>
      <c r="G372">
        <v>0</v>
      </c>
    </row>
    <row r="373" spans="1:8" x14ac:dyDescent="0.2">
      <c r="A373" t="s">
        <v>4711</v>
      </c>
      <c r="B373" t="s">
        <v>1656</v>
      </c>
      <c r="C373" t="s">
        <v>928</v>
      </c>
      <c r="D373" t="str">
        <f t="shared" si="5"/>
        <v>760092379</v>
      </c>
      <c r="E373" t="s">
        <v>929</v>
      </c>
      <c r="F373">
        <f>G373-SUMIFS('Sold out'!K:K,'Sold out'!I:I,'Main Stock'!C373)+SUMIFS('Receiving '!G:G,'Receiving '!E:E,'Main Stock'!C373)</f>
        <v>15</v>
      </c>
      <c r="G373">
        <v>15</v>
      </c>
      <c r="H373" t="s">
        <v>1282</v>
      </c>
    </row>
    <row r="374" spans="1:8" x14ac:dyDescent="0.2">
      <c r="A374" t="s">
        <v>4711</v>
      </c>
      <c r="B374" t="s">
        <v>1656</v>
      </c>
      <c r="C374" t="s">
        <v>930</v>
      </c>
      <c r="D374" t="str">
        <f t="shared" si="5"/>
        <v>760246246</v>
      </c>
      <c r="E374" t="s">
        <v>931</v>
      </c>
      <c r="F374">
        <f>G374-SUMIFS('Sold out'!K:K,'Sold out'!I:I,'Main Stock'!C374)+SUMIFS('Receiving '!G:G,'Receiving '!E:E,'Main Stock'!C374)</f>
        <v>0</v>
      </c>
      <c r="G374">
        <v>0</v>
      </c>
    </row>
    <row r="375" spans="1:8" x14ac:dyDescent="0.2">
      <c r="A375" t="s">
        <v>4711</v>
      </c>
      <c r="B375" t="s">
        <v>1656</v>
      </c>
      <c r="C375" t="s">
        <v>932</v>
      </c>
      <c r="D375" t="str">
        <f t="shared" si="5"/>
        <v>CPCSSZ2-0ZF017</v>
      </c>
      <c r="E375" t="s">
        <v>933</v>
      </c>
      <c r="F375">
        <f>G375-SUMIFS('Sold out'!K:K,'Sold out'!I:I,'Main Stock'!C375)+SUMIFS('Receiving '!G:G,'Receiving '!E:E,'Main Stock'!C375)</f>
        <v>0</v>
      </c>
      <c r="G375">
        <v>0</v>
      </c>
    </row>
    <row r="376" spans="1:8" x14ac:dyDescent="0.2">
      <c r="A376" t="s">
        <v>4711</v>
      </c>
      <c r="B376" t="s">
        <v>1656</v>
      </c>
      <c r="C376" t="s">
        <v>934</v>
      </c>
      <c r="D376" t="str">
        <f t="shared" si="5"/>
        <v>CPCSSZ2-0ZC050</v>
      </c>
      <c r="E376" t="s">
        <v>935</v>
      </c>
      <c r="F376">
        <f>G376-SUMIFS('Sold out'!K:K,'Sold out'!I:I,'Main Stock'!C376)+SUMIFS('Receiving '!G:G,'Receiving '!E:E,'Main Stock'!C376)</f>
        <v>0</v>
      </c>
      <c r="G376">
        <v>0</v>
      </c>
    </row>
    <row r="377" spans="1:8" x14ac:dyDescent="0.2">
      <c r="A377" t="s">
        <v>4711</v>
      </c>
      <c r="B377" t="s">
        <v>1656</v>
      </c>
      <c r="C377" t="s">
        <v>936</v>
      </c>
      <c r="D377" t="str">
        <f t="shared" si="5"/>
        <v>1933943-2</v>
      </c>
      <c r="E377" t="s">
        <v>937</v>
      </c>
      <c r="F377">
        <f>G377-SUMIFS('Sold out'!K:K,'Sold out'!I:I,'Main Stock'!C377)+SUMIFS('Receiving '!G:G,'Receiving '!E:E,'Main Stock'!C377)</f>
        <v>0</v>
      </c>
      <c r="G377">
        <v>0</v>
      </c>
    </row>
    <row r="378" spans="1:8" x14ac:dyDescent="0.2">
      <c r="A378" t="s">
        <v>4711</v>
      </c>
      <c r="B378" t="s">
        <v>1656</v>
      </c>
      <c r="C378" t="s">
        <v>938</v>
      </c>
      <c r="D378" t="str">
        <f t="shared" si="5"/>
        <v>760249554</v>
      </c>
      <c r="E378" t="s">
        <v>939</v>
      </c>
      <c r="F378">
        <f>G378-SUMIFS('Sold out'!K:K,'Sold out'!I:I,'Main Stock'!C378)+SUMIFS('Receiving '!G:G,'Receiving '!E:E,'Main Stock'!C378)</f>
        <v>0</v>
      </c>
      <c r="G378">
        <v>0</v>
      </c>
    </row>
    <row r="379" spans="1:8" x14ac:dyDescent="0.2">
      <c r="A379" t="s">
        <v>4711</v>
      </c>
      <c r="B379" t="s">
        <v>1656</v>
      </c>
      <c r="C379" t="s">
        <v>940</v>
      </c>
      <c r="D379" t="str">
        <f t="shared" si="5"/>
        <v>845110-000</v>
      </c>
      <c r="E379" t="s">
        <v>941</v>
      </c>
      <c r="F379">
        <f>G379-SUMIFS('Sold out'!K:K,'Sold out'!I:I,'Main Stock'!C379)+SUMIFS('Receiving '!G:G,'Receiving '!E:E,'Main Stock'!C379)</f>
        <v>0</v>
      </c>
      <c r="G379">
        <v>0</v>
      </c>
    </row>
    <row r="380" spans="1:8" x14ac:dyDescent="0.2">
      <c r="A380" t="s">
        <v>4711</v>
      </c>
      <c r="B380" t="s">
        <v>1656</v>
      </c>
      <c r="C380" t="s">
        <v>942</v>
      </c>
      <c r="D380" t="str">
        <f t="shared" si="5"/>
        <v>760072959</v>
      </c>
      <c r="E380" t="s">
        <v>943</v>
      </c>
      <c r="F380">
        <f>G380-SUMIFS('Sold out'!K:K,'Sold out'!I:I,'Main Stock'!C380)+SUMIFS('Receiving '!G:G,'Receiving '!E:E,'Main Stock'!C380)</f>
        <v>0</v>
      </c>
      <c r="G380">
        <v>0</v>
      </c>
    </row>
    <row r="381" spans="1:8" x14ac:dyDescent="0.2">
      <c r="A381" t="s">
        <v>4711</v>
      </c>
      <c r="B381" t="s">
        <v>1656</v>
      </c>
      <c r="C381" t="s">
        <v>944</v>
      </c>
      <c r="D381" t="str">
        <f t="shared" si="5"/>
        <v>CV6797-000</v>
      </c>
      <c r="E381" t="s">
        <v>945</v>
      </c>
      <c r="F381">
        <f>G381-SUMIFS('Sold out'!K:K,'Sold out'!I:I,'Main Stock'!C381)+SUMIFS('Receiving '!G:G,'Receiving '!E:E,'Main Stock'!C381)</f>
        <v>0</v>
      </c>
      <c r="G381">
        <v>0</v>
      </c>
      <c r="H381" t="s">
        <v>1339</v>
      </c>
    </row>
    <row r="382" spans="1:8" x14ac:dyDescent="0.2">
      <c r="A382" t="s">
        <v>4711</v>
      </c>
      <c r="B382" t="s">
        <v>1656</v>
      </c>
      <c r="C382" t="s">
        <v>946</v>
      </c>
      <c r="D382" t="str">
        <f t="shared" si="5"/>
        <v>CK9322-000</v>
      </c>
      <c r="E382" t="s">
        <v>947</v>
      </c>
      <c r="F382">
        <f>G382-SUMIFS('Sold out'!K:K,'Sold out'!I:I,'Main Stock'!C382)+SUMIFS('Receiving '!G:G,'Receiving '!E:E,'Main Stock'!C382)</f>
        <v>2</v>
      </c>
      <c r="G382">
        <v>2</v>
      </c>
      <c r="H382" t="s">
        <v>1366</v>
      </c>
    </row>
    <row r="383" spans="1:8" x14ac:dyDescent="0.2">
      <c r="A383" t="s">
        <v>4711</v>
      </c>
      <c r="B383" t="s">
        <v>1656</v>
      </c>
      <c r="C383" t="s">
        <v>948</v>
      </c>
      <c r="D383" t="str">
        <f t="shared" si="5"/>
        <v>CK9476-000</v>
      </c>
      <c r="E383" t="s">
        <v>949</v>
      </c>
      <c r="F383">
        <f>G383-SUMIFS('Sold out'!K:K,'Sold out'!I:I,'Main Stock'!C383)+SUMIFS('Receiving '!G:G,'Receiving '!E:E,'Main Stock'!C383)</f>
        <v>0</v>
      </c>
      <c r="G383">
        <v>0</v>
      </c>
    </row>
    <row r="384" spans="1:8" x14ac:dyDescent="0.2">
      <c r="A384" t="s">
        <v>4711</v>
      </c>
      <c r="B384" t="s">
        <v>1656</v>
      </c>
      <c r="C384" t="s">
        <v>950</v>
      </c>
      <c r="D384" t="str">
        <f t="shared" si="5"/>
        <v>100438-000</v>
      </c>
      <c r="E384" t="s">
        <v>951</v>
      </c>
      <c r="F384">
        <f>G384-SUMIFS('Sold out'!K:K,'Sold out'!I:I,'Main Stock'!C384)+SUMIFS('Receiving '!G:G,'Receiving '!E:E,'Main Stock'!C384)</f>
        <v>0</v>
      </c>
      <c r="G384">
        <v>0</v>
      </c>
      <c r="H384" t="s">
        <v>1285</v>
      </c>
    </row>
    <row r="385" spans="1:8" x14ac:dyDescent="0.2">
      <c r="A385" t="s">
        <v>4711</v>
      </c>
      <c r="B385" t="s">
        <v>1656</v>
      </c>
      <c r="C385" t="s">
        <v>952</v>
      </c>
      <c r="D385" t="str">
        <f t="shared" si="5"/>
        <v>CK9321-000</v>
      </c>
      <c r="E385" t="s">
        <v>953</v>
      </c>
      <c r="F385">
        <f>G385-SUMIFS('Sold out'!K:K,'Sold out'!I:I,'Main Stock'!C385)+SUMIFS('Receiving '!G:G,'Receiving '!E:E,'Main Stock'!C385)</f>
        <v>0</v>
      </c>
      <c r="G385">
        <v>0</v>
      </c>
      <c r="H385" t="s">
        <v>1285</v>
      </c>
    </row>
    <row r="386" spans="1:8" x14ac:dyDescent="0.2">
      <c r="A386" t="s">
        <v>4711</v>
      </c>
      <c r="B386" t="s">
        <v>1656</v>
      </c>
      <c r="C386" t="s">
        <v>954</v>
      </c>
      <c r="D386" t="str">
        <f t="shared" si="5"/>
        <v>FFXLCLC42-MXF085</v>
      </c>
      <c r="E386" t="s">
        <v>955</v>
      </c>
      <c r="F386">
        <f>G386-SUMIFS('Sold out'!K:K,'Sold out'!I:I,'Main Stock'!C386)+SUMIFS('Receiving '!G:G,'Receiving '!E:E,'Main Stock'!C386)</f>
        <v>0</v>
      </c>
      <c r="G386">
        <v>0</v>
      </c>
    </row>
    <row r="387" spans="1:8" x14ac:dyDescent="0.2">
      <c r="A387" t="s">
        <v>4711</v>
      </c>
      <c r="B387" t="s">
        <v>1656</v>
      </c>
      <c r="C387" t="s">
        <v>956</v>
      </c>
      <c r="D387" t="str">
        <f t="shared" ref="D387:D450" si="6">C387</f>
        <v>032054-000</v>
      </c>
      <c r="E387" t="s">
        <v>957</v>
      </c>
      <c r="F387">
        <f>G387-SUMIFS('Sold out'!K:K,'Sold out'!I:I,'Main Stock'!C387)+SUMIFS('Receiving '!G:G,'Receiving '!E:E,'Main Stock'!C387)</f>
        <v>129</v>
      </c>
      <c r="G387">
        <v>0</v>
      </c>
    </row>
    <row r="388" spans="1:8" x14ac:dyDescent="0.2">
      <c r="A388" t="s">
        <v>4711</v>
      </c>
      <c r="B388" t="s">
        <v>1656</v>
      </c>
      <c r="C388" t="s">
        <v>958</v>
      </c>
      <c r="D388" t="str">
        <f t="shared" si="6"/>
        <v>CV6800-000</v>
      </c>
      <c r="E388" t="s">
        <v>959</v>
      </c>
      <c r="F388">
        <f>G388-SUMIFS('Sold out'!K:K,'Sold out'!I:I,'Main Stock'!C388)+SUMIFS('Receiving '!G:G,'Receiving '!E:E,'Main Stock'!C388)</f>
        <v>0</v>
      </c>
      <c r="G388">
        <v>0</v>
      </c>
    </row>
    <row r="389" spans="1:8" x14ac:dyDescent="0.2">
      <c r="A389" t="s">
        <v>4711</v>
      </c>
      <c r="B389" t="s">
        <v>1656</v>
      </c>
      <c r="C389" t="s">
        <v>960</v>
      </c>
      <c r="D389" t="str">
        <f t="shared" si="6"/>
        <v>760227306</v>
      </c>
      <c r="E389" t="s">
        <v>961</v>
      </c>
      <c r="F389">
        <f>G389-SUMIFS('Sold out'!K:K,'Sold out'!I:I,'Main Stock'!C389)+SUMIFS('Receiving '!G:G,'Receiving '!E:E,'Main Stock'!C389)</f>
        <v>0</v>
      </c>
      <c r="G389">
        <v>0</v>
      </c>
    </row>
    <row r="390" spans="1:8" x14ac:dyDescent="0.2">
      <c r="A390" t="s">
        <v>4711</v>
      </c>
      <c r="B390" t="s">
        <v>1656</v>
      </c>
      <c r="C390" t="s">
        <v>962</v>
      </c>
      <c r="D390" t="str">
        <f t="shared" si="6"/>
        <v>CS6464-000</v>
      </c>
      <c r="E390" t="s">
        <v>963</v>
      </c>
      <c r="F390">
        <f>G390-SUMIFS('Sold out'!K:K,'Sold out'!I:I,'Main Stock'!C390)+SUMIFS('Receiving '!G:G,'Receiving '!E:E,'Main Stock'!C390)</f>
        <v>0</v>
      </c>
      <c r="G390">
        <v>0</v>
      </c>
      <c r="H390" t="s">
        <v>1285</v>
      </c>
    </row>
    <row r="391" spans="1:8" x14ac:dyDescent="0.2">
      <c r="A391" t="s">
        <v>4711</v>
      </c>
      <c r="B391" t="s">
        <v>1656</v>
      </c>
      <c r="C391" t="s">
        <v>964</v>
      </c>
      <c r="D391" t="str">
        <f t="shared" si="6"/>
        <v>760237876</v>
      </c>
      <c r="E391" t="s">
        <v>965</v>
      </c>
      <c r="F391">
        <f>G391-SUMIFS('Sold out'!K:K,'Sold out'!I:I,'Main Stock'!C391)+SUMIFS('Receiving '!G:G,'Receiving '!E:E,'Main Stock'!C391)</f>
        <v>0</v>
      </c>
      <c r="G391">
        <v>0</v>
      </c>
    </row>
    <row r="392" spans="1:8" x14ac:dyDescent="0.2">
      <c r="A392" t="s">
        <v>4711</v>
      </c>
      <c r="B392" t="s">
        <v>1656</v>
      </c>
      <c r="C392" t="s">
        <v>966</v>
      </c>
      <c r="D392" t="str">
        <f t="shared" si="6"/>
        <v>760242971</v>
      </c>
      <c r="E392" t="s">
        <v>967</v>
      </c>
      <c r="F392">
        <f>G392-SUMIFS('Sold out'!K:K,'Sold out'!I:I,'Main Stock'!C392)+SUMIFS('Receiving '!G:G,'Receiving '!E:E,'Main Stock'!C392)</f>
        <v>196</v>
      </c>
      <c r="G392">
        <v>196</v>
      </c>
      <c r="H392" t="s">
        <v>1367</v>
      </c>
    </row>
    <row r="393" spans="1:8" x14ac:dyDescent="0.2">
      <c r="A393" t="s">
        <v>4711</v>
      </c>
      <c r="B393" t="s">
        <v>1656</v>
      </c>
      <c r="C393" t="s">
        <v>968</v>
      </c>
      <c r="D393" t="str">
        <f t="shared" si="6"/>
        <v>FJWMPMPAF-JBF080</v>
      </c>
      <c r="E393" t="s">
        <v>969</v>
      </c>
      <c r="F393">
        <f>G393-SUMIFS('Sold out'!K:K,'Sold out'!I:I,'Main Stock'!C393)+SUMIFS('Receiving '!G:G,'Receiving '!E:E,'Main Stock'!C393)</f>
        <v>3</v>
      </c>
      <c r="G393">
        <v>3</v>
      </c>
      <c r="H393" t="s">
        <v>1299</v>
      </c>
    </row>
    <row r="394" spans="1:8" x14ac:dyDescent="0.2">
      <c r="A394" t="s">
        <v>4711</v>
      </c>
      <c r="B394" t="s">
        <v>1656</v>
      </c>
      <c r="C394" t="s">
        <v>970</v>
      </c>
      <c r="D394" t="str">
        <f t="shared" si="6"/>
        <v>FJWMPMPAF-JBF120</v>
      </c>
      <c r="E394" t="s">
        <v>971</v>
      </c>
      <c r="F394">
        <f>G394-SUMIFS('Sold out'!K:K,'Sold out'!I:I,'Main Stock'!C394)+SUMIFS('Receiving '!G:G,'Receiving '!E:E,'Main Stock'!C394)</f>
        <v>1</v>
      </c>
      <c r="G394">
        <v>1</v>
      </c>
      <c r="H394" t="s">
        <v>1339</v>
      </c>
    </row>
    <row r="395" spans="1:8" x14ac:dyDescent="0.2">
      <c r="A395" t="s">
        <v>4711</v>
      </c>
      <c r="B395" t="s">
        <v>1656</v>
      </c>
      <c r="C395" t="s">
        <v>972</v>
      </c>
      <c r="D395" t="str">
        <f t="shared" si="6"/>
        <v>FJXMPMPAF-MBF090</v>
      </c>
      <c r="E395" t="s">
        <v>973</v>
      </c>
      <c r="F395">
        <f>G395-SUMIFS('Sold out'!K:K,'Sold out'!I:I,'Main Stock'!C395)+SUMIFS('Receiving '!G:G,'Receiving '!E:E,'Main Stock'!C395)</f>
        <v>0</v>
      </c>
      <c r="G395">
        <v>0</v>
      </c>
    </row>
    <row r="396" spans="1:8" x14ac:dyDescent="0.2">
      <c r="A396" t="s">
        <v>4711</v>
      </c>
      <c r="B396" t="s">
        <v>1656</v>
      </c>
      <c r="C396" t="s">
        <v>974</v>
      </c>
      <c r="D396" t="str">
        <f t="shared" si="6"/>
        <v>FJXMPMPAF-MBF100</v>
      </c>
      <c r="E396" t="s">
        <v>975</v>
      </c>
      <c r="F396">
        <f>G396-SUMIFS('Sold out'!K:K,'Sold out'!I:I,'Main Stock'!C396)+SUMIFS('Receiving '!G:G,'Receiving '!E:E,'Main Stock'!C396)</f>
        <v>0</v>
      </c>
      <c r="G396">
        <v>0</v>
      </c>
    </row>
    <row r="397" spans="1:8" x14ac:dyDescent="0.2">
      <c r="A397" t="s">
        <v>4711</v>
      </c>
      <c r="B397" t="s">
        <v>1656</v>
      </c>
      <c r="C397" t="s">
        <v>976</v>
      </c>
      <c r="D397" t="str">
        <f t="shared" si="6"/>
        <v>760155739</v>
      </c>
      <c r="E397" t="s">
        <v>977</v>
      </c>
      <c r="F397">
        <f>G397-SUMIFS('Sold out'!K:K,'Sold out'!I:I,'Main Stock'!C397)+SUMIFS('Receiving '!G:G,'Receiving '!E:E,'Main Stock'!C397)</f>
        <v>44</v>
      </c>
      <c r="G397">
        <v>44</v>
      </c>
      <c r="H397" t="s">
        <v>1368</v>
      </c>
    </row>
    <row r="398" spans="1:8" x14ac:dyDescent="0.2">
      <c r="A398" t="s">
        <v>4711</v>
      </c>
      <c r="B398" t="s">
        <v>1656</v>
      </c>
      <c r="C398" t="s">
        <v>978</v>
      </c>
      <c r="D398" t="str">
        <f t="shared" si="6"/>
        <v>760158592</v>
      </c>
      <c r="E398" t="s">
        <v>979</v>
      </c>
      <c r="F398">
        <f>G398-SUMIFS('Sold out'!K:K,'Sold out'!I:I,'Main Stock'!C398)+SUMIFS('Receiving '!G:G,'Receiving '!E:E,'Main Stock'!C398)</f>
        <v>4</v>
      </c>
      <c r="G398">
        <v>4</v>
      </c>
      <c r="H398" t="s">
        <v>1369</v>
      </c>
    </row>
    <row r="399" spans="1:8" x14ac:dyDescent="0.2">
      <c r="A399" t="s">
        <v>4711</v>
      </c>
      <c r="B399" t="s">
        <v>1656</v>
      </c>
      <c r="C399" t="s">
        <v>980</v>
      </c>
      <c r="D399" t="str">
        <f t="shared" si="6"/>
        <v>CCRRB-11HA0ZF025</v>
      </c>
      <c r="E399" t="s">
        <v>981</v>
      </c>
      <c r="F399">
        <f>G399-SUMIFS('Sold out'!K:K,'Sold out'!I:I,'Main Stock'!C399)+SUMIFS('Receiving '!G:G,'Receiving '!E:E,'Main Stock'!C399)</f>
        <v>6</v>
      </c>
      <c r="G399">
        <v>6</v>
      </c>
      <c r="H399" t="s">
        <v>1370</v>
      </c>
    </row>
    <row r="400" spans="1:8" x14ac:dyDescent="0.2">
      <c r="A400" t="s">
        <v>4711</v>
      </c>
      <c r="B400" t="s">
        <v>1656</v>
      </c>
      <c r="C400" t="s">
        <v>982</v>
      </c>
      <c r="D400" t="str">
        <f t="shared" si="6"/>
        <v>CCRRB-11HA0ZF035</v>
      </c>
      <c r="E400" t="s">
        <v>981</v>
      </c>
      <c r="F400">
        <f>G400-SUMIFS('Sold out'!K:K,'Sold out'!I:I,'Main Stock'!C400)+SUMIFS('Receiving '!G:G,'Receiving '!E:E,'Main Stock'!C400)</f>
        <v>6</v>
      </c>
      <c r="G400">
        <v>6</v>
      </c>
      <c r="H400" t="s">
        <v>1339</v>
      </c>
    </row>
    <row r="401" spans="1:9" x14ac:dyDescent="0.2">
      <c r="A401" t="s">
        <v>4711</v>
      </c>
      <c r="B401" t="s">
        <v>1656</v>
      </c>
      <c r="C401" t="s">
        <v>983</v>
      </c>
      <c r="D401" t="str">
        <f t="shared" si="6"/>
        <v>CPCSSZ2-03F005</v>
      </c>
      <c r="E401" t="s">
        <v>667</v>
      </c>
      <c r="F401">
        <f>G401-SUMIFS('Sold out'!K:K,'Sold out'!I:I,'Main Stock'!C401)+SUMIFS('Receiving '!G:G,'Receiving '!E:E,'Main Stock'!C401)</f>
        <v>225</v>
      </c>
      <c r="G401">
        <v>225</v>
      </c>
      <c r="H401" t="s">
        <v>1288</v>
      </c>
    </row>
    <row r="402" spans="1:9" x14ac:dyDescent="0.2">
      <c r="A402" t="s">
        <v>4711</v>
      </c>
      <c r="B402" t="s">
        <v>1656</v>
      </c>
      <c r="C402" t="s">
        <v>984</v>
      </c>
      <c r="D402" t="str">
        <f t="shared" si="6"/>
        <v>FFXLCLC42-MXF004</v>
      </c>
      <c r="E402" t="s">
        <v>985</v>
      </c>
      <c r="F402">
        <f>G402-SUMIFS('Sold out'!K:K,'Sold out'!I:I,'Main Stock'!C402)+SUMIFS('Receiving '!G:G,'Receiving '!E:E,'Main Stock'!C402)</f>
        <v>0</v>
      </c>
      <c r="G402">
        <v>0</v>
      </c>
    </row>
    <row r="403" spans="1:9" x14ac:dyDescent="0.2">
      <c r="A403" t="s">
        <v>4711</v>
      </c>
      <c r="B403" t="s">
        <v>1656</v>
      </c>
      <c r="C403" t="s">
        <v>986</v>
      </c>
      <c r="D403" t="str">
        <f t="shared" si="6"/>
        <v>FJXMPMPAF-MBF020</v>
      </c>
      <c r="E403" t="s">
        <v>987</v>
      </c>
      <c r="F403">
        <f>G403-SUMIFS('Sold out'!K:K,'Sold out'!I:I,'Main Stock'!C403)+SUMIFS('Receiving '!G:G,'Receiving '!E:E,'Main Stock'!C403)</f>
        <v>18</v>
      </c>
      <c r="G403">
        <v>18</v>
      </c>
      <c r="H403" t="s">
        <v>1339</v>
      </c>
    </row>
    <row r="404" spans="1:9" x14ac:dyDescent="0.2">
      <c r="A404" t="s">
        <v>4711</v>
      </c>
      <c r="B404" t="s">
        <v>1656</v>
      </c>
      <c r="C404" t="s">
        <v>988</v>
      </c>
      <c r="D404" t="str">
        <f t="shared" si="6"/>
        <v>FJXMPMPAF-MBF025</v>
      </c>
      <c r="E404" t="s">
        <v>989</v>
      </c>
      <c r="F404">
        <f>G404-SUMIFS('Sold out'!K:K,'Sold out'!I:I,'Main Stock'!C404)+SUMIFS('Receiving '!G:G,'Receiving '!E:E,'Main Stock'!C404)</f>
        <v>22</v>
      </c>
      <c r="G404">
        <v>22</v>
      </c>
      <c r="H404" t="s">
        <v>1280</v>
      </c>
    </row>
    <row r="405" spans="1:9" x14ac:dyDescent="0.2">
      <c r="A405" t="s">
        <v>4711</v>
      </c>
      <c r="B405" t="s">
        <v>1656</v>
      </c>
      <c r="C405" t="s">
        <v>990</v>
      </c>
      <c r="D405" t="str">
        <f t="shared" si="6"/>
        <v>FJXMPMPAF-MBF030</v>
      </c>
      <c r="E405" t="s">
        <v>991</v>
      </c>
      <c r="F405">
        <f>G405-SUMIFS('Sold out'!K:K,'Sold out'!I:I,'Main Stock'!C405)+SUMIFS('Receiving '!G:G,'Receiving '!E:E,'Main Stock'!C405)</f>
        <v>4</v>
      </c>
      <c r="G405">
        <v>4</v>
      </c>
      <c r="H405" t="s">
        <v>1371</v>
      </c>
    </row>
    <row r="406" spans="1:9" x14ac:dyDescent="0.2">
      <c r="A406" t="s">
        <v>4711</v>
      </c>
      <c r="B406" t="s">
        <v>1656</v>
      </c>
      <c r="C406" t="s">
        <v>992</v>
      </c>
      <c r="D406" t="str">
        <f t="shared" si="6"/>
        <v>FJXMPMPAF-MBF040</v>
      </c>
      <c r="E406" t="s">
        <v>993</v>
      </c>
      <c r="F406">
        <f>G406-SUMIFS('Sold out'!K:K,'Sold out'!I:I,'Main Stock'!C406)+SUMIFS('Receiving '!G:G,'Receiving '!E:E,'Main Stock'!C406)</f>
        <v>0</v>
      </c>
      <c r="G406">
        <v>0</v>
      </c>
    </row>
    <row r="407" spans="1:9" x14ac:dyDescent="0.2">
      <c r="A407" t="s">
        <v>4711</v>
      </c>
      <c r="B407" t="s">
        <v>1656</v>
      </c>
      <c r="C407" t="s">
        <v>994</v>
      </c>
      <c r="D407" t="str">
        <f t="shared" si="6"/>
        <v>760249049</v>
      </c>
      <c r="E407" t="s">
        <v>995</v>
      </c>
      <c r="F407">
        <f>G407-SUMIFS('Sold out'!K:K,'Sold out'!I:I,'Main Stock'!C407)+SUMIFS('Receiving '!G:G,'Receiving '!E:E,'Main Stock'!C407)</f>
        <v>0</v>
      </c>
      <c r="G407">
        <v>0</v>
      </c>
      <c r="H407" t="s">
        <v>1285</v>
      </c>
    </row>
    <row r="408" spans="1:9" x14ac:dyDescent="0.2">
      <c r="A408" t="s">
        <v>4711</v>
      </c>
      <c r="B408" t="s">
        <v>1656</v>
      </c>
      <c r="C408" t="s">
        <v>996</v>
      </c>
      <c r="D408" t="str">
        <f t="shared" si="6"/>
        <v>760242979</v>
      </c>
      <c r="E408" t="s">
        <v>997</v>
      </c>
      <c r="F408">
        <f>G408-SUMIFS('Sold out'!K:K,'Sold out'!I:I,'Main Stock'!C408)+SUMIFS('Receiving '!G:G,'Receiving '!E:E,'Main Stock'!C408)</f>
        <v>0</v>
      </c>
      <c r="G408">
        <v>0</v>
      </c>
    </row>
    <row r="409" spans="1:9" x14ac:dyDescent="0.2">
      <c r="A409" t="s">
        <v>4711</v>
      </c>
      <c r="B409" t="s">
        <v>1656</v>
      </c>
      <c r="C409" t="s">
        <v>998</v>
      </c>
      <c r="D409" t="str">
        <f t="shared" si="6"/>
        <v>FBXLCUC11-MXF003</v>
      </c>
      <c r="E409" t="s">
        <v>999</v>
      </c>
      <c r="F409">
        <f>G409-SUMIFS('Sold out'!K:K,'Sold out'!I:I,'Main Stock'!C409)+SUMIFS('Receiving '!G:G,'Receiving '!E:E,'Main Stock'!C409)</f>
        <v>0</v>
      </c>
      <c r="G409">
        <v>0</v>
      </c>
    </row>
    <row r="410" spans="1:9" x14ac:dyDescent="0.2">
      <c r="A410" t="s">
        <v>4711</v>
      </c>
      <c r="B410" t="s">
        <v>1656</v>
      </c>
      <c r="C410" t="s">
        <v>1000</v>
      </c>
      <c r="D410" t="str">
        <f t="shared" si="6"/>
        <v>FFXLCLC42-MXM002</v>
      </c>
      <c r="E410" t="s">
        <v>1001</v>
      </c>
      <c r="F410">
        <f>G410-SUMIFS('Sold out'!K:K,'Sold out'!I:I,'Main Stock'!C410)+SUMIFS('Receiving '!G:G,'Receiving '!E:E,'Main Stock'!C410)</f>
        <v>0</v>
      </c>
      <c r="G410">
        <v>0</v>
      </c>
    </row>
    <row r="411" spans="1:9" x14ac:dyDescent="0.2">
      <c r="A411" t="s">
        <v>4711</v>
      </c>
      <c r="B411" t="s">
        <v>1656</v>
      </c>
      <c r="C411" t="s">
        <v>1002</v>
      </c>
      <c r="D411" t="str">
        <f t="shared" si="6"/>
        <v>FFWLCLC42-JXM002</v>
      </c>
      <c r="E411" t="s">
        <v>1003</v>
      </c>
      <c r="F411">
        <f>G411-SUMIFS('Sold out'!K:K,'Sold out'!I:I,'Main Stock'!C411)+SUMIFS('Receiving '!G:G,'Receiving '!E:E,'Main Stock'!C411)</f>
        <v>0</v>
      </c>
      <c r="G411">
        <v>0</v>
      </c>
    </row>
    <row r="412" spans="1:9" x14ac:dyDescent="0.2">
      <c r="A412" t="s">
        <v>4711</v>
      </c>
      <c r="B412" t="s">
        <v>1656</v>
      </c>
      <c r="C412" t="s">
        <v>1004</v>
      </c>
      <c r="D412" t="str">
        <f t="shared" si="6"/>
        <v>921013-000</v>
      </c>
      <c r="E412" t="s">
        <v>1005</v>
      </c>
      <c r="F412">
        <f>G412-SUMIFS('Sold out'!K:K,'Sold out'!I:I,'Main Stock'!C412)+SUMIFS('Receiving '!G:G,'Receiving '!E:E,'Main Stock'!C412)</f>
        <v>0</v>
      </c>
      <c r="G412">
        <v>0</v>
      </c>
      <c r="H412" t="s">
        <v>1285</v>
      </c>
    </row>
    <row r="413" spans="1:9" x14ac:dyDescent="0.2">
      <c r="A413" t="s">
        <v>4711</v>
      </c>
      <c r="B413" t="s">
        <v>1656</v>
      </c>
      <c r="C413" t="s">
        <v>1006</v>
      </c>
      <c r="D413" t="str">
        <f t="shared" si="6"/>
        <v>1711658-2</v>
      </c>
      <c r="E413" t="s">
        <v>1007</v>
      </c>
      <c r="F413">
        <f>G413-SUMIFS('Sold out'!K:K,'Sold out'!I:I,'Main Stock'!C413)+SUMIFS('Receiving '!G:G,'Receiving '!E:E,'Main Stock'!C413)</f>
        <v>28</v>
      </c>
      <c r="G413">
        <v>28</v>
      </c>
      <c r="H413" t="s">
        <v>1282</v>
      </c>
    </row>
    <row r="414" spans="1:9" x14ac:dyDescent="0.2">
      <c r="A414" t="s">
        <v>4711</v>
      </c>
      <c r="B414" t="s">
        <v>1656</v>
      </c>
      <c r="C414" t="s">
        <v>1008</v>
      </c>
      <c r="D414" t="str">
        <f t="shared" si="6"/>
        <v>1933943-1</v>
      </c>
      <c r="E414" t="s">
        <v>1009</v>
      </c>
      <c r="F414">
        <f>G414-SUMIFS('Sold out'!K:K,'Sold out'!I:I,'Main Stock'!C414)+SUMIFS('Receiving '!G:G,'Receiving '!E:E,'Main Stock'!C414)</f>
        <v>0</v>
      </c>
      <c r="G414">
        <v>0</v>
      </c>
    </row>
    <row r="415" spans="1:9" ht="16" x14ac:dyDescent="0.2">
      <c r="A415" t="s">
        <v>4711</v>
      </c>
      <c r="B415" t="s">
        <v>1656</v>
      </c>
      <c r="C415" t="s">
        <v>1010</v>
      </c>
      <c r="D415" t="str">
        <f t="shared" si="6"/>
        <v>9-1592141-9</v>
      </c>
      <c r="E415" t="s">
        <v>1011</v>
      </c>
      <c r="F415">
        <f>G415-SUMIFS('Sold out'!K:K,'Sold out'!I:I,'Main Stock'!C415)+SUMIFS('Receiving '!G:G,'Receiving '!E:E,'Main Stock'!C415)</f>
        <v>310</v>
      </c>
      <c r="G415">
        <v>310</v>
      </c>
      <c r="H415" t="s">
        <v>1372</v>
      </c>
      <c r="I415" s="34" t="s">
        <v>1410</v>
      </c>
    </row>
    <row r="416" spans="1:9" x14ac:dyDescent="0.2">
      <c r="A416" t="s">
        <v>4711</v>
      </c>
      <c r="B416" t="s">
        <v>1656</v>
      </c>
      <c r="C416" t="s">
        <v>1012</v>
      </c>
      <c r="D416" t="str">
        <f t="shared" si="6"/>
        <v>760152827</v>
      </c>
      <c r="E416" t="s">
        <v>1013</v>
      </c>
      <c r="F416">
        <f>G416-SUMIFS('Sold out'!K:K,'Sold out'!I:I,'Main Stock'!C416)+SUMIFS('Receiving '!G:G,'Receiving '!E:E,'Main Stock'!C416)</f>
        <v>6</v>
      </c>
      <c r="G416">
        <v>6</v>
      </c>
      <c r="H416" t="s">
        <v>1353</v>
      </c>
    </row>
    <row r="417" spans="1:9" ht="16" x14ac:dyDescent="0.2">
      <c r="A417" t="s">
        <v>4711</v>
      </c>
      <c r="B417" t="s">
        <v>1656</v>
      </c>
      <c r="C417" t="s">
        <v>1014</v>
      </c>
      <c r="D417" t="str">
        <f t="shared" si="6"/>
        <v>760258386</v>
      </c>
      <c r="E417" t="s">
        <v>1015</v>
      </c>
      <c r="F417">
        <f>G417-SUMIFS('Sold out'!K:K,'Sold out'!I:I,'Main Stock'!C417)+SUMIFS('Receiving '!G:G,'Receiving '!E:E,'Main Stock'!C417)</f>
        <v>269</v>
      </c>
      <c r="G417">
        <v>269</v>
      </c>
      <c r="H417" t="s">
        <v>1373</v>
      </c>
      <c r="I417" s="34" t="s">
        <v>1411</v>
      </c>
    </row>
    <row r="418" spans="1:9" x14ac:dyDescent="0.2">
      <c r="A418" t="s">
        <v>4711</v>
      </c>
      <c r="B418" t="s">
        <v>1656</v>
      </c>
      <c r="C418" t="s">
        <v>1016</v>
      </c>
      <c r="D418" t="str">
        <f t="shared" si="6"/>
        <v>760249308</v>
      </c>
      <c r="E418" t="s">
        <v>1017</v>
      </c>
      <c r="F418">
        <f>G418-SUMIFS('Sold out'!K:K,'Sold out'!I:I,'Main Stock'!C418)+SUMIFS('Receiving '!G:G,'Receiving '!E:E,'Main Stock'!C418)</f>
        <v>0</v>
      </c>
      <c r="G418">
        <v>0</v>
      </c>
    </row>
    <row r="419" spans="1:9" x14ac:dyDescent="0.2">
      <c r="A419" t="s">
        <v>4711</v>
      </c>
      <c r="B419" t="s">
        <v>1656</v>
      </c>
      <c r="C419" t="s">
        <v>1018</v>
      </c>
      <c r="D419" t="str">
        <f t="shared" si="6"/>
        <v>2843018-3</v>
      </c>
      <c r="E419" t="s">
        <v>1019</v>
      </c>
      <c r="F419">
        <f>G419-SUMIFS('Sold out'!K:K,'Sold out'!I:I,'Main Stock'!C419)+SUMIFS('Receiving '!G:G,'Receiving '!E:E,'Main Stock'!C419)</f>
        <v>2000</v>
      </c>
      <c r="G419">
        <v>2000</v>
      </c>
      <c r="H419" t="s">
        <v>1297</v>
      </c>
    </row>
    <row r="420" spans="1:9" x14ac:dyDescent="0.2">
      <c r="A420" t="s">
        <v>4711</v>
      </c>
      <c r="B420" t="s">
        <v>1656</v>
      </c>
      <c r="C420" t="s">
        <v>1020</v>
      </c>
      <c r="D420" t="str">
        <f t="shared" si="6"/>
        <v>TK046PD0088-00</v>
      </c>
      <c r="E420" t="s">
        <v>1021</v>
      </c>
      <c r="F420">
        <f>G420-SUMIFS('Sold out'!K:K,'Sold out'!I:I,'Main Stock'!C420)+SUMIFS('Receiving '!G:G,'Receiving '!E:E,'Main Stock'!C420)</f>
        <v>0</v>
      </c>
      <c r="G420">
        <v>0</v>
      </c>
    </row>
    <row r="421" spans="1:9" x14ac:dyDescent="0.2">
      <c r="A421" t="s">
        <v>4711</v>
      </c>
      <c r="B421" t="s">
        <v>1656</v>
      </c>
      <c r="C421" t="s">
        <v>1022</v>
      </c>
      <c r="D421" t="str">
        <f t="shared" si="6"/>
        <v>DYMO</v>
      </c>
      <c r="E421" t="s">
        <v>1023</v>
      </c>
      <c r="F421">
        <f>G421-SUMIFS('Sold out'!K:K,'Sold out'!I:I,'Main Stock'!C421)+SUMIFS('Receiving '!G:G,'Receiving '!E:E,'Main Stock'!C421)</f>
        <v>0</v>
      </c>
      <c r="G421">
        <v>0</v>
      </c>
    </row>
    <row r="422" spans="1:9" x14ac:dyDescent="0.2">
      <c r="A422" t="s">
        <v>4711</v>
      </c>
      <c r="B422" t="s">
        <v>1656</v>
      </c>
      <c r="C422" t="s">
        <v>1024</v>
      </c>
      <c r="D422" t="str">
        <f t="shared" si="6"/>
        <v>760242972</v>
      </c>
      <c r="E422" t="s">
        <v>1025</v>
      </c>
      <c r="F422">
        <f>G422-SUMIFS('Sold out'!K:K,'Sold out'!I:I,'Main Stock'!C422)+SUMIFS('Receiving '!G:G,'Receiving '!E:E,'Main Stock'!C422)</f>
        <v>0</v>
      </c>
      <c r="G422">
        <v>0</v>
      </c>
    </row>
    <row r="423" spans="1:9" x14ac:dyDescent="0.2">
      <c r="A423" t="s">
        <v>4711</v>
      </c>
      <c r="B423" t="s">
        <v>1656</v>
      </c>
      <c r="C423" t="s">
        <v>1026</v>
      </c>
      <c r="D423" t="str">
        <f t="shared" si="6"/>
        <v>760157800</v>
      </c>
      <c r="E423" t="s">
        <v>1027</v>
      </c>
      <c r="F423">
        <f>G423-SUMIFS('Sold out'!K:K,'Sold out'!I:I,'Main Stock'!C423)+SUMIFS('Receiving '!G:G,'Receiving '!E:E,'Main Stock'!C423)</f>
        <v>0</v>
      </c>
      <c r="G423">
        <v>0</v>
      </c>
    </row>
    <row r="424" spans="1:9" x14ac:dyDescent="0.2">
      <c r="A424" t="s">
        <v>4711</v>
      </c>
      <c r="B424" t="s">
        <v>1656</v>
      </c>
      <c r="C424" t="s">
        <v>1028</v>
      </c>
      <c r="D424" t="str">
        <f t="shared" si="6"/>
        <v>FFXLCLC42-MXF005</v>
      </c>
      <c r="E424" t="s">
        <v>1029</v>
      </c>
      <c r="F424">
        <f>G424-SUMIFS('Sold out'!K:K,'Sold out'!I:I,'Main Stock'!C424)+SUMIFS('Receiving '!G:G,'Receiving '!E:E,'Main Stock'!C424)</f>
        <v>0</v>
      </c>
      <c r="G424">
        <v>0</v>
      </c>
    </row>
    <row r="425" spans="1:9" x14ac:dyDescent="0.2">
      <c r="A425" t="s">
        <v>4711</v>
      </c>
      <c r="B425" t="s">
        <v>1656</v>
      </c>
      <c r="C425" t="s">
        <v>1030</v>
      </c>
      <c r="D425" t="str">
        <f t="shared" si="6"/>
        <v>FFWLCSA42-JXF033</v>
      </c>
      <c r="E425" t="s">
        <v>1031</v>
      </c>
      <c r="F425">
        <f>G425-SUMIFS('Sold out'!K:K,'Sold out'!I:I,'Main Stock'!C425)+SUMIFS('Receiving '!G:G,'Receiving '!E:E,'Main Stock'!C425)</f>
        <v>0</v>
      </c>
      <c r="G425">
        <v>0</v>
      </c>
    </row>
    <row r="426" spans="1:9" x14ac:dyDescent="0.2">
      <c r="A426" t="s">
        <v>4711</v>
      </c>
      <c r="B426" t="s">
        <v>1656</v>
      </c>
      <c r="C426" t="s">
        <v>1032</v>
      </c>
      <c r="D426" t="str">
        <f t="shared" si="6"/>
        <v>FJXMPMPAF-MBF035</v>
      </c>
      <c r="E426" t="s">
        <v>1033</v>
      </c>
      <c r="F426">
        <f>G426-SUMIFS('Sold out'!K:K,'Sold out'!I:I,'Main Stock'!C426)+SUMIFS('Receiving '!G:G,'Receiving '!E:E,'Main Stock'!C426)</f>
        <v>0</v>
      </c>
      <c r="G426">
        <v>0</v>
      </c>
    </row>
    <row r="427" spans="1:9" x14ac:dyDescent="0.2">
      <c r="A427" t="s">
        <v>4711</v>
      </c>
      <c r="B427" t="s">
        <v>1656</v>
      </c>
      <c r="C427" t="s">
        <v>1034</v>
      </c>
      <c r="D427" t="str">
        <f t="shared" si="6"/>
        <v>FJXMPMPAF-MBF065</v>
      </c>
      <c r="E427" t="s">
        <v>1035</v>
      </c>
      <c r="F427">
        <f>G427-SUMIFS('Sold out'!K:K,'Sold out'!I:I,'Main Stock'!C427)+SUMIFS('Receiving '!G:G,'Receiving '!E:E,'Main Stock'!C427)</f>
        <v>0</v>
      </c>
      <c r="G427">
        <v>0</v>
      </c>
    </row>
    <row r="428" spans="1:9" x14ac:dyDescent="0.2">
      <c r="A428" t="s">
        <v>4711</v>
      </c>
      <c r="B428" t="s">
        <v>1656</v>
      </c>
      <c r="C428" t="s">
        <v>1036</v>
      </c>
      <c r="D428" t="str">
        <f t="shared" si="6"/>
        <v>FJWMPMPAF-JBF100</v>
      </c>
      <c r="E428" t="s">
        <v>1037</v>
      </c>
      <c r="F428">
        <f>G428-SUMIFS('Sold out'!K:K,'Sold out'!I:I,'Main Stock'!C428)+SUMIFS('Receiving '!G:G,'Receiving '!E:E,'Main Stock'!C428)</f>
        <v>0</v>
      </c>
      <c r="G428">
        <v>0</v>
      </c>
    </row>
    <row r="429" spans="1:9" x14ac:dyDescent="0.2">
      <c r="A429" t="s">
        <v>4711</v>
      </c>
      <c r="B429" t="s">
        <v>1656</v>
      </c>
      <c r="C429" t="s">
        <v>1038</v>
      </c>
      <c r="D429" t="str">
        <f t="shared" si="6"/>
        <v>F3XMPMPAD-MBF025</v>
      </c>
      <c r="E429" t="s">
        <v>1039</v>
      </c>
      <c r="F429">
        <f>G429-SUMIFS('Sold out'!K:K,'Sold out'!I:I,'Main Stock'!C429)+SUMIFS('Receiving '!G:G,'Receiving '!E:E,'Main Stock'!C429)</f>
        <v>0</v>
      </c>
      <c r="G429">
        <v>0</v>
      </c>
    </row>
    <row r="430" spans="1:9" x14ac:dyDescent="0.2">
      <c r="A430" t="s">
        <v>4711</v>
      </c>
      <c r="B430" t="s">
        <v>1656</v>
      </c>
      <c r="C430" t="s">
        <v>1040</v>
      </c>
      <c r="D430" t="str">
        <f t="shared" si="6"/>
        <v>F3XMPMPAD-MBF040</v>
      </c>
      <c r="E430" t="s">
        <v>1039</v>
      </c>
      <c r="F430">
        <f>G430-SUMIFS('Sold out'!K:K,'Sold out'!I:I,'Main Stock'!C430)+SUMIFS('Receiving '!G:G,'Receiving '!E:E,'Main Stock'!C430)</f>
        <v>0</v>
      </c>
      <c r="G430">
        <v>0</v>
      </c>
    </row>
    <row r="431" spans="1:9" x14ac:dyDescent="0.2">
      <c r="A431" t="s">
        <v>4711</v>
      </c>
      <c r="B431" t="s">
        <v>1656</v>
      </c>
      <c r="C431" t="s">
        <v>1041</v>
      </c>
      <c r="D431" t="str">
        <f t="shared" si="6"/>
        <v>F3XMPMPAD-MBF020</v>
      </c>
      <c r="E431" t="s">
        <v>1039</v>
      </c>
      <c r="F431">
        <f>G431-SUMIFS('Sold out'!K:K,'Sold out'!I:I,'Main Stock'!C431)+SUMIFS('Receiving '!G:G,'Receiving '!E:E,'Main Stock'!C431)</f>
        <v>0</v>
      </c>
      <c r="G431">
        <v>0</v>
      </c>
    </row>
    <row r="432" spans="1:9" x14ac:dyDescent="0.2">
      <c r="A432" t="s">
        <v>4711</v>
      </c>
      <c r="B432" t="s">
        <v>1656</v>
      </c>
      <c r="C432" t="s">
        <v>1042</v>
      </c>
      <c r="D432" t="str">
        <f t="shared" si="6"/>
        <v>F3XMPMPAD-MBF030</v>
      </c>
      <c r="E432" t="s">
        <v>1039</v>
      </c>
      <c r="F432">
        <f>G432-SUMIFS('Sold out'!K:K,'Sold out'!I:I,'Main Stock'!C432)+SUMIFS('Receiving '!G:G,'Receiving '!E:E,'Main Stock'!C432)</f>
        <v>0</v>
      </c>
      <c r="G432">
        <v>0</v>
      </c>
    </row>
    <row r="433" spans="1:9" x14ac:dyDescent="0.2">
      <c r="A433" t="s">
        <v>4711</v>
      </c>
      <c r="B433" t="s">
        <v>1656</v>
      </c>
      <c r="C433" t="s">
        <v>1043</v>
      </c>
      <c r="D433" t="str">
        <f t="shared" si="6"/>
        <v>FJXMPMPAF-MBF075</v>
      </c>
      <c r="E433" t="s">
        <v>1044</v>
      </c>
      <c r="F433">
        <f>G433-SUMIFS('Sold out'!K:K,'Sold out'!I:I,'Main Stock'!C433)+SUMIFS('Receiving '!G:G,'Receiving '!E:E,'Main Stock'!C433)</f>
        <v>0</v>
      </c>
      <c r="G433">
        <v>0</v>
      </c>
    </row>
    <row r="434" spans="1:9" x14ac:dyDescent="0.2">
      <c r="A434" t="s">
        <v>4711</v>
      </c>
      <c r="B434" t="s">
        <v>1656</v>
      </c>
      <c r="C434" t="s">
        <v>1045</v>
      </c>
      <c r="D434" t="str">
        <f t="shared" si="6"/>
        <v>F3XMPMPAD-MBF035</v>
      </c>
      <c r="E434" t="s">
        <v>1039</v>
      </c>
      <c r="F434">
        <f>G434-SUMIFS('Sold out'!K:K,'Sold out'!I:I,'Main Stock'!C434)+SUMIFS('Receiving '!G:G,'Receiving '!E:E,'Main Stock'!C434)</f>
        <v>0</v>
      </c>
      <c r="G434">
        <v>0</v>
      </c>
    </row>
    <row r="435" spans="1:9" x14ac:dyDescent="0.2">
      <c r="A435" t="s">
        <v>4711</v>
      </c>
      <c r="B435" t="s">
        <v>1656</v>
      </c>
      <c r="C435" t="s">
        <v>1046</v>
      </c>
      <c r="D435" t="str">
        <f t="shared" si="6"/>
        <v>760242628</v>
      </c>
      <c r="E435" t="s">
        <v>1047</v>
      </c>
      <c r="F435">
        <f>G435-SUMIFS('Sold out'!K:K,'Sold out'!I:I,'Main Stock'!C435)+SUMIFS('Receiving '!G:G,'Receiving '!E:E,'Main Stock'!C435)</f>
        <v>0</v>
      </c>
      <c r="G435">
        <v>0</v>
      </c>
    </row>
    <row r="436" spans="1:9" x14ac:dyDescent="0.2">
      <c r="A436" t="s">
        <v>4711</v>
      </c>
      <c r="B436" t="s">
        <v>1656</v>
      </c>
      <c r="C436" t="s">
        <v>1048</v>
      </c>
      <c r="D436" t="str">
        <f t="shared" si="6"/>
        <v>760242585</v>
      </c>
      <c r="E436" t="s">
        <v>1049</v>
      </c>
      <c r="F436">
        <f>G436-SUMIFS('Sold out'!K:K,'Sold out'!I:I,'Main Stock'!C436)+SUMIFS('Receiving '!G:G,'Receiving '!E:E,'Main Stock'!C436)</f>
        <v>2</v>
      </c>
      <c r="G436">
        <v>2</v>
      </c>
      <c r="H436" t="s">
        <v>1374</v>
      </c>
    </row>
    <row r="437" spans="1:9" x14ac:dyDescent="0.2">
      <c r="A437" t="s">
        <v>4711</v>
      </c>
      <c r="B437" t="s">
        <v>1656</v>
      </c>
      <c r="C437" t="s">
        <v>1050</v>
      </c>
      <c r="D437" t="str">
        <f t="shared" si="6"/>
        <v>760244934</v>
      </c>
      <c r="E437" t="s">
        <v>1051</v>
      </c>
      <c r="F437">
        <f>G437-SUMIFS('Sold out'!K:K,'Sold out'!I:I,'Main Stock'!C437)+SUMIFS('Receiving '!G:G,'Receiving '!E:E,'Main Stock'!C437)</f>
        <v>4</v>
      </c>
      <c r="G437">
        <v>4</v>
      </c>
      <c r="H437" t="s">
        <v>1280</v>
      </c>
    </row>
    <row r="438" spans="1:9" x14ac:dyDescent="0.2">
      <c r="A438" t="s">
        <v>4711</v>
      </c>
      <c r="B438" t="s">
        <v>1656</v>
      </c>
      <c r="C438" t="s">
        <v>1052</v>
      </c>
      <c r="D438" t="str">
        <f t="shared" si="6"/>
        <v>FFWLCLC42-JXF164</v>
      </c>
      <c r="E438" t="s">
        <v>1053</v>
      </c>
      <c r="F438">
        <f>G438-SUMIFS('Sold out'!K:K,'Sold out'!I:I,'Main Stock'!C438)+SUMIFS('Receiving '!G:G,'Receiving '!E:E,'Main Stock'!C438)</f>
        <v>15</v>
      </c>
      <c r="G438">
        <v>15</v>
      </c>
      <c r="H438">
        <v>0</v>
      </c>
    </row>
    <row r="439" spans="1:9" x14ac:dyDescent="0.2">
      <c r="A439" t="s">
        <v>4711</v>
      </c>
      <c r="B439" t="s">
        <v>1656</v>
      </c>
      <c r="C439" t="s">
        <v>1054</v>
      </c>
      <c r="D439" t="str">
        <f t="shared" si="6"/>
        <v>760242597</v>
      </c>
      <c r="E439" t="s">
        <v>1055</v>
      </c>
      <c r="F439">
        <f>G439-SUMIFS('Sold out'!K:K,'Sold out'!I:I,'Main Stock'!C439)+SUMIFS('Receiving '!G:G,'Receiving '!E:E,'Main Stock'!C439)</f>
        <v>0</v>
      </c>
      <c r="G439">
        <v>0</v>
      </c>
    </row>
    <row r="440" spans="1:9" x14ac:dyDescent="0.2">
      <c r="A440" t="s">
        <v>4711</v>
      </c>
      <c r="B440" t="s">
        <v>1656</v>
      </c>
      <c r="C440" t="s">
        <v>1056</v>
      </c>
      <c r="D440" t="str">
        <f t="shared" si="6"/>
        <v>760248821</v>
      </c>
      <c r="E440" t="s">
        <v>1057</v>
      </c>
      <c r="F440">
        <f>G440-SUMIFS('Sold out'!K:K,'Sold out'!I:I,'Main Stock'!C440)+SUMIFS('Receiving '!G:G,'Receiving '!E:E,'Main Stock'!C440)</f>
        <v>8</v>
      </c>
      <c r="G440">
        <v>8</v>
      </c>
      <c r="H440" t="s">
        <v>1289</v>
      </c>
    </row>
    <row r="441" spans="1:9" x14ac:dyDescent="0.2">
      <c r="A441" t="s">
        <v>4711</v>
      </c>
      <c r="B441" t="s">
        <v>1656</v>
      </c>
      <c r="C441" t="s">
        <v>1058</v>
      </c>
      <c r="D441" t="str">
        <f t="shared" si="6"/>
        <v>760242580</v>
      </c>
      <c r="E441" t="s">
        <v>1059</v>
      </c>
      <c r="F441">
        <f>G441-SUMIFS('Sold out'!K:K,'Sold out'!I:I,'Main Stock'!C441)+SUMIFS('Receiving '!G:G,'Receiving '!E:E,'Main Stock'!C441)</f>
        <v>4</v>
      </c>
      <c r="G441">
        <v>4</v>
      </c>
      <c r="H441" t="s">
        <v>1289</v>
      </c>
    </row>
    <row r="442" spans="1:9" ht="16" x14ac:dyDescent="0.2">
      <c r="A442" t="s">
        <v>4711</v>
      </c>
      <c r="B442" t="s">
        <v>1656</v>
      </c>
      <c r="C442" t="s">
        <v>1060</v>
      </c>
      <c r="D442" t="str">
        <f t="shared" si="6"/>
        <v>760009753</v>
      </c>
      <c r="E442" t="s">
        <v>1061</v>
      </c>
      <c r="F442">
        <f>G442-SUMIFS('Sold out'!K:K,'Sold out'!I:I,'Main Stock'!C442)+SUMIFS('Receiving '!G:G,'Receiving '!E:E,'Main Stock'!C442)</f>
        <v>0</v>
      </c>
      <c r="G442">
        <v>0</v>
      </c>
      <c r="I442" s="34" t="s">
        <v>1380</v>
      </c>
    </row>
    <row r="443" spans="1:9" x14ac:dyDescent="0.2">
      <c r="A443" t="s">
        <v>4711</v>
      </c>
      <c r="B443" t="s">
        <v>1656</v>
      </c>
      <c r="C443" t="s">
        <v>1062</v>
      </c>
      <c r="D443" t="str">
        <f t="shared" si="6"/>
        <v>760175919</v>
      </c>
      <c r="E443" t="s">
        <v>1063</v>
      </c>
      <c r="F443">
        <f>G443-SUMIFS('Sold out'!K:K,'Sold out'!I:I,'Main Stock'!C443)+SUMIFS('Receiving '!G:G,'Receiving '!E:E,'Main Stock'!C443)</f>
        <v>0</v>
      </c>
      <c r="G443">
        <v>0</v>
      </c>
    </row>
    <row r="444" spans="1:9" ht="32" x14ac:dyDescent="0.2">
      <c r="A444" t="s">
        <v>4711</v>
      </c>
      <c r="B444" t="s">
        <v>1656</v>
      </c>
      <c r="C444" t="s">
        <v>1064</v>
      </c>
      <c r="D444" t="str">
        <f t="shared" si="6"/>
        <v>760150490</v>
      </c>
      <c r="E444" t="s">
        <v>1065</v>
      </c>
      <c r="F444">
        <f>G444-SUMIFS('Sold out'!K:K,'Sold out'!I:I,'Main Stock'!C444)+SUMIFS('Receiving '!G:G,'Receiving '!E:E,'Main Stock'!C444)</f>
        <v>18040</v>
      </c>
      <c r="G444">
        <v>18040</v>
      </c>
      <c r="H444" t="s">
        <v>1375</v>
      </c>
      <c r="I444" s="34" t="s">
        <v>1412</v>
      </c>
    </row>
    <row r="445" spans="1:9" ht="16" x14ac:dyDescent="0.2">
      <c r="A445" t="s">
        <v>4711</v>
      </c>
      <c r="B445" t="s">
        <v>1656</v>
      </c>
      <c r="C445" t="s">
        <v>1066</v>
      </c>
      <c r="D445" t="str">
        <f t="shared" si="6"/>
        <v>810008823/DB</v>
      </c>
      <c r="E445" t="s">
        <v>1067</v>
      </c>
      <c r="F445">
        <f>G445-SUMIFS('Sold out'!K:K,'Sold out'!I:I,'Main Stock'!C445)+SUMIFS('Receiving '!G:G,'Receiving '!E:E,'Main Stock'!C445)</f>
        <v>0</v>
      </c>
      <c r="G445">
        <v>0</v>
      </c>
      <c r="I445" s="34" t="s">
        <v>1380</v>
      </c>
    </row>
    <row r="446" spans="1:9" x14ac:dyDescent="0.2">
      <c r="A446" t="s">
        <v>4711</v>
      </c>
      <c r="B446" t="s">
        <v>1656</v>
      </c>
      <c r="C446" t="s">
        <v>1068</v>
      </c>
      <c r="D446" t="str">
        <f t="shared" si="6"/>
        <v>760092361</v>
      </c>
      <c r="E446" t="s">
        <v>1069</v>
      </c>
      <c r="F446">
        <f>G446-SUMIFS('Sold out'!K:K,'Sold out'!I:I,'Main Stock'!C446)+SUMIFS('Receiving '!G:G,'Receiving '!E:E,'Main Stock'!C446)</f>
        <v>0</v>
      </c>
      <c r="G446">
        <v>0</v>
      </c>
    </row>
    <row r="447" spans="1:9" x14ac:dyDescent="0.2">
      <c r="A447" t="s">
        <v>4711</v>
      </c>
      <c r="B447" t="s">
        <v>1656</v>
      </c>
      <c r="C447" t="s">
        <v>1070</v>
      </c>
      <c r="D447" t="str">
        <f t="shared" si="6"/>
        <v>760109272</v>
      </c>
      <c r="E447" t="s">
        <v>1071</v>
      </c>
      <c r="F447">
        <f>G447-SUMIFS('Sold out'!K:K,'Sold out'!I:I,'Main Stock'!C447)+SUMIFS('Receiving '!G:G,'Receiving '!E:E,'Main Stock'!C447)</f>
        <v>2</v>
      </c>
      <c r="G447">
        <v>2</v>
      </c>
      <c r="H447" t="s">
        <v>1376</v>
      </c>
    </row>
    <row r="448" spans="1:9" x14ac:dyDescent="0.2">
      <c r="A448" t="s">
        <v>4711</v>
      </c>
      <c r="B448" t="s">
        <v>1656</v>
      </c>
      <c r="C448" t="s">
        <v>1072</v>
      </c>
      <c r="D448" t="str">
        <f t="shared" si="6"/>
        <v>760244929</v>
      </c>
      <c r="E448" t="s">
        <v>1073</v>
      </c>
      <c r="F448">
        <f>G448-SUMIFS('Sold out'!K:K,'Sold out'!I:I,'Main Stock'!C448)+SUMIFS('Receiving '!G:G,'Receiving '!E:E,'Main Stock'!C448)</f>
        <v>0</v>
      </c>
      <c r="G448">
        <v>0</v>
      </c>
    </row>
    <row r="449" spans="1:9" x14ac:dyDescent="0.2">
      <c r="A449" t="s">
        <v>4711</v>
      </c>
      <c r="B449" t="s">
        <v>1656</v>
      </c>
      <c r="C449" t="s">
        <v>1074</v>
      </c>
      <c r="D449" t="str">
        <f t="shared" si="6"/>
        <v>760249250</v>
      </c>
      <c r="E449" t="s">
        <v>1075</v>
      </c>
      <c r="F449">
        <f>G449-SUMIFS('Sold out'!K:K,'Sold out'!I:I,'Main Stock'!C449)+SUMIFS('Receiving '!G:G,'Receiving '!E:E,'Main Stock'!C449)</f>
        <v>0</v>
      </c>
      <c r="G449">
        <v>0</v>
      </c>
    </row>
    <row r="450" spans="1:9" x14ac:dyDescent="0.2">
      <c r="A450" t="s">
        <v>4711</v>
      </c>
      <c r="B450" t="s">
        <v>1656</v>
      </c>
      <c r="C450" t="s">
        <v>1076</v>
      </c>
      <c r="D450" t="str">
        <f t="shared" si="6"/>
        <v>760250917</v>
      </c>
      <c r="E450" t="s">
        <v>1077</v>
      </c>
      <c r="F450">
        <f>G450-SUMIFS('Sold out'!K:K,'Sold out'!I:I,'Main Stock'!C450)+SUMIFS('Receiving '!G:G,'Receiving '!E:E,'Main Stock'!C450)</f>
        <v>0</v>
      </c>
      <c r="G450">
        <v>0</v>
      </c>
    </row>
    <row r="451" spans="1:9" x14ac:dyDescent="0.2">
      <c r="A451" t="s">
        <v>4711</v>
      </c>
      <c r="B451" t="s">
        <v>1656</v>
      </c>
      <c r="C451" t="s">
        <v>1078</v>
      </c>
      <c r="D451" t="str">
        <f t="shared" ref="D451:D514" si="7">C451</f>
        <v>1-2153449-3</v>
      </c>
      <c r="E451" t="s">
        <v>1079</v>
      </c>
      <c r="F451">
        <f>G451-SUMIFS('Sold out'!K:K,'Sold out'!I:I,'Main Stock'!C451)+SUMIFS('Receiving '!G:G,'Receiving '!E:E,'Main Stock'!C451)</f>
        <v>0</v>
      </c>
      <c r="G451">
        <v>0</v>
      </c>
    </row>
    <row r="452" spans="1:9" x14ac:dyDescent="0.2">
      <c r="A452" t="s">
        <v>4711</v>
      </c>
      <c r="B452" t="s">
        <v>1656</v>
      </c>
      <c r="C452" t="s">
        <v>1080</v>
      </c>
      <c r="D452" t="str">
        <f t="shared" si="7"/>
        <v>1711897-1</v>
      </c>
      <c r="E452" t="s">
        <v>1081</v>
      </c>
      <c r="F452">
        <f>G452-SUMIFS('Sold out'!K:K,'Sold out'!I:I,'Main Stock'!C452)+SUMIFS('Receiving '!G:G,'Receiving '!E:E,'Main Stock'!C452)</f>
        <v>15</v>
      </c>
      <c r="G452">
        <v>15</v>
      </c>
      <c r="H452" t="s">
        <v>1282</v>
      </c>
    </row>
    <row r="453" spans="1:9" x14ac:dyDescent="0.2">
      <c r="A453" t="s">
        <v>4711</v>
      </c>
      <c r="B453" t="s">
        <v>1656</v>
      </c>
      <c r="C453" t="s">
        <v>1082</v>
      </c>
      <c r="D453" t="str">
        <f t="shared" si="7"/>
        <v>2153365-4</v>
      </c>
      <c r="E453" t="s">
        <v>1083</v>
      </c>
      <c r="F453">
        <f>G453-SUMIFS('Sold out'!K:K,'Sold out'!I:I,'Main Stock'!C453)+SUMIFS('Receiving '!G:G,'Receiving '!E:E,'Main Stock'!C453)</f>
        <v>1886</v>
      </c>
      <c r="G453">
        <v>1886</v>
      </c>
      <c r="H453">
        <v>0</v>
      </c>
    </row>
    <row r="454" spans="1:9" ht="16" x14ac:dyDescent="0.2">
      <c r="A454" t="s">
        <v>4711</v>
      </c>
      <c r="B454" t="s">
        <v>1656</v>
      </c>
      <c r="C454" t="s">
        <v>1084</v>
      </c>
      <c r="D454" t="str">
        <f t="shared" si="7"/>
        <v>860646620/DB</v>
      </c>
      <c r="E454" t="s">
        <v>1085</v>
      </c>
      <c r="F454">
        <f>G454-SUMIFS('Sold out'!K:K,'Sold out'!I:I,'Main Stock'!C454)+SUMIFS('Receiving '!G:G,'Receiving '!E:E,'Main Stock'!C454)</f>
        <v>0</v>
      </c>
      <c r="G454">
        <v>0</v>
      </c>
      <c r="I454" s="34" t="s">
        <v>1397</v>
      </c>
    </row>
    <row r="455" spans="1:9" x14ac:dyDescent="0.2">
      <c r="A455" t="s">
        <v>4711</v>
      </c>
      <c r="B455" t="s">
        <v>1656</v>
      </c>
      <c r="C455" t="s">
        <v>1086</v>
      </c>
      <c r="D455" t="str">
        <f t="shared" si="7"/>
        <v>CPC3392-03F004</v>
      </c>
      <c r="E455" t="s">
        <v>1087</v>
      </c>
      <c r="F455">
        <f>G455-SUMIFS('Sold out'!K:K,'Sold out'!I:I,'Main Stock'!C455)+SUMIFS('Receiving '!G:G,'Receiving '!E:E,'Main Stock'!C455)</f>
        <v>0</v>
      </c>
      <c r="G455">
        <v>0</v>
      </c>
    </row>
    <row r="456" spans="1:9" x14ac:dyDescent="0.2">
      <c r="A456" t="s">
        <v>4711</v>
      </c>
      <c r="B456" t="s">
        <v>1656</v>
      </c>
      <c r="C456" t="s">
        <v>1088</v>
      </c>
      <c r="D456" t="str">
        <f t="shared" si="7"/>
        <v>CA111K2-0ZF017</v>
      </c>
      <c r="E456" t="s">
        <v>1089</v>
      </c>
      <c r="F456">
        <f>G456-SUMIFS('Sold out'!K:K,'Sold out'!I:I,'Main Stock'!C456)+SUMIFS('Receiving '!G:G,'Receiving '!E:E,'Main Stock'!C456)</f>
        <v>200</v>
      </c>
      <c r="G456">
        <v>200</v>
      </c>
      <c r="H456" t="s">
        <v>1296</v>
      </c>
    </row>
    <row r="457" spans="1:9" x14ac:dyDescent="0.2">
      <c r="A457" t="s">
        <v>4711</v>
      </c>
      <c r="B457" t="s">
        <v>1656</v>
      </c>
      <c r="C457" t="s">
        <v>1090</v>
      </c>
      <c r="D457" t="str">
        <f t="shared" si="7"/>
        <v>CP7685-000</v>
      </c>
      <c r="E457" t="s">
        <v>1091</v>
      </c>
      <c r="F457">
        <f>G457-SUMIFS('Sold out'!K:K,'Sold out'!I:I,'Main Stock'!C457)+SUMIFS('Receiving '!G:G,'Receiving '!E:E,'Main Stock'!C457)</f>
        <v>0</v>
      </c>
      <c r="G457">
        <v>0</v>
      </c>
    </row>
    <row r="458" spans="1:9" x14ac:dyDescent="0.2">
      <c r="A458" t="s">
        <v>4711</v>
      </c>
      <c r="B458" t="s">
        <v>1656</v>
      </c>
      <c r="C458" t="s">
        <v>1092</v>
      </c>
      <c r="D458" t="str">
        <f t="shared" si="7"/>
        <v>CU4156-000</v>
      </c>
      <c r="E458" t="s">
        <v>1093</v>
      </c>
      <c r="F458">
        <f>G458-SUMIFS('Sold out'!K:K,'Sold out'!I:I,'Main Stock'!C458)+SUMIFS('Receiving '!G:G,'Receiving '!E:E,'Main Stock'!C458)</f>
        <v>0</v>
      </c>
      <c r="G458">
        <v>0</v>
      </c>
    </row>
    <row r="459" spans="1:9" x14ac:dyDescent="0.2">
      <c r="A459" t="s">
        <v>4711</v>
      </c>
      <c r="B459" t="s">
        <v>1656</v>
      </c>
      <c r="C459" t="s">
        <v>1094</v>
      </c>
      <c r="D459" t="str">
        <f t="shared" si="7"/>
        <v>CZ3625-000</v>
      </c>
      <c r="E459" t="s">
        <v>1095</v>
      </c>
      <c r="F459">
        <f>G459-SUMIFS('Sold out'!K:K,'Sold out'!I:I,'Main Stock'!C459)+SUMIFS('Receiving '!G:G,'Receiving '!E:E,'Main Stock'!C459)</f>
        <v>158</v>
      </c>
      <c r="G459">
        <v>158</v>
      </c>
      <c r="H459">
        <v>0</v>
      </c>
    </row>
    <row r="460" spans="1:9" x14ac:dyDescent="0.2">
      <c r="A460" t="s">
        <v>4711</v>
      </c>
      <c r="B460" t="s">
        <v>1656</v>
      </c>
      <c r="C460" t="s">
        <v>1096</v>
      </c>
      <c r="D460" t="str">
        <f t="shared" si="7"/>
        <v>760152579</v>
      </c>
      <c r="E460" t="s">
        <v>1097</v>
      </c>
      <c r="F460">
        <f>G460-SUMIFS('Sold out'!K:K,'Sold out'!I:I,'Main Stock'!C460)+SUMIFS('Receiving '!G:G,'Receiving '!E:E,'Main Stock'!C460)</f>
        <v>0</v>
      </c>
      <c r="G460">
        <v>0</v>
      </c>
    </row>
    <row r="461" spans="1:9" x14ac:dyDescent="0.2">
      <c r="A461" t="s">
        <v>4711</v>
      </c>
      <c r="B461" t="s">
        <v>1656</v>
      </c>
      <c r="C461" t="s">
        <v>1098</v>
      </c>
      <c r="D461" t="str">
        <f t="shared" si="7"/>
        <v>558637-1</v>
      </c>
      <c r="E461" t="s">
        <v>1099</v>
      </c>
      <c r="F461">
        <f>G461-SUMIFS('Sold out'!K:K,'Sold out'!I:I,'Main Stock'!C461)+SUMIFS('Receiving '!G:G,'Receiving '!E:E,'Main Stock'!C461)</f>
        <v>0</v>
      </c>
      <c r="G461">
        <v>0</v>
      </c>
    </row>
    <row r="462" spans="1:9" x14ac:dyDescent="0.2">
      <c r="A462" t="s">
        <v>4711</v>
      </c>
      <c r="B462" t="s">
        <v>1656</v>
      </c>
      <c r="C462" t="s">
        <v>1100</v>
      </c>
      <c r="D462" t="str">
        <f t="shared" si="7"/>
        <v>760161067</v>
      </c>
      <c r="E462" t="s">
        <v>1101</v>
      </c>
      <c r="F462">
        <f>G462-SUMIFS('Sold out'!K:K,'Sold out'!I:I,'Main Stock'!C462)+SUMIFS('Receiving '!G:G,'Receiving '!E:E,'Main Stock'!C462)</f>
        <v>2</v>
      </c>
      <c r="G462">
        <v>2</v>
      </c>
      <c r="H462" t="s">
        <v>1282</v>
      </c>
    </row>
    <row r="463" spans="1:9" x14ac:dyDescent="0.2">
      <c r="A463" t="s">
        <v>4711</v>
      </c>
      <c r="B463" t="s">
        <v>1656</v>
      </c>
      <c r="C463" t="s">
        <v>1102</v>
      </c>
      <c r="D463" t="str">
        <f t="shared" si="7"/>
        <v>2153449-2</v>
      </c>
      <c r="E463" t="s">
        <v>1103</v>
      </c>
      <c r="F463">
        <f>G463-SUMIFS('Sold out'!K:K,'Sold out'!I:I,'Main Stock'!C463)+SUMIFS('Receiving '!G:G,'Receiving '!E:E,'Main Stock'!C463)</f>
        <v>0</v>
      </c>
      <c r="G463">
        <v>0</v>
      </c>
    </row>
    <row r="464" spans="1:9" x14ac:dyDescent="0.2">
      <c r="A464" t="s">
        <v>4711</v>
      </c>
      <c r="B464" t="s">
        <v>1656</v>
      </c>
      <c r="C464" t="s">
        <v>1104</v>
      </c>
      <c r="D464" t="str">
        <f t="shared" si="7"/>
        <v>760245961</v>
      </c>
      <c r="E464" t="s">
        <v>1105</v>
      </c>
      <c r="F464">
        <f>G464-SUMIFS('Sold out'!K:K,'Sold out'!I:I,'Main Stock'!C464)+SUMIFS('Receiving '!G:G,'Receiving '!E:E,'Main Stock'!C464)</f>
        <v>0</v>
      </c>
      <c r="G464">
        <v>0</v>
      </c>
    </row>
    <row r="465" spans="1:9" x14ac:dyDescent="0.2">
      <c r="A465" t="s">
        <v>4711</v>
      </c>
      <c r="B465" t="s">
        <v>1656</v>
      </c>
      <c r="C465" t="s">
        <v>1106</v>
      </c>
      <c r="D465" t="str">
        <f t="shared" si="7"/>
        <v>CP7686-000</v>
      </c>
      <c r="E465" t="s">
        <v>1107</v>
      </c>
      <c r="F465">
        <f>G465-SUMIFS('Sold out'!K:K,'Sold out'!I:I,'Main Stock'!C465)+SUMIFS('Receiving '!G:G,'Receiving '!E:E,'Main Stock'!C465)</f>
        <v>0</v>
      </c>
      <c r="G465">
        <v>0</v>
      </c>
    </row>
    <row r="466" spans="1:9" x14ac:dyDescent="0.2">
      <c r="A466" t="s">
        <v>4711</v>
      </c>
      <c r="B466" t="s">
        <v>1656</v>
      </c>
      <c r="C466" t="s">
        <v>1108</v>
      </c>
      <c r="D466" t="str">
        <f t="shared" si="7"/>
        <v>2153365-2</v>
      </c>
      <c r="E466" t="s">
        <v>1109</v>
      </c>
      <c r="F466">
        <f>G466-SUMIFS('Sold out'!K:K,'Sold out'!I:I,'Main Stock'!C466)+SUMIFS('Receiving '!G:G,'Receiving '!E:E,'Main Stock'!C466)</f>
        <v>0</v>
      </c>
      <c r="G466">
        <v>0</v>
      </c>
    </row>
    <row r="467" spans="1:9" x14ac:dyDescent="0.2">
      <c r="A467" t="s">
        <v>4711</v>
      </c>
      <c r="B467" t="s">
        <v>1656</v>
      </c>
      <c r="C467" t="s">
        <v>1110</v>
      </c>
      <c r="D467" t="str">
        <f t="shared" si="7"/>
        <v>760242595</v>
      </c>
      <c r="E467" t="s">
        <v>1111</v>
      </c>
      <c r="F467">
        <f>G467-SUMIFS('Sold out'!K:K,'Sold out'!I:I,'Main Stock'!C467)+SUMIFS('Receiving '!G:G,'Receiving '!E:E,'Main Stock'!C467)</f>
        <v>0</v>
      </c>
      <c r="G467">
        <v>0</v>
      </c>
    </row>
    <row r="468" spans="1:9" ht="16" x14ac:dyDescent="0.2">
      <c r="A468" t="s">
        <v>4711</v>
      </c>
      <c r="B468" t="s">
        <v>1656</v>
      </c>
      <c r="C468" t="s">
        <v>1112</v>
      </c>
      <c r="D468" t="str">
        <f t="shared" si="7"/>
        <v>760260195</v>
      </c>
      <c r="E468" t="s">
        <v>1113</v>
      </c>
      <c r="F468">
        <f>G468-SUMIFS('Sold out'!K:K,'Sold out'!I:I,'Main Stock'!C468)+SUMIFS('Receiving '!G:G,'Receiving '!E:E,'Main Stock'!C468)</f>
        <v>749</v>
      </c>
      <c r="G468">
        <v>749</v>
      </c>
      <c r="H468">
        <v>0</v>
      </c>
      <c r="I468" s="34" t="s">
        <v>1413</v>
      </c>
    </row>
    <row r="469" spans="1:9" x14ac:dyDescent="0.2">
      <c r="A469" t="s">
        <v>4711</v>
      </c>
      <c r="B469" t="s">
        <v>1656</v>
      </c>
      <c r="C469" t="s">
        <v>1114</v>
      </c>
      <c r="D469" t="str">
        <f t="shared" si="7"/>
        <v>LX1SSP1208002</v>
      </c>
      <c r="E469" t="s">
        <v>1115</v>
      </c>
      <c r="F469">
        <f>G469-SUMIFS('Sold out'!K:K,'Sold out'!I:I,'Main Stock'!C469)+SUMIFS('Receiving '!G:G,'Receiving '!E:E,'Main Stock'!C469)</f>
        <v>0</v>
      </c>
      <c r="G469">
        <v>0</v>
      </c>
    </row>
    <row r="470" spans="1:9" x14ac:dyDescent="0.2">
      <c r="A470" t="s">
        <v>4711</v>
      </c>
      <c r="B470" t="s">
        <v>1656</v>
      </c>
      <c r="C470" t="s">
        <v>1116</v>
      </c>
      <c r="D470" t="str">
        <f t="shared" si="7"/>
        <v>LX1SSP1204004</v>
      </c>
      <c r="E470" t="s">
        <v>1117</v>
      </c>
      <c r="F470">
        <f>G470-SUMIFS('Sold out'!K:K,'Sold out'!I:I,'Main Stock'!C470)+SUMIFS('Receiving '!G:G,'Receiving '!E:E,'Main Stock'!C470)</f>
        <v>0</v>
      </c>
      <c r="G470">
        <v>0</v>
      </c>
    </row>
    <row r="471" spans="1:9" x14ac:dyDescent="0.2">
      <c r="A471" t="s">
        <v>4711</v>
      </c>
      <c r="B471" t="s">
        <v>1656</v>
      </c>
      <c r="C471" t="s">
        <v>1118</v>
      </c>
      <c r="D471" t="str">
        <f t="shared" si="7"/>
        <v>CC0871-000</v>
      </c>
      <c r="E471" t="s">
        <v>1119</v>
      </c>
      <c r="F471">
        <f>G471-SUMIFS('Sold out'!K:K,'Sold out'!I:I,'Main Stock'!C471)+SUMIFS('Receiving '!G:G,'Receiving '!E:E,'Main Stock'!C471)</f>
        <v>0</v>
      </c>
      <c r="G471">
        <v>0</v>
      </c>
    </row>
    <row r="472" spans="1:9" x14ac:dyDescent="0.2">
      <c r="A472" t="s">
        <v>4711</v>
      </c>
      <c r="B472" t="s">
        <v>1656</v>
      </c>
      <c r="C472" t="s">
        <v>1120</v>
      </c>
      <c r="D472" t="str">
        <f t="shared" si="7"/>
        <v>FFWLCLC42-JXF100</v>
      </c>
      <c r="E472" t="s">
        <v>1121</v>
      </c>
      <c r="F472">
        <f>G472-SUMIFS('Sold out'!K:K,'Sold out'!I:I,'Main Stock'!C472)+SUMIFS('Receiving '!G:G,'Receiving '!E:E,'Main Stock'!C472)</f>
        <v>0</v>
      </c>
      <c r="G472">
        <v>0</v>
      </c>
    </row>
    <row r="473" spans="1:9" x14ac:dyDescent="0.2">
      <c r="A473" t="s">
        <v>4711</v>
      </c>
      <c r="B473" t="s">
        <v>1656</v>
      </c>
      <c r="C473">
        <v>760172890</v>
      </c>
      <c r="D473">
        <f t="shared" si="7"/>
        <v>760172890</v>
      </c>
      <c r="E473" t="s">
        <v>1122</v>
      </c>
      <c r="F473">
        <f>G473-SUMIFS('Sold out'!K:K,'Sold out'!I:I,'Main Stock'!C473)+SUMIFS('Receiving '!G:G,'Receiving '!E:E,'Main Stock'!C473)</f>
        <v>0</v>
      </c>
      <c r="G473">
        <v>0</v>
      </c>
    </row>
    <row r="474" spans="1:9" x14ac:dyDescent="0.2">
      <c r="A474" t="s">
        <v>4711</v>
      </c>
      <c r="B474" t="s">
        <v>1656</v>
      </c>
      <c r="C474" t="s">
        <v>1123</v>
      </c>
      <c r="D474" t="str">
        <f t="shared" si="7"/>
        <v>FJXMPMPAD-MBF135</v>
      </c>
      <c r="E474" t="s">
        <v>857</v>
      </c>
      <c r="F474">
        <f>G474-SUMIFS('Sold out'!K:K,'Sold out'!I:I,'Main Stock'!C474)+SUMIFS('Receiving '!G:G,'Receiving '!E:E,'Main Stock'!C474)</f>
        <v>0</v>
      </c>
      <c r="G474">
        <v>0</v>
      </c>
    </row>
    <row r="475" spans="1:9" x14ac:dyDescent="0.2">
      <c r="A475" t="s">
        <v>4711</v>
      </c>
      <c r="B475" t="s">
        <v>1656</v>
      </c>
      <c r="C475" t="s">
        <v>1124</v>
      </c>
      <c r="D475" t="str">
        <f t="shared" si="7"/>
        <v>NPC6ASZDB-RD003M</v>
      </c>
      <c r="E475" t="s">
        <v>1125</v>
      </c>
      <c r="F475">
        <f>G475-SUMIFS('Sold out'!K:K,'Sold out'!I:I,'Main Stock'!C475)+SUMIFS('Receiving '!G:G,'Receiving '!E:E,'Main Stock'!C475)</f>
        <v>15</v>
      </c>
      <c r="G475">
        <v>15</v>
      </c>
      <c r="H475" t="s">
        <v>1301</v>
      </c>
    </row>
    <row r="476" spans="1:9" x14ac:dyDescent="0.2">
      <c r="A476" t="s">
        <v>4711</v>
      </c>
      <c r="B476" t="s">
        <v>1656</v>
      </c>
      <c r="C476" t="s">
        <v>1126</v>
      </c>
      <c r="D476" t="str">
        <f t="shared" si="7"/>
        <v>NPC6ASZDB-YL003M</v>
      </c>
      <c r="E476" t="s">
        <v>1127</v>
      </c>
      <c r="F476">
        <f>G476-SUMIFS('Sold out'!K:K,'Sold out'!I:I,'Main Stock'!C476)+SUMIFS('Receiving '!G:G,'Receiving '!E:E,'Main Stock'!C476)</f>
        <v>15</v>
      </c>
      <c r="G476">
        <v>15</v>
      </c>
      <c r="H476" t="s">
        <v>1289</v>
      </c>
    </row>
    <row r="477" spans="1:9" x14ac:dyDescent="0.2">
      <c r="A477" t="s">
        <v>4711</v>
      </c>
      <c r="B477" t="s">
        <v>1656</v>
      </c>
      <c r="C477" t="s">
        <v>1128</v>
      </c>
      <c r="D477" t="str">
        <f t="shared" si="7"/>
        <v>NPC6ASZDB-GN003M</v>
      </c>
      <c r="E477" t="s">
        <v>1129</v>
      </c>
      <c r="F477">
        <f>G477-SUMIFS('Sold out'!K:K,'Sold out'!I:I,'Main Stock'!C477)+SUMIFS('Receiving '!G:G,'Receiving '!E:E,'Main Stock'!C477)</f>
        <v>15</v>
      </c>
      <c r="G477">
        <v>15</v>
      </c>
      <c r="H477" t="s">
        <v>1377</v>
      </c>
    </row>
    <row r="478" spans="1:9" ht="16" x14ac:dyDescent="0.2">
      <c r="A478" t="s">
        <v>4711</v>
      </c>
      <c r="B478" t="s">
        <v>1656</v>
      </c>
      <c r="C478" t="s">
        <v>1130</v>
      </c>
      <c r="D478" t="str">
        <f t="shared" si="7"/>
        <v>860646619/DB</v>
      </c>
      <c r="E478" t="s">
        <v>1131</v>
      </c>
      <c r="F478">
        <f>G478-SUMIFS('Sold out'!K:K,'Sold out'!I:I,'Main Stock'!C478)+SUMIFS('Receiving '!G:G,'Receiving '!E:E,'Main Stock'!C478)</f>
        <v>1079</v>
      </c>
      <c r="G478">
        <v>1079</v>
      </c>
      <c r="H478">
        <v>0</v>
      </c>
      <c r="I478" s="34" t="s">
        <v>1414</v>
      </c>
    </row>
    <row r="479" spans="1:9" x14ac:dyDescent="0.2">
      <c r="A479" t="s">
        <v>4711</v>
      </c>
      <c r="B479" t="s">
        <v>1656</v>
      </c>
      <c r="C479" t="s">
        <v>1132</v>
      </c>
      <c r="D479" t="str">
        <f t="shared" si="7"/>
        <v>760072942</v>
      </c>
      <c r="E479" t="s">
        <v>1133</v>
      </c>
      <c r="F479">
        <f>G479-SUMIFS('Sold out'!K:K,'Sold out'!I:I,'Main Stock'!C479)+SUMIFS('Receiving '!G:G,'Receiving '!E:E,'Main Stock'!C479)</f>
        <v>0</v>
      </c>
      <c r="G479">
        <v>0</v>
      </c>
    </row>
    <row r="480" spans="1:9" x14ac:dyDescent="0.2">
      <c r="A480" t="s">
        <v>4711</v>
      </c>
      <c r="B480" t="s">
        <v>1656</v>
      </c>
      <c r="C480" t="s">
        <v>1134</v>
      </c>
      <c r="D480" t="str">
        <f t="shared" si="7"/>
        <v>760227314</v>
      </c>
      <c r="E480" t="s">
        <v>1135</v>
      </c>
      <c r="F480">
        <f>G480-SUMIFS('Sold out'!K:K,'Sold out'!I:I,'Main Stock'!C480)+SUMIFS('Receiving '!G:G,'Receiving '!E:E,'Main Stock'!C480)</f>
        <v>0</v>
      </c>
      <c r="G480">
        <v>0</v>
      </c>
    </row>
    <row r="481" spans="1:7" x14ac:dyDescent="0.2">
      <c r="A481" t="s">
        <v>4711</v>
      </c>
      <c r="B481" t="s">
        <v>1656</v>
      </c>
      <c r="C481" t="s">
        <v>1136</v>
      </c>
      <c r="D481" t="str">
        <f t="shared" si="7"/>
        <v>760209940</v>
      </c>
      <c r="E481" t="s">
        <v>1137</v>
      </c>
      <c r="F481">
        <f>G481-SUMIFS('Sold out'!K:K,'Sold out'!I:I,'Main Stock'!C481)+SUMIFS('Receiving '!G:G,'Receiving '!E:E,'Main Stock'!C481)</f>
        <v>0</v>
      </c>
      <c r="G481">
        <v>0</v>
      </c>
    </row>
    <row r="482" spans="1:7" x14ac:dyDescent="0.2">
      <c r="A482" t="s">
        <v>4711</v>
      </c>
      <c r="B482" t="s">
        <v>1656</v>
      </c>
      <c r="C482" t="s">
        <v>1138</v>
      </c>
      <c r="D482" t="str">
        <f t="shared" si="7"/>
        <v>CO199K2-08F003</v>
      </c>
      <c r="E482" t="s">
        <v>1139</v>
      </c>
      <c r="F482">
        <f>G482-SUMIFS('Sold out'!K:K,'Sold out'!I:I,'Main Stock'!C482)+SUMIFS('Receiving '!G:G,'Receiving '!E:E,'Main Stock'!C482)</f>
        <v>0</v>
      </c>
      <c r="G482">
        <v>0</v>
      </c>
    </row>
    <row r="483" spans="1:7" x14ac:dyDescent="0.2">
      <c r="A483" t="s">
        <v>4711</v>
      </c>
      <c r="B483" t="s">
        <v>1656</v>
      </c>
      <c r="C483" t="s">
        <v>1140</v>
      </c>
      <c r="D483" t="str">
        <f t="shared" si="7"/>
        <v>CO199K2-08F005</v>
      </c>
      <c r="E483" t="s">
        <v>1141</v>
      </c>
      <c r="F483">
        <f>G483-SUMIFS('Sold out'!K:K,'Sold out'!I:I,'Main Stock'!C483)+SUMIFS('Receiving '!G:G,'Receiving '!E:E,'Main Stock'!C483)</f>
        <v>0</v>
      </c>
      <c r="G483">
        <v>0</v>
      </c>
    </row>
    <row r="484" spans="1:7" x14ac:dyDescent="0.2">
      <c r="A484" t="s">
        <v>4711</v>
      </c>
      <c r="B484" t="s">
        <v>1656</v>
      </c>
      <c r="C484" t="s">
        <v>1142</v>
      </c>
      <c r="D484" t="str">
        <f t="shared" si="7"/>
        <v>CO199K2-08F007</v>
      </c>
      <c r="E484" t="s">
        <v>1143</v>
      </c>
      <c r="F484">
        <f>G484-SUMIFS('Sold out'!K:K,'Sold out'!I:I,'Main Stock'!C484)+SUMIFS('Receiving '!G:G,'Receiving '!E:E,'Main Stock'!C484)</f>
        <v>0</v>
      </c>
      <c r="G484">
        <v>0</v>
      </c>
    </row>
    <row r="485" spans="1:7" x14ac:dyDescent="0.2">
      <c r="A485" t="s">
        <v>4711</v>
      </c>
      <c r="B485" t="s">
        <v>1656</v>
      </c>
      <c r="C485" t="s">
        <v>1144</v>
      </c>
      <c r="D485" t="str">
        <f t="shared" si="7"/>
        <v>CO199K2-08F016</v>
      </c>
      <c r="E485" t="s">
        <v>1145</v>
      </c>
      <c r="F485">
        <f>G485-SUMIFS('Sold out'!K:K,'Sold out'!I:I,'Main Stock'!C485)+SUMIFS('Receiving '!G:G,'Receiving '!E:E,'Main Stock'!C485)</f>
        <v>0</v>
      </c>
      <c r="G485">
        <v>0</v>
      </c>
    </row>
    <row r="486" spans="1:7" x14ac:dyDescent="0.2">
      <c r="A486" t="s">
        <v>4711</v>
      </c>
      <c r="B486" t="s">
        <v>1656</v>
      </c>
      <c r="C486" t="s">
        <v>1146</v>
      </c>
      <c r="D486" t="str">
        <f t="shared" si="7"/>
        <v>760236118</v>
      </c>
      <c r="E486" t="s">
        <v>1147</v>
      </c>
      <c r="F486">
        <f>G486-SUMIFS('Sold out'!K:K,'Sold out'!I:I,'Main Stock'!C486)+SUMIFS('Receiving '!G:G,'Receiving '!E:E,'Main Stock'!C486)</f>
        <v>0</v>
      </c>
      <c r="G486">
        <v>0</v>
      </c>
    </row>
    <row r="487" spans="1:7" x14ac:dyDescent="0.2">
      <c r="A487" t="s">
        <v>4711</v>
      </c>
      <c r="B487" t="s">
        <v>1656</v>
      </c>
      <c r="C487" t="s">
        <v>1148</v>
      </c>
      <c r="D487" t="str">
        <f t="shared" si="7"/>
        <v>CCRRD-11HA0CF025</v>
      </c>
      <c r="E487" t="s">
        <v>1149</v>
      </c>
      <c r="F487">
        <f>G487-SUMIFS('Sold out'!K:K,'Sold out'!I:I,'Main Stock'!C487)+SUMIFS('Receiving '!G:G,'Receiving '!E:E,'Main Stock'!C487)</f>
        <v>0</v>
      </c>
      <c r="G487">
        <v>0</v>
      </c>
    </row>
    <row r="488" spans="1:7" x14ac:dyDescent="0.2">
      <c r="A488" t="s">
        <v>4711</v>
      </c>
      <c r="B488" t="s">
        <v>1656</v>
      </c>
      <c r="C488" t="s">
        <v>1150</v>
      </c>
      <c r="D488" t="str">
        <f t="shared" si="7"/>
        <v>CCRRD-11HA0CF035</v>
      </c>
      <c r="E488" t="s">
        <v>1149</v>
      </c>
      <c r="F488">
        <f>G488-SUMIFS('Sold out'!K:K,'Sold out'!I:I,'Main Stock'!C488)+SUMIFS('Receiving '!G:G,'Receiving '!E:E,'Main Stock'!C488)</f>
        <v>0</v>
      </c>
      <c r="G488">
        <v>0</v>
      </c>
    </row>
    <row r="489" spans="1:7" x14ac:dyDescent="0.2">
      <c r="A489" t="s">
        <v>4711</v>
      </c>
      <c r="B489" t="s">
        <v>1656</v>
      </c>
      <c r="C489" t="s">
        <v>1151</v>
      </c>
      <c r="D489" t="str">
        <f t="shared" si="7"/>
        <v>CCRRD-11HA0CF045</v>
      </c>
      <c r="E489" t="s">
        <v>1149</v>
      </c>
      <c r="F489">
        <f>G489-SUMIFS('Sold out'!K:K,'Sold out'!I:I,'Main Stock'!C489)+SUMIFS('Receiving '!G:G,'Receiving '!E:E,'Main Stock'!C489)</f>
        <v>0</v>
      </c>
      <c r="G489">
        <v>0</v>
      </c>
    </row>
    <row r="490" spans="1:7" x14ac:dyDescent="0.2">
      <c r="A490" t="s">
        <v>4711</v>
      </c>
      <c r="B490" t="s">
        <v>1656</v>
      </c>
      <c r="C490" t="s">
        <v>1152</v>
      </c>
      <c r="D490" t="str">
        <f t="shared" si="7"/>
        <v>CCRRD-11HA0CF055</v>
      </c>
      <c r="E490" t="s">
        <v>1149</v>
      </c>
      <c r="F490">
        <f>G490-SUMIFS('Sold out'!K:K,'Sold out'!I:I,'Main Stock'!C490)+SUMIFS('Receiving '!G:G,'Receiving '!E:E,'Main Stock'!C490)</f>
        <v>0</v>
      </c>
      <c r="G490">
        <v>0</v>
      </c>
    </row>
    <row r="491" spans="1:7" x14ac:dyDescent="0.2">
      <c r="A491" t="s">
        <v>4711</v>
      </c>
      <c r="B491" t="s">
        <v>1656</v>
      </c>
      <c r="C491" t="s">
        <v>1153</v>
      </c>
      <c r="D491" t="str">
        <f t="shared" si="7"/>
        <v>CCRRD-11HA0CF080</v>
      </c>
      <c r="E491" t="s">
        <v>1149</v>
      </c>
      <c r="F491">
        <f>G491-SUMIFS('Sold out'!K:K,'Sold out'!I:I,'Main Stock'!C491)+SUMIFS('Receiving '!G:G,'Receiving '!E:E,'Main Stock'!C491)</f>
        <v>0</v>
      </c>
      <c r="G491">
        <v>0</v>
      </c>
    </row>
    <row r="492" spans="1:7" x14ac:dyDescent="0.2">
      <c r="A492" t="s">
        <v>4711</v>
      </c>
      <c r="B492" t="s">
        <v>1656</v>
      </c>
      <c r="C492" t="s">
        <v>1154</v>
      </c>
      <c r="D492" t="str">
        <f t="shared" si="7"/>
        <v>CCRRD-11HA0CF065</v>
      </c>
      <c r="E492" t="s">
        <v>1149</v>
      </c>
      <c r="F492">
        <f>G492-SUMIFS('Sold out'!K:K,'Sold out'!I:I,'Main Stock'!C492)+SUMIFS('Receiving '!G:G,'Receiving '!E:E,'Main Stock'!C492)</f>
        <v>0</v>
      </c>
      <c r="G492">
        <v>0</v>
      </c>
    </row>
    <row r="493" spans="1:7" x14ac:dyDescent="0.2">
      <c r="A493" t="s">
        <v>4711</v>
      </c>
      <c r="B493" t="s">
        <v>1656</v>
      </c>
      <c r="C493" t="s">
        <v>1155</v>
      </c>
      <c r="D493" t="str">
        <f t="shared" si="7"/>
        <v>CCRRD-11HA0CF075</v>
      </c>
      <c r="E493" t="s">
        <v>1149</v>
      </c>
      <c r="F493">
        <f>G493-SUMIFS('Sold out'!K:K,'Sold out'!I:I,'Main Stock'!C493)+SUMIFS('Receiving '!G:G,'Receiving '!E:E,'Main Stock'!C493)</f>
        <v>0</v>
      </c>
      <c r="G493">
        <v>0</v>
      </c>
    </row>
    <row r="494" spans="1:7" x14ac:dyDescent="0.2">
      <c r="A494" t="s">
        <v>4711</v>
      </c>
      <c r="B494" t="s">
        <v>1656</v>
      </c>
      <c r="C494" t="s">
        <v>1156</v>
      </c>
      <c r="D494" t="str">
        <f t="shared" si="7"/>
        <v>CCRRD-11HA0CF070</v>
      </c>
      <c r="E494" t="s">
        <v>1149</v>
      </c>
      <c r="F494">
        <f>G494-SUMIFS('Sold out'!K:K,'Sold out'!I:I,'Main Stock'!C494)+SUMIFS('Receiving '!G:G,'Receiving '!E:E,'Main Stock'!C494)</f>
        <v>0</v>
      </c>
      <c r="G494">
        <v>0</v>
      </c>
    </row>
    <row r="495" spans="1:7" x14ac:dyDescent="0.2">
      <c r="A495" t="s">
        <v>4711</v>
      </c>
      <c r="B495" t="s">
        <v>1656</v>
      </c>
      <c r="C495" t="s">
        <v>1157</v>
      </c>
      <c r="D495" t="str">
        <f t="shared" si="7"/>
        <v>760031856</v>
      </c>
      <c r="E495" t="s">
        <v>1158</v>
      </c>
      <c r="F495">
        <f>G495-SUMIFS('Sold out'!K:K,'Sold out'!I:I,'Main Stock'!C495)+SUMIFS('Receiving '!G:G,'Receiving '!E:E,'Main Stock'!C495)</f>
        <v>0</v>
      </c>
      <c r="G495">
        <v>0</v>
      </c>
    </row>
    <row r="496" spans="1:7" x14ac:dyDescent="0.2">
      <c r="A496" t="s">
        <v>4711</v>
      </c>
      <c r="B496" t="s">
        <v>1656</v>
      </c>
      <c r="C496" t="s">
        <v>1159</v>
      </c>
      <c r="D496" t="str">
        <f t="shared" si="7"/>
        <v>760193854</v>
      </c>
      <c r="E496" t="s">
        <v>1160</v>
      </c>
      <c r="F496">
        <f>G496-SUMIFS('Sold out'!K:K,'Sold out'!I:I,'Main Stock'!C496)+SUMIFS('Receiving '!G:G,'Receiving '!E:E,'Main Stock'!C496)</f>
        <v>0</v>
      </c>
      <c r="G496">
        <v>0</v>
      </c>
    </row>
    <row r="497" spans="1:7" x14ac:dyDescent="0.2">
      <c r="A497" t="s">
        <v>4711</v>
      </c>
      <c r="B497" t="s">
        <v>1656</v>
      </c>
      <c r="C497" t="s">
        <v>1161</v>
      </c>
      <c r="D497" t="str">
        <f t="shared" si="7"/>
        <v>FFWLALA21-JXF003</v>
      </c>
      <c r="E497" t="s">
        <v>1162</v>
      </c>
      <c r="F497">
        <f>G497-SUMIFS('Sold out'!K:K,'Sold out'!I:I,'Main Stock'!C497)+SUMIFS('Receiving '!G:G,'Receiving '!E:E,'Main Stock'!C497)</f>
        <v>0</v>
      </c>
      <c r="G497">
        <v>0</v>
      </c>
    </row>
    <row r="498" spans="1:7" x14ac:dyDescent="0.2">
      <c r="A498" t="s">
        <v>4711</v>
      </c>
      <c r="B498" t="s">
        <v>1656</v>
      </c>
      <c r="C498" t="s">
        <v>1163</v>
      </c>
      <c r="D498" t="str">
        <f t="shared" si="7"/>
        <v>CCRRD-11HA0CF020</v>
      </c>
      <c r="E498" t="s">
        <v>1149</v>
      </c>
      <c r="F498">
        <f>G498-SUMIFS('Sold out'!K:K,'Sold out'!I:I,'Main Stock'!C498)+SUMIFS('Receiving '!G:G,'Receiving '!E:E,'Main Stock'!C498)</f>
        <v>0</v>
      </c>
      <c r="G498">
        <v>0</v>
      </c>
    </row>
    <row r="499" spans="1:7" x14ac:dyDescent="0.2">
      <c r="A499" t="s">
        <v>4711</v>
      </c>
      <c r="B499" t="s">
        <v>1656</v>
      </c>
      <c r="C499" t="s">
        <v>1164</v>
      </c>
      <c r="D499" t="str">
        <f t="shared" si="7"/>
        <v>CCRRD-11HA0CF030</v>
      </c>
      <c r="E499" t="s">
        <v>1164</v>
      </c>
      <c r="F499">
        <f>G499-SUMIFS('Sold out'!K:K,'Sold out'!I:I,'Main Stock'!C499)+SUMIFS('Receiving '!G:G,'Receiving '!E:E,'Main Stock'!C499)</f>
        <v>0</v>
      </c>
      <c r="G499">
        <v>0</v>
      </c>
    </row>
    <row r="500" spans="1:7" x14ac:dyDescent="0.2">
      <c r="A500" t="s">
        <v>4711</v>
      </c>
      <c r="B500" t="s">
        <v>1656</v>
      </c>
      <c r="C500" t="s">
        <v>1165</v>
      </c>
      <c r="D500" t="str">
        <f t="shared" si="7"/>
        <v>CCRRD-11HA0CF040</v>
      </c>
      <c r="E500" t="s">
        <v>1149</v>
      </c>
      <c r="F500">
        <f>G500-SUMIFS('Sold out'!K:K,'Sold out'!I:I,'Main Stock'!C500)+SUMIFS('Receiving '!G:G,'Receiving '!E:E,'Main Stock'!C500)</f>
        <v>0</v>
      </c>
      <c r="G500">
        <v>0</v>
      </c>
    </row>
    <row r="501" spans="1:7" x14ac:dyDescent="0.2">
      <c r="A501" t="s">
        <v>4711</v>
      </c>
      <c r="B501" t="s">
        <v>1656</v>
      </c>
      <c r="C501" t="s">
        <v>1166</v>
      </c>
      <c r="D501" t="str">
        <f t="shared" si="7"/>
        <v>CCRRD-11HA0CF050</v>
      </c>
      <c r="E501" t="s">
        <v>1149</v>
      </c>
      <c r="F501">
        <f>G501-SUMIFS('Sold out'!K:K,'Sold out'!I:I,'Main Stock'!C501)+SUMIFS('Receiving '!G:G,'Receiving '!E:E,'Main Stock'!C501)</f>
        <v>0</v>
      </c>
      <c r="G501">
        <v>0</v>
      </c>
    </row>
    <row r="502" spans="1:7" x14ac:dyDescent="0.2">
      <c r="A502" t="s">
        <v>4711</v>
      </c>
      <c r="B502" t="s">
        <v>1656</v>
      </c>
      <c r="C502" t="s">
        <v>1167</v>
      </c>
      <c r="D502" t="str">
        <f t="shared" si="7"/>
        <v>CCRRD-11HA0CF060</v>
      </c>
      <c r="E502" t="s">
        <v>1149</v>
      </c>
      <c r="F502">
        <f>G502-SUMIFS('Sold out'!K:K,'Sold out'!I:I,'Main Stock'!C502)+SUMIFS('Receiving '!G:G,'Receiving '!E:E,'Main Stock'!C502)</f>
        <v>0</v>
      </c>
      <c r="G502">
        <v>0</v>
      </c>
    </row>
    <row r="503" spans="1:7" x14ac:dyDescent="0.2">
      <c r="A503" t="s">
        <v>4711</v>
      </c>
      <c r="B503" t="s">
        <v>1656</v>
      </c>
      <c r="C503" t="s">
        <v>1168</v>
      </c>
      <c r="D503" t="str">
        <f t="shared" si="7"/>
        <v>760152785</v>
      </c>
      <c r="E503" t="s">
        <v>1169</v>
      </c>
      <c r="F503">
        <f>G503-SUMIFS('Sold out'!K:K,'Sold out'!I:I,'Main Stock'!C503)+SUMIFS('Receiving '!G:G,'Receiving '!E:E,'Main Stock'!C503)</f>
        <v>0</v>
      </c>
      <c r="G503">
        <v>0</v>
      </c>
    </row>
    <row r="504" spans="1:7" x14ac:dyDescent="0.2">
      <c r="A504" t="s">
        <v>4711</v>
      </c>
      <c r="B504" t="s">
        <v>1656</v>
      </c>
      <c r="C504" t="s">
        <v>1170</v>
      </c>
      <c r="D504" t="str">
        <f t="shared" si="7"/>
        <v>UJXMXMXAF-MBF020</v>
      </c>
      <c r="E504" t="s">
        <v>1171</v>
      </c>
      <c r="F504">
        <f>G504-SUMIFS('Sold out'!K:K,'Sold out'!I:I,'Main Stock'!C504)+SUMIFS('Receiving '!G:G,'Receiving '!E:E,'Main Stock'!C504)</f>
        <v>0</v>
      </c>
      <c r="G504">
        <v>0</v>
      </c>
    </row>
    <row r="505" spans="1:7" x14ac:dyDescent="0.2">
      <c r="A505" t="s">
        <v>4711</v>
      </c>
      <c r="B505" t="s">
        <v>1656</v>
      </c>
      <c r="C505" t="s">
        <v>1172</v>
      </c>
      <c r="D505" t="str">
        <f t="shared" si="7"/>
        <v>UJXMXMXAF-MBF025</v>
      </c>
      <c r="E505" t="s">
        <v>1171</v>
      </c>
      <c r="F505">
        <f>G505-SUMIFS('Sold out'!K:K,'Sold out'!I:I,'Main Stock'!C505)+SUMIFS('Receiving '!G:G,'Receiving '!E:E,'Main Stock'!C505)</f>
        <v>0</v>
      </c>
      <c r="G505">
        <v>0</v>
      </c>
    </row>
    <row r="506" spans="1:7" x14ac:dyDescent="0.2">
      <c r="A506" t="s">
        <v>4711</v>
      </c>
      <c r="B506" t="s">
        <v>1656</v>
      </c>
      <c r="C506" t="s">
        <v>1173</v>
      </c>
      <c r="D506" t="str">
        <f t="shared" si="7"/>
        <v>UJXMXMXAF-MBF030</v>
      </c>
      <c r="E506" t="s">
        <v>1171</v>
      </c>
      <c r="F506">
        <f>G506-SUMIFS('Sold out'!K:K,'Sold out'!I:I,'Main Stock'!C506)+SUMIFS('Receiving '!G:G,'Receiving '!E:E,'Main Stock'!C506)</f>
        <v>0</v>
      </c>
      <c r="G506">
        <v>0</v>
      </c>
    </row>
    <row r="507" spans="1:7" x14ac:dyDescent="0.2">
      <c r="A507" t="s">
        <v>4711</v>
      </c>
      <c r="B507" t="s">
        <v>1656</v>
      </c>
      <c r="C507" t="s">
        <v>1174</v>
      </c>
      <c r="D507" t="str">
        <f t="shared" si="7"/>
        <v>UJXMXMXAF-MBF035</v>
      </c>
      <c r="E507" t="s">
        <v>1171</v>
      </c>
      <c r="F507">
        <f>G507-SUMIFS('Sold out'!K:K,'Sold out'!I:I,'Main Stock'!C507)+SUMIFS('Receiving '!G:G,'Receiving '!E:E,'Main Stock'!C507)</f>
        <v>0</v>
      </c>
      <c r="G507">
        <v>0</v>
      </c>
    </row>
    <row r="508" spans="1:7" x14ac:dyDescent="0.2">
      <c r="A508" t="s">
        <v>4711</v>
      </c>
      <c r="B508" t="s">
        <v>1656</v>
      </c>
      <c r="C508" t="s">
        <v>1175</v>
      </c>
      <c r="D508" t="str">
        <f t="shared" si="7"/>
        <v>UJXMXMXAF-MBF040</v>
      </c>
      <c r="E508" t="s">
        <v>1171</v>
      </c>
      <c r="F508">
        <f>G508-SUMIFS('Sold out'!K:K,'Sold out'!I:I,'Main Stock'!C508)+SUMIFS('Receiving '!G:G,'Receiving '!E:E,'Main Stock'!C508)</f>
        <v>0</v>
      </c>
      <c r="G508">
        <v>0</v>
      </c>
    </row>
    <row r="509" spans="1:7" x14ac:dyDescent="0.2">
      <c r="A509" t="s">
        <v>4711</v>
      </c>
      <c r="B509" t="s">
        <v>1656</v>
      </c>
      <c r="C509" t="s">
        <v>1176</v>
      </c>
      <c r="D509" t="str">
        <f t="shared" si="7"/>
        <v>UJXMXMXAF-MBF045</v>
      </c>
      <c r="E509" t="s">
        <v>1171</v>
      </c>
      <c r="F509">
        <f>G509-SUMIFS('Sold out'!K:K,'Sold out'!I:I,'Main Stock'!C509)+SUMIFS('Receiving '!G:G,'Receiving '!E:E,'Main Stock'!C509)</f>
        <v>0</v>
      </c>
      <c r="G509">
        <v>0</v>
      </c>
    </row>
    <row r="510" spans="1:7" x14ac:dyDescent="0.2">
      <c r="A510" t="s">
        <v>4711</v>
      </c>
      <c r="B510" t="s">
        <v>1656</v>
      </c>
      <c r="C510" t="s">
        <v>1177</v>
      </c>
      <c r="D510" t="str">
        <f t="shared" si="7"/>
        <v>UJXMXMXAF-MBF050</v>
      </c>
      <c r="E510" t="s">
        <v>1171</v>
      </c>
      <c r="F510">
        <f>G510-SUMIFS('Sold out'!K:K,'Sold out'!I:I,'Main Stock'!C510)+SUMIFS('Receiving '!G:G,'Receiving '!E:E,'Main Stock'!C510)</f>
        <v>0</v>
      </c>
      <c r="G510">
        <v>0</v>
      </c>
    </row>
    <row r="511" spans="1:7" x14ac:dyDescent="0.2">
      <c r="A511" t="s">
        <v>4711</v>
      </c>
      <c r="B511" t="s">
        <v>1656</v>
      </c>
      <c r="C511" t="s">
        <v>1178</v>
      </c>
      <c r="D511" t="str">
        <f t="shared" si="7"/>
        <v>UJXMXMXAF-MBF055</v>
      </c>
      <c r="E511" t="s">
        <v>1171</v>
      </c>
      <c r="F511">
        <f>G511-SUMIFS('Sold out'!K:K,'Sold out'!I:I,'Main Stock'!C511)+SUMIFS('Receiving '!G:G,'Receiving '!E:E,'Main Stock'!C511)</f>
        <v>0</v>
      </c>
      <c r="G511">
        <v>0</v>
      </c>
    </row>
    <row r="512" spans="1:7" x14ac:dyDescent="0.2">
      <c r="A512" t="s">
        <v>4711</v>
      </c>
      <c r="B512" t="s">
        <v>1656</v>
      </c>
      <c r="C512" t="s">
        <v>1179</v>
      </c>
      <c r="D512" t="str">
        <f t="shared" si="7"/>
        <v>UJXMXMXAF-MBF060</v>
      </c>
      <c r="E512" t="s">
        <v>1171</v>
      </c>
      <c r="F512">
        <f>G512-SUMIFS('Sold out'!K:K,'Sold out'!I:I,'Main Stock'!C512)+SUMIFS('Receiving '!G:G,'Receiving '!E:E,'Main Stock'!C512)</f>
        <v>0</v>
      </c>
      <c r="G512">
        <v>0</v>
      </c>
    </row>
    <row r="513" spans="1:9" x14ac:dyDescent="0.2">
      <c r="A513" t="s">
        <v>4711</v>
      </c>
      <c r="B513" t="s">
        <v>1656</v>
      </c>
      <c r="C513" t="s">
        <v>1180</v>
      </c>
      <c r="D513" t="str">
        <f t="shared" si="7"/>
        <v>UJXMXMXAF-MBF080</v>
      </c>
      <c r="E513" t="s">
        <v>1171</v>
      </c>
      <c r="F513">
        <f>G513-SUMIFS('Sold out'!K:K,'Sold out'!I:I,'Main Stock'!C513)+SUMIFS('Receiving '!G:G,'Receiving '!E:E,'Main Stock'!C513)</f>
        <v>0</v>
      </c>
      <c r="G513">
        <v>0</v>
      </c>
    </row>
    <row r="514" spans="1:9" x14ac:dyDescent="0.2">
      <c r="A514" t="s">
        <v>4711</v>
      </c>
      <c r="B514" t="s">
        <v>1656</v>
      </c>
      <c r="C514" t="s">
        <v>1181</v>
      </c>
      <c r="D514" t="str">
        <f t="shared" si="7"/>
        <v>UJXMXMXAF-MBF065</v>
      </c>
      <c r="E514" t="s">
        <v>1171</v>
      </c>
      <c r="F514">
        <f>G514-SUMIFS('Sold out'!K:K,'Sold out'!I:I,'Main Stock'!C514)+SUMIFS('Receiving '!G:G,'Receiving '!E:E,'Main Stock'!C514)</f>
        <v>0</v>
      </c>
      <c r="G514">
        <v>0</v>
      </c>
    </row>
    <row r="515" spans="1:9" x14ac:dyDescent="0.2">
      <c r="A515" t="s">
        <v>4711</v>
      </c>
      <c r="B515" t="s">
        <v>1656</v>
      </c>
      <c r="C515" t="s">
        <v>1182</v>
      </c>
      <c r="D515" t="str">
        <f t="shared" ref="D515:D565" si="8">C515</f>
        <v>UJXMXMXAF-MBF075</v>
      </c>
      <c r="E515" t="s">
        <v>1171</v>
      </c>
      <c r="F515">
        <f>G515-SUMIFS('Sold out'!K:K,'Sold out'!I:I,'Main Stock'!C515)+SUMIFS('Receiving '!G:G,'Receiving '!E:E,'Main Stock'!C515)</f>
        <v>0</v>
      </c>
      <c r="G515">
        <v>0</v>
      </c>
    </row>
    <row r="516" spans="1:9" x14ac:dyDescent="0.2">
      <c r="A516" t="s">
        <v>4711</v>
      </c>
      <c r="B516" t="s">
        <v>1656</v>
      </c>
      <c r="C516" t="s">
        <v>1183</v>
      </c>
      <c r="D516" t="str">
        <f t="shared" si="8"/>
        <v>UJXMXMXAF-MBF070</v>
      </c>
      <c r="E516" t="s">
        <v>1171</v>
      </c>
      <c r="F516">
        <f>G516-SUMIFS('Sold out'!K:K,'Sold out'!I:I,'Main Stock'!C516)+SUMIFS('Receiving '!G:G,'Receiving '!E:E,'Main Stock'!C516)</f>
        <v>0</v>
      </c>
      <c r="G516">
        <v>0</v>
      </c>
    </row>
    <row r="517" spans="1:9" x14ac:dyDescent="0.2">
      <c r="A517" t="s">
        <v>4711</v>
      </c>
      <c r="B517" t="s">
        <v>1656</v>
      </c>
      <c r="C517" t="s">
        <v>1184</v>
      </c>
      <c r="D517" t="str">
        <f t="shared" si="8"/>
        <v>FGS-MH4E-H-VS</v>
      </c>
      <c r="E517" t="s">
        <v>1185</v>
      </c>
      <c r="F517">
        <f>G517-SUMIFS('Sold out'!K:K,'Sold out'!I:I,'Main Stock'!C517)+SUMIFS('Receiving '!G:G,'Receiving '!E:E,'Main Stock'!C517)</f>
        <v>0</v>
      </c>
      <c r="G517">
        <v>0</v>
      </c>
    </row>
    <row r="518" spans="1:9" x14ac:dyDescent="0.2">
      <c r="A518" t="s">
        <v>4711</v>
      </c>
      <c r="B518" t="s">
        <v>1656</v>
      </c>
      <c r="C518" t="s">
        <v>1186</v>
      </c>
      <c r="D518" t="str">
        <f t="shared" si="8"/>
        <v>FGS-HTHR-5/8-72</v>
      </c>
      <c r="E518" t="s">
        <v>1187</v>
      </c>
      <c r="F518">
        <f>G518-SUMIFS('Sold out'!K:K,'Sold out'!I:I,'Main Stock'!C518)+SUMIFS('Receiving '!G:G,'Receiving '!E:E,'Main Stock'!C518)</f>
        <v>0</v>
      </c>
      <c r="G518">
        <v>0</v>
      </c>
    </row>
    <row r="519" spans="1:9" x14ac:dyDescent="0.2">
      <c r="A519" t="s">
        <v>4711</v>
      </c>
      <c r="B519" t="s">
        <v>1656</v>
      </c>
      <c r="C519" t="s">
        <v>1188</v>
      </c>
      <c r="D519" t="str">
        <f t="shared" si="8"/>
        <v>CO11192-01F002</v>
      </c>
      <c r="E519" t="s">
        <v>1189</v>
      </c>
      <c r="F519">
        <f>G519-SUMIFS('Sold out'!K:K,'Sold out'!I:I,'Main Stock'!C519)+SUMIFS('Receiving '!G:G,'Receiving '!E:E,'Main Stock'!C519)</f>
        <v>0</v>
      </c>
      <c r="G519">
        <v>0</v>
      </c>
    </row>
    <row r="520" spans="1:9" x14ac:dyDescent="0.2">
      <c r="A520" t="s">
        <v>4711</v>
      </c>
      <c r="B520" t="s">
        <v>1656</v>
      </c>
      <c r="C520" t="s">
        <v>1190</v>
      </c>
      <c r="D520" t="str">
        <f t="shared" si="8"/>
        <v>760244295</v>
      </c>
      <c r="E520" t="s">
        <v>1191</v>
      </c>
      <c r="F520">
        <f>G520-SUMIFS('Sold out'!K:K,'Sold out'!I:I,'Main Stock'!C520)+SUMIFS('Receiving '!G:G,'Receiving '!E:E,'Main Stock'!C520)</f>
        <v>0</v>
      </c>
      <c r="G520">
        <v>0</v>
      </c>
    </row>
    <row r="521" spans="1:9" x14ac:dyDescent="0.2">
      <c r="A521" t="s">
        <v>4711</v>
      </c>
      <c r="B521" t="s">
        <v>1656</v>
      </c>
      <c r="C521" t="s">
        <v>1192</v>
      </c>
      <c r="D521" t="str">
        <f t="shared" si="8"/>
        <v>FFWLASA21-JXF017</v>
      </c>
      <c r="E521" t="s">
        <v>1193</v>
      </c>
      <c r="F521">
        <f>G521-SUMIFS('Sold out'!K:K,'Sold out'!I:I,'Main Stock'!C521)+SUMIFS('Receiving '!G:G,'Receiving '!E:E,'Main Stock'!C521)</f>
        <v>2416</v>
      </c>
      <c r="G521">
        <v>2416</v>
      </c>
      <c r="H521" t="s">
        <v>1378</v>
      </c>
    </row>
    <row r="522" spans="1:9" x14ac:dyDescent="0.2">
      <c r="A522" t="s">
        <v>4711</v>
      </c>
      <c r="B522" t="s">
        <v>1656</v>
      </c>
      <c r="C522" t="s">
        <v>1194</v>
      </c>
      <c r="D522" t="str">
        <f t="shared" si="8"/>
        <v>FGS-KT03-A10F</v>
      </c>
      <c r="E522" t="s">
        <v>1195</v>
      </c>
      <c r="F522">
        <f>G522-SUMIFS('Sold out'!K:K,'Sold out'!I:I,'Main Stock'!C522)+SUMIFS('Receiving '!G:G,'Receiving '!E:E,'Main Stock'!C522)</f>
        <v>0</v>
      </c>
      <c r="G522">
        <v>0</v>
      </c>
    </row>
    <row r="523" spans="1:9" x14ac:dyDescent="0.2">
      <c r="A523" t="s">
        <v>4711</v>
      </c>
      <c r="B523" t="s">
        <v>1656</v>
      </c>
      <c r="C523" t="s">
        <v>1196</v>
      </c>
      <c r="D523" t="str">
        <f t="shared" si="8"/>
        <v>FFXLCLC42-MXF016</v>
      </c>
      <c r="E523" t="s">
        <v>1197</v>
      </c>
      <c r="F523">
        <f>G523-SUMIFS('Sold out'!K:K,'Sold out'!I:I,'Main Stock'!C523)+SUMIFS('Receiving '!G:G,'Receiving '!E:E,'Main Stock'!C523)</f>
        <v>0</v>
      </c>
      <c r="G523">
        <v>0</v>
      </c>
    </row>
    <row r="524" spans="1:9" x14ac:dyDescent="0.2">
      <c r="A524" t="s">
        <v>4711</v>
      </c>
      <c r="B524" t="s">
        <v>1656</v>
      </c>
      <c r="C524" t="s">
        <v>1198</v>
      </c>
      <c r="D524" t="str">
        <f t="shared" si="8"/>
        <v>CPC3392-03F020</v>
      </c>
      <c r="F524">
        <f>G524-SUMIFS('Sold out'!K:K,'Sold out'!I:I,'Main Stock'!C524)+SUMIFS('Receiving '!G:G,'Receiving '!E:E,'Main Stock'!C524)</f>
        <v>0</v>
      </c>
      <c r="G524">
        <v>0</v>
      </c>
    </row>
    <row r="525" spans="1:9" x14ac:dyDescent="0.2">
      <c r="A525" t="s">
        <v>4711</v>
      </c>
      <c r="B525" t="s">
        <v>1656</v>
      </c>
      <c r="C525" t="s">
        <v>1199</v>
      </c>
      <c r="D525" t="str">
        <f t="shared" si="8"/>
        <v>CPC3392-03F030</v>
      </c>
      <c r="F525">
        <f>G525-SUMIFS('Sold out'!K:K,'Sold out'!I:I,'Main Stock'!C525)+SUMIFS('Receiving '!G:G,'Receiving '!E:E,'Main Stock'!C525)</f>
        <v>0</v>
      </c>
      <c r="G525">
        <v>0</v>
      </c>
    </row>
    <row r="526" spans="1:9" x14ac:dyDescent="0.2">
      <c r="A526" t="s">
        <v>4711</v>
      </c>
      <c r="B526" t="s">
        <v>1656</v>
      </c>
      <c r="C526" t="s">
        <v>1200</v>
      </c>
      <c r="D526" t="str">
        <f t="shared" si="8"/>
        <v>CPCSSZ2-03F004</v>
      </c>
      <c r="E526" t="s">
        <v>667</v>
      </c>
      <c r="F526">
        <f>G526-SUMIFS('Sold out'!K:K,'Sold out'!I:I,'Main Stock'!C526)+SUMIFS('Receiving '!G:G,'Receiving '!E:E,'Main Stock'!C526)</f>
        <v>0</v>
      </c>
      <c r="G526">
        <v>0</v>
      </c>
    </row>
    <row r="527" spans="1:9" ht="48" x14ac:dyDescent="0.2">
      <c r="A527" t="s">
        <v>4711</v>
      </c>
      <c r="B527" t="s">
        <v>1656</v>
      </c>
      <c r="C527" t="s">
        <v>1201</v>
      </c>
      <c r="D527" t="str">
        <f t="shared" si="8"/>
        <v>760254805</v>
      </c>
      <c r="E527" t="s">
        <v>1202</v>
      </c>
      <c r="F527">
        <f>G527-SUMIFS('Sold out'!K:K,'Sold out'!I:I,'Main Stock'!C527)+SUMIFS('Receiving '!G:G,'Receiving '!E:E,'Main Stock'!C527)</f>
        <v>20484</v>
      </c>
      <c r="G527">
        <v>10242</v>
      </c>
      <c r="I527" s="34" t="s">
        <v>1415</v>
      </c>
    </row>
    <row r="528" spans="1:9" x14ac:dyDescent="0.2">
      <c r="A528" t="s">
        <v>4711</v>
      </c>
      <c r="B528" t="s">
        <v>1656</v>
      </c>
      <c r="C528" t="s">
        <v>1203</v>
      </c>
      <c r="D528" t="str">
        <f t="shared" si="8"/>
        <v>CA111K2-0ZF010</v>
      </c>
      <c r="E528" t="s">
        <v>1204</v>
      </c>
      <c r="F528">
        <f>G528-SUMIFS('Sold out'!K:K,'Sold out'!I:I,'Main Stock'!C528)+SUMIFS('Receiving '!G:G,'Receiving '!E:E,'Main Stock'!C528)</f>
        <v>0</v>
      </c>
      <c r="G528">
        <v>0</v>
      </c>
    </row>
    <row r="529" spans="1:9" x14ac:dyDescent="0.2">
      <c r="A529" t="s">
        <v>4711</v>
      </c>
      <c r="B529" t="s">
        <v>1656</v>
      </c>
      <c r="C529" t="s">
        <v>1205</v>
      </c>
      <c r="D529" t="str">
        <f t="shared" si="8"/>
        <v>760154252</v>
      </c>
      <c r="E529" t="s">
        <v>1206</v>
      </c>
      <c r="F529">
        <f>G529-SUMIFS('Sold out'!K:K,'Sold out'!I:I,'Main Stock'!C529)+SUMIFS('Receiving '!G:G,'Receiving '!E:E,'Main Stock'!C529)</f>
        <v>14</v>
      </c>
      <c r="G529">
        <v>14</v>
      </c>
      <c r="H529" t="s">
        <v>1366</v>
      </c>
    </row>
    <row r="530" spans="1:9" x14ac:dyDescent="0.2">
      <c r="A530" t="s">
        <v>4711</v>
      </c>
      <c r="B530" t="s">
        <v>1656</v>
      </c>
      <c r="C530" t="s">
        <v>1207</v>
      </c>
      <c r="D530" t="str">
        <f t="shared" si="8"/>
        <v>1933943-6</v>
      </c>
      <c r="E530" t="s">
        <v>1208</v>
      </c>
      <c r="F530">
        <f>G530-SUMIFS('Sold out'!K:K,'Sold out'!I:I,'Main Stock'!C530)+SUMIFS('Receiving '!G:G,'Receiving '!E:E,'Main Stock'!C530)</f>
        <v>4</v>
      </c>
      <c r="G530">
        <v>4</v>
      </c>
      <c r="H530" t="s">
        <v>1297</v>
      </c>
    </row>
    <row r="531" spans="1:9" x14ac:dyDescent="0.2">
      <c r="A531" t="s">
        <v>4711</v>
      </c>
      <c r="B531" t="s">
        <v>1656</v>
      </c>
      <c r="C531" t="s">
        <v>1209</v>
      </c>
      <c r="D531" t="str">
        <f t="shared" si="8"/>
        <v>760251046</v>
      </c>
      <c r="E531" t="s">
        <v>1210</v>
      </c>
      <c r="F531">
        <f>G531-SUMIFS('Sold out'!K:K,'Sold out'!I:I,'Main Stock'!C531)+SUMIFS('Receiving '!G:G,'Receiving '!E:E,'Main Stock'!C531)</f>
        <v>0</v>
      </c>
      <c r="G531">
        <v>0</v>
      </c>
    </row>
    <row r="532" spans="1:9" x14ac:dyDescent="0.2">
      <c r="A532" t="s">
        <v>4711</v>
      </c>
      <c r="B532" t="s">
        <v>1656</v>
      </c>
      <c r="C532" t="s">
        <v>1211</v>
      </c>
      <c r="D532" t="str">
        <f t="shared" si="8"/>
        <v>760248900</v>
      </c>
      <c r="E532" t="s">
        <v>1212</v>
      </c>
      <c r="F532">
        <f>G532-SUMIFS('Sold out'!K:K,'Sold out'!I:I,'Main Stock'!C532)+SUMIFS('Receiving '!G:G,'Receiving '!E:E,'Main Stock'!C532)</f>
        <v>0</v>
      </c>
      <c r="G532">
        <v>0</v>
      </c>
    </row>
    <row r="533" spans="1:9" x14ac:dyDescent="0.2">
      <c r="A533" t="s">
        <v>4711</v>
      </c>
      <c r="B533" t="s">
        <v>1656</v>
      </c>
      <c r="C533" t="s">
        <v>1213</v>
      </c>
      <c r="D533" t="str">
        <f t="shared" si="8"/>
        <v>760252669</v>
      </c>
      <c r="E533" t="s">
        <v>1214</v>
      </c>
      <c r="F533">
        <f>G533-SUMIFS('Sold out'!K:K,'Sold out'!I:I,'Main Stock'!C533)+SUMIFS('Receiving '!G:G,'Receiving '!E:E,'Main Stock'!C533)</f>
        <v>122</v>
      </c>
      <c r="G533">
        <v>122</v>
      </c>
      <c r="H533">
        <v>0</v>
      </c>
    </row>
    <row r="534" spans="1:9" x14ac:dyDescent="0.2">
      <c r="A534" t="s">
        <v>4711</v>
      </c>
      <c r="B534" t="s">
        <v>1656</v>
      </c>
      <c r="C534" t="s">
        <v>1215</v>
      </c>
      <c r="D534" t="str">
        <f t="shared" si="8"/>
        <v>CA111K2-06F010</v>
      </c>
      <c r="E534" t="s">
        <v>1216</v>
      </c>
      <c r="F534">
        <f>G534-SUMIFS('Sold out'!K:K,'Sold out'!I:I,'Main Stock'!C534)+SUMIFS('Receiving '!G:G,'Receiving '!E:E,'Main Stock'!C534)</f>
        <v>0</v>
      </c>
      <c r="G534">
        <v>0</v>
      </c>
    </row>
    <row r="535" spans="1:9" x14ac:dyDescent="0.2">
      <c r="A535" t="s">
        <v>4711</v>
      </c>
      <c r="B535" t="s">
        <v>1656</v>
      </c>
      <c r="C535" t="s">
        <v>1217</v>
      </c>
      <c r="D535" t="str">
        <f t="shared" si="8"/>
        <v>1933433-1</v>
      </c>
      <c r="E535" t="s">
        <v>1218</v>
      </c>
      <c r="F535">
        <f>G535-SUMIFS('Sold out'!K:K,'Sold out'!I:I,'Main Stock'!C535)+SUMIFS('Receiving '!G:G,'Receiving '!E:E,'Main Stock'!C535)</f>
        <v>194</v>
      </c>
      <c r="G535">
        <v>194</v>
      </c>
      <c r="H535" t="s">
        <v>1379</v>
      </c>
    </row>
    <row r="536" spans="1:9" x14ac:dyDescent="0.2">
      <c r="A536" t="s">
        <v>4711</v>
      </c>
      <c r="B536" t="s">
        <v>1656</v>
      </c>
      <c r="C536" t="s">
        <v>1219</v>
      </c>
      <c r="D536" t="str">
        <f t="shared" si="8"/>
        <v>NPC6ASZDB-GY050C</v>
      </c>
      <c r="E536" t="s">
        <v>1220</v>
      </c>
      <c r="F536">
        <f>G536-SUMIFS('Sold out'!K:K,'Sold out'!I:I,'Main Stock'!C536)+SUMIFS('Receiving '!G:G,'Receiving '!E:E,'Main Stock'!C536)</f>
        <v>40</v>
      </c>
      <c r="G536">
        <v>40</v>
      </c>
      <c r="H536" t="s">
        <v>1285</v>
      </c>
    </row>
    <row r="537" spans="1:9" ht="32" x14ac:dyDescent="0.2">
      <c r="A537" t="s">
        <v>4711</v>
      </c>
      <c r="B537" t="s">
        <v>1656</v>
      </c>
      <c r="C537" t="s">
        <v>1221</v>
      </c>
      <c r="D537" t="str">
        <f t="shared" si="8"/>
        <v>1594559-6</v>
      </c>
      <c r="E537" t="s">
        <v>1222</v>
      </c>
      <c r="F537">
        <f>G537-SUMIFS('Sold out'!K:K,'Sold out'!I:I,'Main Stock'!C537)+SUMIFS('Receiving '!G:G,'Receiving '!E:E,'Main Stock'!C537)</f>
        <v>51</v>
      </c>
      <c r="G537">
        <v>51</v>
      </c>
      <c r="H537">
        <v>0</v>
      </c>
      <c r="I537" s="34" t="s">
        <v>1398</v>
      </c>
    </row>
    <row r="538" spans="1:9" x14ac:dyDescent="0.2">
      <c r="A538" t="s">
        <v>4711</v>
      </c>
      <c r="B538" t="s">
        <v>1656</v>
      </c>
      <c r="C538" t="s">
        <v>1223</v>
      </c>
      <c r="D538" t="str">
        <f t="shared" si="8"/>
        <v>FFVLCLC42-NXF005</v>
      </c>
      <c r="E538" t="s">
        <v>1224</v>
      </c>
      <c r="F538">
        <f>G538-SUMIFS('Sold out'!K:K,'Sold out'!I:I,'Main Stock'!C538)+SUMIFS('Receiving '!G:G,'Receiving '!E:E,'Main Stock'!C538)</f>
        <v>0</v>
      </c>
      <c r="G538">
        <v>0</v>
      </c>
    </row>
    <row r="539" spans="1:9" x14ac:dyDescent="0.2">
      <c r="A539" t="s">
        <v>4711</v>
      </c>
      <c r="B539" t="s">
        <v>1656</v>
      </c>
      <c r="C539" t="s">
        <v>1225</v>
      </c>
      <c r="D539" t="str">
        <f t="shared" si="8"/>
        <v>FFVLCLC42-NXF007</v>
      </c>
      <c r="E539" t="s">
        <v>1226</v>
      </c>
      <c r="F539">
        <f>G539-SUMIFS('Sold out'!K:K,'Sold out'!I:I,'Main Stock'!C539)+SUMIFS('Receiving '!G:G,'Receiving '!E:E,'Main Stock'!C539)</f>
        <v>0</v>
      </c>
      <c r="G539">
        <v>0</v>
      </c>
    </row>
    <row r="540" spans="1:9" x14ac:dyDescent="0.2">
      <c r="A540" t="s">
        <v>4711</v>
      </c>
      <c r="B540" t="s">
        <v>1656</v>
      </c>
      <c r="C540" t="s">
        <v>1227</v>
      </c>
      <c r="D540" t="str">
        <f t="shared" si="8"/>
        <v>FFVLCLC42-NXF010</v>
      </c>
      <c r="E540" t="s">
        <v>1228</v>
      </c>
      <c r="F540">
        <f>G540-SUMIFS('Sold out'!K:K,'Sold out'!I:I,'Main Stock'!C540)+SUMIFS('Receiving '!G:G,'Receiving '!E:E,'Main Stock'!C540)</f>
        <v>0</v>
      </c>
      <c r="G540">
        <v>0</v>
      </c>
    </row>
    <row r="541" spans="1:9" x14ac:dyDescent="0.2">
      <c r="A541" t="s">
        <v>4711</v>
      </c>
      <c r="B541" t="s">
        <v>1656</v>
      </c>
      <c r="C541" t="s">
        <v>1229</v>
      </c>
      <c r="D541" t="str">
        <f t="shared" si="8"/>
        <v>FFVLCLC42-NXF015</v>
      </c>
      <c r="E541" t="s">
        <v>1230</v>
      </c>
      <c r="F541">
        <f>G541-SUMIFS('Sold out'!K:K,'Sold out'!I:I,'Main Stock'!C541)+SUMIFS('Receiving '!G:G,'Receiving '!E:E,'Main Stock'!C541)</f>
        <v>0</v>
      </c>
      <c r="G541">
        <v>0</v>
      </c>
    </row>
    <row r="542" spans="1:9" x14ac:dyDescent="0.2">
      <c r="A542" t="s">
        <v>4711</v>
      </c>
      <c r="B542" t="s">
        <v>1656</v>
      </c>
      <c r="C542" t="s">
        <v>1231</v>
      </c>
      <c r="D542" t="str">
        <f t="shared" si="8"/>
        <v>760241378</v>
      </c>
      <c r="E542" t="s">
        <v>1232</v>
      </c>
      <c r="F542">
        <f>G542-SUMIFS('Sold out'!K:K,'Sold out'!I:I,'Main Stock'!C542)+SUMIFS('Receiving '!G:G,'Receiving '!E:E,'Main Stock'!C542)</f>
        <v>14</v>
      </c>
      <c r="G542">
        <v>14</v>
      </c>
      <c r="H542">
        <v>0</v>
      </c>
    </row>
    <row r="543" spans="1:9" x14ac:dyDescent="0.2">
      <c r="A543" t="s">
        <v>4711</v>
      </c>
      <c r="B543" t="s">
        <v>1656</v>
      </c>
      <c r="C543" t="s">
        <v>1233</v>
      </c>
      <c r="D543" t="str">
        <f t="shared" si="8"/>
        <v>760154229</v>
      </c>
      <c r="E543" t="s">
        <v>1234</v>
      </c>
      <c r="F543">
        <f>G543-SUMIFS('Sold out'!K:K,'Sold out'!I:I,'Main Stock'!C543)+SUMIFS('Receiving '!G:G,'Receiving '!E:E,'Main Stock'!C543)</f>
        <v>9</v>
      </c>
      <c r="G543">
        <v>9</v>
      </c>
      <c r="H543">
        <v>0</v>
      </c>
    </row>
    <row r="544" spans="1:9" x14ac:dyDescent="0.2">
      <c r="A544" t="s">
        <v>4711</v>
      </c>
      <c r="B544" t="s">
        <v>1656</v>
      </c>
      <c r="C544" t="s">
        <v>1235</v>
      </c>
      <c r="D544" t="str">
        <f t="shared" si="8"/>
        <v>1933943-4</v>
      </c>
      <c r="E544" t="s">
        <v>1236</v>
      </c>
      <c r="F544">
        <f>G544-SUMIFS('Sold out'!K:K,'Sold out'!I:I,'Main Stock'!C544)+SUMIFS('Receiving '!G:G,'Receiving '!E:E,'Main Stock'!C544)</f>
        <v>41</v>
      </c>
      <c r="G544">
        <v>41</v>
      </c>
      <c r="H544">
        <v>0</v>
      </c>
    </row>
    <row r="545" spans="1:9" x14ac:dyDescent="0.2">
      <c r="A545" t="s">
        <v>4711</v>
      </c>
      <c r="B545" t="s">
        <v>1656</v>
      </c>
      <c r="C545" t="s">
        <v>1237</v>
      </c>
      <c r="D545" t="str">
        <f t="shared" si="8"/>
        <v>760189506</v>
      </c>
      <c r="E545" t="s">
        <v>1238</v>
      </c>
      <c r="F545">
        <f>G545-SUMIFS('Sold out'!K:K,'Sold out'!I:I,'Main Stock'!C545)+SUMIFS('Receiving '!G:G,'Receiving '!E:E,'Main Stock'!C545)</f>
        <v>0</v>
      </c>
      <c r="G545">
        <v>0</v>
      </c>
    </row>
    <row r="546" spans="1:9" ht="16" x14ac:dyDescent="0.2">
      <c r="A546" t="s">
        <v>4711</v>
      </c>
      <c r="B546" t="s">
        <v>1656</v>
      </c>
      <c r="C546" t="s">
        <v>1239</v>
      </c>
      <c r="D546" t="str">
        <f t="shared" si="8"/>
        <v>2-1716363-4</v>
      </c>
      <c r="E546" t="s">
        <v>1240</v>
      </c>
      <c r="F546">
        <f>G546-SUMIFS('Sold out'!K:K,'Sold out'!I:I,'Main Stock'!C546)+SUMIFS('Receiving '!G:G,'Receiving '!E:E,'Main Stock'!C546)</f>
        <v>0</v>
      </c>
      <c r="G546">
        <v>0</v>
      </c>
      <c r="I546" s="34" t="s">
        <v>1397</v>
      </c>
    </row>
    <row r="547" spans="1:9" x14ac:dyDescent="0.2">
      <c r="A547" t="s">
        <v>4711</v>
      </c>
      <c r="B547" t="s">
        <v>1656</v>
      </c>
      <c r="C547" t="s">
        <v>1241</v>
      </c>
      <c r="D547" t="str">
        <f t="shared" si="8"/>
        <v>FFXLCLC42-MXF082</v>
      </c>
      <c r="E547" t="s">
        <v>1242</v>
      </c>
      <c r="F547">
        <f>G547-SUMIFS('Sold out'!K:K,'Sold out'!I:I,'Main Stock'!C547)+SUMIFS('Receiving '!G:G,'Receiving '!E:E,'Main Stock'!C547)</f>
        <v>0</v>
      </c>
      <c r="G547">
        <v>0</v>
      </c>
    </row>
    <row r="548" spans="1:9" x14ac:dyDescent="0.2">
      <c r="A548" t="s">
        <v>4711</v>
      </c>
      <c r="B548" t="s">
        <v>1656</v>
      </c>
      <c r="C548" t="s">
        <v>1243</v>
      </c>
      <c r="D548" t="str">
        <f t="shared" si="8"/>
        <v>700206667</v>
      </c>
      <c r="E548" t="s">
        <v>1244</v>
      </c>
      <c r="F548">
        <f>G548-SUMIFS('Sold out'!K:K,'Sold out'!I:I,'Main Stock'!C548)+SUMIFS('Receiving '!G:G,'Receiving '!E:E,'Main Stock'!C548)</f>
        <v>0</v>
      </c>
      <c r="G548">
        <v>0</v>
      </c>
    </row>
    <row r="549" spans="1:9" x14ac:dyDescent="0.2">
      <c r="A549" t="s">
        <v>4711</v>
      </c>
      <c r="B549" t="s">
        <v>1656</v>
      </c>
      <c r="C549" t="s">
        <v>1245</v>
      </c>
      <c r="D549" t="str">
        <f t="shared" si="8"/>
        <v>760159988</v>
      </c>
      <c r="E549" t="s">
        <v>1246</v>
      </c>
      <c r="F549">
        <f>G549-SUMIFS('Sold out'!K:K,'Sold out'!I:I,'Main Stock'!C549)+SUMIFS('Receiving '!G:G,'Receiving '!E:E,'Main Stock'!C549)</f>
        <v>52480</v>
      </c>
      <c r="G549">
        <v>52480</v>
      </c>
      <c r="H549">
        <v>0</v>
      </c>
    </row>
    <row r="550" spans="1:9" x14ac:dyDescent="0.2">
      <c r="A550" t="s">
        <v>4711</v>
      </c>
      <c r="B550" t="s">
        <v>1656</v>
      </c>
      <c r="C550" t="s">
        <v>1247</v>
      </c>
      <c r="D550" t="str">
        <f t="shared" si="8"/>
        <v>884072754/16</v>
      </c>
      <c r="E550" t="s">
        <v>1248</v>
      </c>
      <c r="F550">
        <f>G550-SUMIFS('Sold out'!K:K,'Sold out'!I:I,'Main Stock'!C550)+SUMIFS('Receiving '!G:G,'Receiving '!E:E,'Main Stock'!C550)</f>
        <v>1000</v>
      </c>
      <c r="G550">
        <v>1000</v>
      </c>
      <c r="H550" t="s">
        <v>1285</v>
      </c>
    </row>
    <row r="551" spans="1:9" ht="32" x14ac:dyDescent="0.2">
      <c r="A551" t="s">
        <v>4711</v>
      </c>
      <c r="B551" t="s">
        <v>1656</v>
      </c>
      <c r="C551" t="s">
        <v>1249</v>
      </c>
      <c r="D551" t="str">
        <f t="shared" si="8"/>
        <v>1594770-6</v>
      </c>
      <c r="E551" t="s">
        <v>1250</v>
      </c>
      <c r="F551">
        <f>G551-SUMIFS('Sold out'!K:K,'Sold out'!I:I,'Main Stock'!C551)+SUMIFS('Receiving '!G:G,'Receiving '!E:E,'Main Stock'!C551)</f>
        <v>201</v>
      </c>
      <c r="G551">
        <v>201</v>
      </c>
      <c r="H551">
        <v>0</v>
      </c>
      <c r="I551" s="34" t="s">
        <v>1416</v>
      </c>
    </row>
    <row r="552" spans="1:9" ht="16" x14ac:dyDescent="0.2">
      <c r="A552" t="s">
        <v>4711</v>
      </c>
      <c r="B552" t="s">
        <v>1656</v>
      </c>
      <c r="C552" t="s">
        <v>1251</v>
      </c>
      <c r="D552" t="str">
        <f t="shared" si="8"/>
        <v>76004184</v>
      </c>
      <c r="E552" t="s">
        <v>1252</v>
      </c>
      <c r="F552">
        <f>G552-SUMIFS('Sold out'!K:K,'Sold out'!I:I,'Main Stock'!C552)+SUMIFS('Receiving '!G:G,'Receiving '!E:E,'Main Stock'!C552)</f>
        <v>4920</v>
      </c>
      <c r="G552">
        <v>4920</v>
      </c>
      <c r="H552">
        <v>0</v>
      </c>
      <c r="I552" s="34" t="s">
        <v>1417</v>
      </c>
    </row>
    <row r="553" spans="1:9" x14ac:dyDescent="0.2">
      <c r="A553" t="s">
        <v>4711</v>
      </c>
      <c r="B553" t="s">
        <v>1656</v>
      </c>
      <c r="C553" t="s">
        <v>1253</v>
      </c>
      <c r="D553" t="str">
        <f t="shared" si="8"/>
        <v>760249003</v>
      </c>
      <c r="E553" t="s">
        <v>1254</v>
      </c>
      <c r="F553">
        <f>G553-SUMIFS('Sold out'!K:K,'Sold out'!I:I,'Main Stock'!C553)+SUMIFS('Receiving '!G:G,'Receiving '!E:E,'Main Stock'!C553)</f>
        <v>2</v>
      </c>
      <c r="G553">
        <v>2</v>
      </c>
      <c r="H553">
        <v>0</v>
      </c>
    </row>
    <row r="554" spans="1:9" x14ac:dyDescent="0.2">
      <c r="A554" t="s">
        <v>4711</v>
      </c>
      <c r="B554" t="s">
        <v>1656</v>
      </c>
      <c r="C554" t="s">
        <v>1255</v>
      </c>
      <c r="D554" t="str">
        <f t="shared" si="8"/>
        <v>URXQPLUF8-MDF050</v>
      </c>
      <c r="E554" t="s">
        <v>1256</v>
      </c>
      <c r="F554">
        <f>G554-SUMIFS('Sold out'!K:K,'Sold out'!I:I,'Main Stock'!C554)+SUMIFS('Receiving '!G:G,'Receiving '!E:E,'Main Stock'!C554)</f>
        <v>0</v>
      </c>
      <c r="G554">
        <v>0</v>
      </c>
    </row>
    <row r="555" spans="1:9" ht="32" x14ac:dyDescent="0.2">
      <c r="A555" t="s">
        <v>4711</v>
      </c>
      <c r="B555" t="s">
        <v>1656</v>
      </c>
      <c r="C555" t="s">
        <v>1257</v>
      </c>
      <c r="D555" t="str">
        <f t="shared" si="8"/>
        <v>760053272</v>
      </c>
      <c r="E555" t="s">
        <v>1258</v>
      </c>
      <c r="F555">
        <f>G555-SUMIFS('Sold out'!K:K,'Sold out'!I:I,'Main Stock'!C555)+SUMIFS('Receiving '!G:G,'Receiving '!E:E,'Main Stock'!C555)</f>
        <v>9380</v>
      </c>
      <c r="G555">
        <v>9380</v>
      </c>
      <c r="H555">
        <v>0</v>
      </c>
      <c r="I555" s="34" t="s">
        <v>1418</v>
      </c>
    </row>
    <row r="556" spans="1:9" x14ac:dyDescent="0.2">
      <c r="A556" t="s">
        <v>4711</v>
      </c>
      <c r="B556" t="s">
        <v>1656</v>
      </c>
      <c r="C556" t="s">
        <v>1259</v>
      </c>
      <c r="D556" t="str">
        <f t="shared" si="8"/>
        <v>CPCSSZ2-03F066</v>
      </c>
      <c r="E556" t="s">
        <v>1260</v>
      </c>
      <c r="F556">
        <f>G556-SUMIFS('Sold out'!K:K,'Sold out'!I:I,'Main Stock'!C556)+SUMIFS('Receiving '!G:G,'Receiving '!E:E,'Main Stock'!C556)</f>
        <v>200</v>
      </c>
      <c r="G556">
        <v>200</v>
      </c>
      <c r="H556">
        <v>0</v>
      </c>
    </row>
    <row r="557" spans="1:9" x14ac:dyDescent="0.2">
      <c r="A557" t="s">
        <v>4711</v>
      </c>
      <c r="B557" t="s">
        <v>1656</v>
      </c>
      <c r="C557" t="s">
        <v>1261</v>
      </c>
      <c r="D557" t="str">
        <f t="shared" si="8"/>
        <v>CPCSSZ2-03F082</v>
      </c>
      <c r="E557" t="s">
        <v>1262</v>
      </c>
      <c r="F557">
        <f>G557-SUMIFS('Sold out'!K:K,'Sold out'!I:I,'Main Stock'!C557)+SUMIFS('Receiving '!G:G,'Receiving '!E:E,'Main Stock'!C557)</f>
        <v>50</v>
      </c>
      <c r="G557">
        <v>50</v>
      </c>
      <c r="H557" t="s">
        <v>1285</v>
      </c>
    </row>
    <row r="558" spans="1:9" x14ac:dyDescent="0.2">
      <c r="A558" t="s">
        <v>4711</v>
      </c>
      <c r="B558" t="s">
        <v>1656</v>
      </c>
      <c r="C558" t="s">
        <v>1263</v>
      </c>
      <c r="D558" t="str">
        <f t="shared" si="8"/>
        <v>760110957</v>
      </c>
      <c r="E558" t="s">
        <v>1264</v>
      </c>
      <c r="F558">
        <f>G558-SUMIFS('Sold out'!K:K,'Sold out'!I:I,'Main Stock'!C558)+SUMIFS('Receiving '!G:G,'Receiving '!E:E,'Main Stock'!C558)</f>
        <v>0</v>
      </c>
      <c r="G558">
        <v>0</v>
      </c>
    </row>
    <row r="559" spans="1:9" x14ac:dyDescent="0.2">
      <c r="A559" t="s">
        <v>4711</v>
      </c>
      <c r="B559" t="s">
        <v>1656</v>
      </c>
      <c r="C559" t="s">
        <v>1265</v>
      </c>
      <c r="D559" t="str">
        <f t="shared" si="8"/>
        <v>CZ9129-000</v>
      </c>
      <c r="E559" t="s">
        <v>1266</v>
      </c>
      <c r="F559">
        <f>G559-SUMIFS('Sold out'!K:K,'Sold out'!I:I,'Main Stock'!C559)+SUMIFS('Receiving '!G:G,'Receiving '!E:E,'Main Stock'!C559)</f>
        <v>0</v>
      </c>
      <c r="G559">
        <v>0</v>
      </c>
    </row>
    <row r="560" spans="1:9" x14ac:dyDescent="0.2">
      <c r="A560" t="s">
        <v>4711</v>
      </c>
      <c r="B560" t="s">
        <v>1656</v>
      </c>
      <c r="C560" t="s">
        <v>1267</v>
      </c>
      <c r="D560" t="str">
        <f t="shared" si="8"/>
        <v>760150144</v>
      </c>
      <c r="E560" t="s">
        <v>1268</v>
      </c>
      <c r="F560">
        <f>G560-SUMIFS('Sold out'!K:K,'Sold out'!I:I,'Main Stock'!C560)+SUMIFS('Receiving '!G:G,'Receiving '!E:E,'Main Stock'!C560)</f>
        <v>0</v>
      </c>
      <c r="G560">
        <v>0</v>
      </c>
    </row>
    <row r="561" spans="1:9" ht="16" x14ac:dyDescent="0.2">
      <c r="A561" t="s">
        <v>4711</v>
      </c>
      <c r="B561" t="s">
        <v>1656</v>
      </c>
      <c r="C561" t="s">
        <v>1269</v>
      </c>
      <c r="D561" t="str">
        <f t="shared" si="8"/>
        <v>760003954</v>
      </c>
      <c r="E561" t="s">
        <v>1270</v>
      </c>
      <c r="F561">
        <f>G561-SUMIFS('Sold out'!K:K,'Sold out'!I:I,'Main Stock'!C561)+SUMIFS('Receiving '!G:G,'Receiving '!E:E,'Main Stock'!C561)</f>
        <v>0</v>
      </c>
      <c r="G561">
        <v>0</v>
      </c>
      <c r="I561" s="34" t="s">
        <v>1419</v>
      </c>
    </row>
    <row r="562" spans="1:9" x14ac:dyDescent="0.2">
      <c r="A562" t="s">
        <v>4711</v>
      </c>
      <c r="B562" t="s">
        <v>1656</v>
      </c>
      <c r="C562" t="s">
        <v>1271</v>
      </c>
      <c r="D562" t="str">
        <f t="shared" si="8"/>
        <v>FGS-MSHS-H10</v>
      </c>
      <c r="E562" t="s">
        <v>1272</v>
      </c>
      <c r="F562">
        <f>G562-SUMIFS('Sold out'!K:K,'Sold out'!I:I,'Main Stock'!C562)+SUMIFS('Receiving '!G:G,'Receiving '!E:E,'Main Stock'!C562)</f>
        <v>133</v>
      </c>
      <c r="G562">
        <v>133</v>
      </c>
      <c r="H562" t="s">
        <v>1285</v>
      </c>
    </row>
    <row r="563" spans="1:9" x14ac:dyDescent="0.2">
      <c r="A563" t="s">
        <v>4711</v>
      </c>
      <c r="B563" t="s">
        <v>1656</v>
      </c>
      <c r="C563" t="s">
        <v>1273</v>
      </c>
      <c r="D563" t="str">
        <f t="shared" si="8"/>
        <v>FGS-MEX1-C-5F</v>
      </c>
      <c r="E563" t="s">
        <v>1274</v>
      </c>
      <c r="F563">
        <f>G563-SUMIFS('Sold out'!K:K,'Sold out'!I:I,'Main Stock'!C563)+SUMIFS('Receiving '!G:G,'Receiving '!E:E,'Main Stock'!C563)</f>
        <v>277</v>
      </c>
      <c r="G563">
        <v>277</v>
      </c>
      <c r="H563" t="s">
        <v>1285</v>
      </c>
    </row>
    <row r="564" spans="1:9" x14ac:dyDescent="0.2">
      <c r="A564" t="s">
        <v>4711</v>
      </c>
      <c r="B564" t="s">
        <v>1656</v>
      </c>
      <c r="C564" t="s">
        <v>1275</v>
      </c>
      <c r="D564" t="str">
        <f t="shared" si="8"/>
        <v>760241056</v>
      </c>
      <c r="E564" t="s">
        <v>1131</v>
      </c>
      <c r="F564">
        <f>G564-SUMIFS('Sold out'!K:K,'Sold out'!I:I,'Main Stock'!C564)+SUMIFS('Receiving '!G:G,'Receiving '!E:E,'Main Stock'!C564)</f>
        <v>2046</v>
      </c>
      <c r="G564">
        <v>0</v>
      </c>
      <c r="H564" t="s">
        <v>1285</v>
      </c>
    </row>
    <row r="565" spans="1:9" x14ac:dyDescent="0.2">
      <c r="A565" t="s">
        <v>4711</v>
      </c>
      <c r="B565" t="s">
        <v>1656</v>
      </c>
      <c r="C565" t="s">
        <v>1276</v>
      </c>
      <c r="D565" t="str">
        <f t="shared" si="8"/>
        <v>760243327</v>
      </c>
      <c r="E565" t="s">
        <v>1277</v>
      </c>
      <c r="F565">
        <f>G565-SUMIFS('Sold out'!K:K,'Sold out'!I:I,'Main Stock'!C565)+SUMIFS('Receiving '!G:G,'Receiving '!E:E,'Main Stock'!C565)</f>
        <v>1000</v>
      </c>
      <c r="G565">
        <v>1000</v>
      </c>
    </row>
  </sheetData>
  <autoFilter ref="B1:I565" xr:uid="{D10FC6DA-1093-4764-9ED7-CD00DF4D9A6E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42EDA-59CC-452B-A997-116D5408BAF8}">
  <sheetPr codeName="Sheet9"/>
  <dimension ref="A1:K10"/>
  <sheetViews>
    <sheetView workbookViewId="0">
      <selection activeCell="H25" sqref="H25"/>
    </sheetView>
  </sheetViews>
  <sheetFormatPr baseColWidth="10" defaultColWidth="8.83203125" defaultRowHeight="15" x14ac:dyDescent="0.2"/>
  <cols>
    <col min="1" max="1" width="11.33203125" style="3" customWidth="1"/>
    <col min="2" max="11" width="11.33203125" customWidth="1"/>
  </cols>
  <sheetData>
    <row r="1" spans="1:11" x14ac:dyDescent="0.2">
      <c r="A1" s="31" t="s">
        <v>1421</v>
      </c>
      <c r="B1" s="32" t="s">
        <v>1422</v>
      </c>
      <c r="C1" s="32" t="s">
        <v>1423</v>
      </c>
      <c r="D1" s="32" t="s">
        <v>1424</v>
      </c>
      <c r="E1" s="32" t="s">
        <v>1425</v>
      </c>
      <c r="F1" s="32" t="s">
        <v>1426</v>
      </c>
      <c r="G1" s="32" t="s">
        <v>1427</v>
      </c>
      <c r="H1" s="32" t="s">
        <v>1428</v>
      </c>
      <c r="I1" s="32" t="s">
        <v>1</v>
      </c>
      <c r="J1" s="32" t="s">
        <v>189</v>
      </c>
      <c r="K1" s="32" t="s">
        <v>1429</v>
      </c>
    </row>
    <row r="2" spans="1:11" x14ac:dyDescent="0.2">
      <c r="A2" s="3">
        <v>45125</v>
      </c>
      <c r="B2">
        <v>15001789</v>
      </c>
      <c r="C2" t="s">
        <v>1604</v>
      </c>
      <c r="D2">
        <v>90005242</v>
      </c>
      <c r="F2" t="s">
        <v>1605</v>
      </c>
      <c r="G2" t="s">
        <v>1606</v>
      </c>
      <c r="H2" t="s">
        <v>1607</v>
      </c>
      <c r="I2" t="s">
        <v>407</v>
      </c>
      <c r="J2" t="s">
        <v>408</v>
      </c>
      <c r="K2">
        <v>10</v>
      </c>
    </row>
    <row r="3" spans="1:11" x14ac:dyDescent="0.2">
      <c r="A3" s="3">
        <v>45125</v>
      </c>
      <c r="B3">
        <v>15001789</v>
      </c>
      <c r="C3" t="s">
        <v>1604</v>
      </c>
      <c r="D3">
        <v>90005242</v>
      </c>
      <c r="F3" t="s">
        <v>1605</v>
      </c>
      <c r="G3" t="s">
        <v>1606</v>
      </c>
      <c r="H3" t="s">
        <v>1607</v>
      </c>
      <c r="I3" t="s">
        <v>215</v>
      </c>
      <c r="J3" t="s">
        <v>216</v>
      </c>
      <c r="K3">
        <v>240</v>
      </c>
    </row>
    <row r="4" spans="1:11" x14ac:dyDescent="0.2">
      <c r="A4" s="3">
        <v>45125</v>
      </c>
      <c r="B4">
        <v>15001789</v>
      </c>
      <c r="C4" t="s">
        <v>1604</v>
      </c>
      <c r="D4">
        <v>90005242</v>
      </c>
      <c r="F4" t="s">
        <v>1605</v>
      </c>
      <c r="G4" t="s">
        <v>1606</v>
      </c>
      <c r="H4" t="s">
        <v>1607</v>
      </c>
      <c r="I4" t="s">
        <v>337</v>
      </c>
      <c r="J4" t="s">
        <v>338</v>
      </c>
      <c r="K4">
        <v>480</v>
      </c>
    </row>
    <row r="5" spans="1:11" x14ac:dyDescent="0.2">
      <c r="A5" s="3">
        <v>45125</v>
      </c>
      <c r="B5">
        <v>15001789</v>
      </c>
      <c r="C5" t="s">
        <v>1604</v>
      </c>
      <c r="D5">
        <v>90005242</v>
      </c>
      <c r="F5" t="s">
        <v>1605</v>
      </c>
      <c r="G5" t="s">
        <v>1606</v>
      </c>
      <c r="H5" t="s">
        <v>1607</v>
      </c>
      <c r="I5" t="s">
        <v>421</v>
      </c>
      <c r="J5" t="s">
        <v>422</v>
      </c>
      <c r="K5">
        <v>20</v>
      </c>
    </row>
    <row r="6" spans="1:11" x14ac:dyDescent="0.2">
      <c r="A6" s="3">
        <v>45125</v>
      </c>
      <c r="B6">
        <v>15001789</v>
      </c>
      <c r="C6" t="s">
        <v>1604</v>
      </c>
      <c r="D6">
        <v>90005242</v>
      </c>
      <c r="F6" t="s">
        <v>1605</v>
      </c>
      <c r="G6" t="s">
        <v>1606</v>
      </c>
      <c r="H6" t="s">
        <v>1607</v>
      </c>
      <c r="I6" t="s">
        <v>297</v>
      </c>
      <c r="J6" t="s">
        <v>302</v>
      </c>
      <c r="K6">
        <v>10</v>
      </c>
    </row>
    <row r="7" spans="1:11" x14ac:dyDescent="0.2">
      <c r="A7" s="3">
        <v>45125</v>
      </c>
      <c r="B7">
        <v>15001789</v>
      </c>
      <c r="C7" t="s">
        <v>1604</v>
      </c>
      <c r="D7">
        <v>90005242</v>
      </c>
      <c r="F7" t="s">
        <v>1605</v>
      </c>
      <c r="G7" t="s">
        <v>1606</v>
      </c>
      <c r="H7" t="s">
        <v>1607</v>
      </c>
      <c r="I7" t="s">
        <v>201</v>
      </c>
      <c r="J7" t="s">
        <v>202</v>
      </c>
      <c r="K7">
        <v>20</v>
      </c>
    </row>
    <row r="8" spans="1:11" x14ac:dyDescent="0.2">
      <c r="A8" s="3">
        <v>45125</v>
      </c>
      <c r="B8">
        <v>15001789</v>
      </c>
      <c r="C8" t="s">
        <v>1604</v>
      </c>
      <c r="D8">
        <v>90005242</v>
      </c>
      <c r="F8" t="s">
        <v>1605</v>
      </c>
      <c r="G8" t="s">
        <v>1606</v>
      </c>
      <c r="H8" t="s">
        <v>1607</v>
      </c>
      <c r="I8" t="s">
        <v>196</v>
      </c>
      <c r="J8" t="s">
        <v>197</v>
      </c>
      <c r="K8">
        <v>20</v>
      </c>
    </row>
    <row r="9" spans="1:11" x14ac:dyDescent="0.2">
      <c r="A9" s="3">
        <v>45125</v>
      </c>
      <c r="B9">
        <v>15001789</v>
      </c>
      <c r="C9" t="s">
        <v>1604</v>
      </c>
      <c r="D9">
        <v>90005242</v>
      </c>
      <c r="F9" t="s">
        <v>1605</v>
      </c>
      <c r="G9" t="s">
        <v>1606</v>
      </c>
      <c r="H9" t="s">
        <v>1607</v>
      </c>
      <c r="I9" t="s">
        <v>213</v>
      </c>
      <c r="J9" t="s">
        <v>214</v>
      </c>
      <c r="K9">
        <v>836</v>
      </c>
    </row>
    <row r="10" spans="1:11" x14ac:dyDescent="0.2">
      <c r="A10" s="3">
        <v>45125</v>
      </c>
      <c r="B10">
        <v>15001789</v>
      </c>
      <c r="C10" t="s">
        <v>1604</v>
      </c>
      <c r="D10">
        <v>90005242</v>
      </c>
      <c r="F10" t="s">
        <v>1605</v>
      </c>
      <c r="G10" t="s">
        <v>1606</v>
      </c>
      <c r="H10" t="s">
        <v>1607</v>
      </c>
      <c r="I10" t="s">
        <v>209</v>
      </c>
      <c r="J10" t="s">
        <v>1608</v>
      </c>
      <c r="K10">
        <v>356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8492-9E27-4BC1-991F-DB85D7C8DE12}">
  <sheetPr codeName="Sheet8"/>
  <dimension ref="A1:G15"/>
  <sheetViews>
    <sheetView workbookViewId="0">
      <selection sqref="A1:G1"/>
    </sheetView>
  </sheetViews>
  <sheetFormatPr baseColWidth="10" defaultColWidth="8.83203125" defaultRowHeight="15" x14ac:dyDescent="0.2"/>
  <cols>
    <col min="1" max="7" width="18.5" customWidth="1"/>
  </cols>
  <sheetData>
    <row r="1" spans="1:7" x14ac:dyDescent="0.2">
      <c r="A1" s="30" t="s">
        <v>1430</v>
      </c>
      <c r="B1" s="30" t="s">
        <v>1431</v>
      </c>
      <c r="C1" s="30" t="s">
        <v>1424</v>
      </c>
      <c r="D1" s="30" t="s">
        <v>1432</v>
      </c>
      <c r="E1" s="30" t="s">
        <v>1</v>
      </c>
      <c r="F1" s="30" t="s">
        <v>189</v>
      </c>
      <c r="G1" s="30" t="s">
        <v>1433</v>
      </c>
    </row>
    <row r="2" spans="1:7" x14ac:dyDescent="0.2">
      <c r="A2">
        <v>46134</v>
      </c>
      <c r="B2" t="s">
        <v>1609</v>
      </c>
      <c r="C2">
        <v>9010104400</v>
      </c>
      <c r="D2">
        <v>5500001206</v>
      </c>
      <c r="E2" t="s">
        <v>1275</v>
      </c>
      <c r="F2" t="s">
        <v>1131</v>
      </c>
      <c r="G2">
        <v>2046</v>
      </c>
    </row>
    <row r="3" spans="1:7" x14ac:dyDescent="0.2">
      <c r="A3">
        <v>46134</v>
      </c>
      <c r="B3" t="s">
        <v>1609</v>
      </c>
      <c r="C3">
        <v>9010111636</v>
      </c>
      <c r="D3">
        <v>5500001217</v>
      </c>
      <c r="E3" t="s">
        <v>213</v>
      </c>
      <c r="F3" t="s">
        <v>214</v>
      </c>
      <c r="G3">
        <v>13992</v>
      </c>
    </row>
    <row r="4" spans="1:7" x14ac:dyDescent="0.2">
      <c r="A4">
        <v>46134</v>
      </c>
      <c r="B4" t="s">
        <v>1609</v>
      </c>
      <c r="C4">
        <v>9010112549</v>
      </c>
      <c r="D4">
        <v>5500001217</v>
      </c>
      <c r="E4" t="s">
        <v>441</v>
      </c>
      <c r="F4" t="s">
        <v>442</v>
      </c>
      <c r="G4">
        <v>118</v>
      </c>
    </row>
    <row r="5" spans="1:7" x14ac:dyDescent="0.2">
      <c r="A5">
        <v>46134</v>
      </c>
      <c r="B5" t="s">
        <v>1609</v>
      </c>
      <c r="C5">
        <v>9010112550</v>
      </c>
      <c r="D5">
        <v>5500001285</v>
      </c>
      <c r="E5" t="s">
        <v>890</v>
      </c>
      <c r="F5" t="s">
        <v>891</v>
      </c>
      <c r="G5">
        <v>25</v>
      </c>
    </row>
    <row r="6" spans="1:7" x14ac:dyDescent="0.2">
      <c r="A6">
        <v>46134</v>
      </c>
      <c r="B6" t="s">
        <v>1609</v>
      </c>
      <c r="C6">
        <v>9010112400</v>
      </c>
      <c r="D6">
        <v>5500001285</v>
      </c>
      <c r="E6" t="s">
        <v>841</v>
      </c>
      <c r="F6" t="s">
        <v>842</v>
      </c>
      <c r="G6">
        <v>10</v>
      </c>
    </row>
    <row r="7" spans="1:7" x14ac:dyDescent="0.2">
      <c r="A7">
        <v>46134</v>
      </c>
      <c r="B7" t="s">
        <v>1609</v>
      </c>
      <c r="C7">
        <v>9010112400</v>
      </c>
      <c r="D7">
        <v>5500001285</v>
      </c>
      <c r="E7" t="s">
        <v>890</v>
      </c>
      <c r="F7" t="s">
        <v>891</v>
      </c>
      <c r="G7">
        <v>4</v>
      </c>
    </row>
    <row r="8" spans="1:7" x14ac:dyDescent="0.2">
      <c r="A8">
        <v>46134</v>
      </c>
      <c r="B8" t="s">
        <v>1609</v>
      </c>
      <c r="C8">
        <v>9010113376</v>
      </c>
      <c r="D8">
        <v>5500001217</v>
      </c>
      <c r="E8" t="s">
        <v>751</v>
      </c>
      <c r="F8" t="s">
        <v>752</v>
      </c>
      <c r="G8">
        <v>13</v>
      </c>
    </row>
    <row r="9" spans="1:7" x14ac:dyDescent="0.2">
      <c r="A9">
        <v>46134</v>
      </c>
      <c r="B9" t="s">
        <v>1609</v>
      </c>
      <c r="C9">
        <v>9010112170</v>
      </c>
      <c r="D9">
        <v>5500001218</v>
      </c>
      <c r="E9" t="s">
        <v>827</v>
      </c>
      <c r="F9" t="s">
        <v>828</v>
      </c>
      <c r="G9">
        <v>2083</v>
      </c>
    </row>
    <row r="10" spans="1:7" x14ac:dyDescent="0.2">
      <c r="A10">
        <v>46134</v>
      </c>
      <c r="B10" t="s">
        <v>1609</v>
      </c>
      <c r="C10">
        <v>9010113012</v>
      </c>
      <c r="D10">
        <v>5500001218</v>
      </c>
      <c r="E10" t="s">
        <v>829</v>
      </c>
      <c r="F10" t="s">
        <v>830</v>
      </c>
      <c r="G10">
        <v>50648</v>
      </c>
    </row>
    <row r="11" spans="1:7" x14ac:dyDescent="0.2">
      <c r="A11">
        <v>46134</v>
      </c>
      <c r="B11" t="s">
        <v>1609</v>
      </c>
      <c r="C11">
        <v>9010113012</v>
      </c>
      <c r="D11">
        <v>5500001218</v>
      </c>
      <c r="E11" t="s">
        <v>1201</v>
      </c>
      <c r="F11" t="s">
        <v>1202</v>
      </c>
      <c r="G11">
        <v>10242</v>
      </c>
    </row>
    <row r="12" spans="1:7" x14ac:dyDescent="0.2">
      <c r="A12">
        <v>46134</v>
      </c>
      <c r="B12" t="s">
        <v>1609</v>
      </c>
      <c r="C12">
        <v>9010113381</v>
      </c>
      <c r="D12">
        <v>5500001217</v>
      </c>
      <c r="E12" t="s">
        <v>751</v>
      </c>
      <c r="F12" t="s">
        <v>752</v>
      </c>
      <c r="G12">
        <v>1</v>
      </c>
    </row>
    <row r="13" spans="1:7" x14ac:dyDescent="0.2">
      <c r="A13">
        <v>46134</v>
      </c>
      <c r="B13" t="s">
        <v>1609</v>
      </c>
      <c r="C13">
        <v>9010113381</v>
      </c>
      <c r="D13">
        <v>5500001217</v>
      </c>
      <c r="E13" t="s">
        <v>751</v>
      </c>
      <c r="F13" t="s">
        <v>752</v>
      </c>
      <c r="G13">
        <v>36</v>
      </c>
    </row>
    <row r="14" spans="1:7" x14ac:dyDescent="0.2">
      <c r="A14">
        <v>46134</v>
      </c>
      <c r="B14" t="s">
        <v>1609</v>
      </c>
      <c r="C14">
        <v>9010113841</v>
      </c>
      <c r="D14">
        <v>5500001285</v>
      </c>
      <c r="E14" t="s">
        <v>956</v>
      </c>
      <c r="F14" t="s">
        <v>957</v>
      </c>
      <c r="G14">
        <v>129</v>
      </c>
    </row>
    <row r="15" spans="1:7" x14ac:dyDescent="0.2">
      <c r="A15">
        <v>46096</v>
      </c>
      <c r="B15" t="s">
        <v>1610</v>
      </c>
      <c r="C15">
        <v>9010104392</v>
      </c>
      <c r="D15">
        <v>5500001119</v>
      </c>
      <c r="E15" t="s">
        <v>439</v>
      </c>
      <c r="F15" t="s">
        <v>440</v>
      </c>
      <c r="G15">
        <v>288000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A1A2F-86CA-46FA-8729-293615A6A620}">
  <dimension ref="A1:K4"/>
  <sheetViews>
    <sheetView workbookViewId="0">
      <selection sqref="A1:K1"/>
    </sheetView>
  </sheetViews>
  <sheetFormatPr baseColWidth="10" defaultColWidth="8.83203125" defaultRowHeight="15" x14ac:dyDescent="0.2"/>
  <sheetData>
    <row r="1" spans="1:11" x14ac:dyDescent="0.2">
      <c r="A1" s="30" t="s">
        <v>1421</v>
      </c>
      <c r="B1" s="30" t="s">
        <v>1422</v>
      </c>
      <c r="C1" s="30" t="s">
        <v>1423</v>
      </c>
      <c r="D1" s="30" t="s">
        <v>1424</v>
      </c>
      <c r="E1" s="30"/>
      <c r="F1" s="30" t="s">
        <v>1426</v>
      </c>
      <c r="G1" s="30" t="s">
        <v>1427</v>
      </c>
      <c r="H1" s="30" t="s">
        <v>1428</v>
      </c>
      <c r="I1" s="30" t="s">
        <v>1</v>
      </c>
      <c r="J1" s="30" t="s">
        <v>189</v>
      </c>
      <c r="K1" s="30" t="s">
        <v>1429</v>
      </c>
    </row>
    <row r="2" spans="1:11" x14ac:dyDescent="0.2">
      <c r="A2">
        <v>46135</v>
      </c>
      <c r="B2">
        <v>15009000</v>
      </c>
      <c r="C2">
        <v>4058668</v>
      </c>
      <c r="D2">
        <v>80019152</v>
      </c>
      <c r="E2">
        <v>0</v>
      </c>
      <c r="F2" t="s">
        <v>1611</v>
      </c>
      <c r="G2" t="s">
        <v>1612</v>
      </c>
      <c r="H2" t="s">
        <v>1613</v>
      </c>
      <c r="I2" t="s">
        <v>841</v>
      </c>
      <c r="J2" t="s">
        <v>842</v>
      </c>
      <c r="K2">
        <v>3</v>
      </c>
    </row>
    <row r="3" spans="1:11" x14ac:dyDescent="0.2">
      <c r="A3">
        <v>46135</v>
      </c>
      <c r="B3">
        <v>15009000</v>
      </c>
      <c r="C3">
        <v>4058668</v>
      </c>
      <c r="D3">
        <v>80019152</v>
      </c>
      <c r="E3">
        <v>0</v>
      </c>
      <c r="F3" t="s">
        <v>1611</v>
      </c>
      <c r="G3" t="s">
        <v>1612</v>
      </c>
      <c r="H3" t="s">
        <v>1613</v>
      </c>
      <c r="I3" t="s">
        <v>956</v>
      </c>
      <c r="J3" t="s">
        <v>957</v>
      </c>
      <c r="K3">
        <v>129</v>
      </c>
    </row>
    <row r="4" spans="1:11" x14ac:dyDescent="0.2">
      <c r="A4">
        <v>46135</v>
      </c>
      <c r="B4">
        <v>15009000</v>
      </c>
      <c r="C4">
        <v>4058668</v>
      </c>
      <c r="D4">
        <v>80019152</v>
      </c>
      <c r="E4">
        <v>0</v>
      </c>
      <c r="F4" t="s">
        <v>1611</v>
      </c>
      <c r="G4" t="s">
        <v>1612</v>
      </c>
      <c r="H4" t="s">
        <v>1613</v>
      </c>
      <c r="I4" t="s">
        <v>890</v>
      </c>
      <c r="J4" t="s">
        <v>891</v>
      </c>
      <c r="K4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5F293-26BB-4D2A-A278-F049751C47F0}">
  <sheetPr codeName="Sheet10">
    <pageSetUpPr fitToPage="1"/>
  </sheetPr>
  <dimension ref="A1:N77"/>
  <sheetViews>
    <sheetView showGridLines="0" defaultGridColor="0" view="pageBreakPreview" topLeftCell="B26" colorId="8" zoomScale="70" zoomScaleNormal="100" zoomScaleSheetLayoutView="70" workbookViewId="0">
      <selection activeCell="C52" sqref="C52"/>
    </sheetView>
  </sheetViews>
  <sheetFormatPr baseColWidth="10" defaultColWidth="8.83203125" defaultRowHeight="18" x14ac:dyDescent="0.15"/>
  <cols>
    <col min="1" max="1" width="5.33203125" style="35" hidden="1" customWidth="1"/>
    <col min="2" max="2" width="22.6640625" style="218" customWidth="1"/>
    <col min="3" max="3" width="33.83203125" style="230" customWidth="1"/>
    <col min="4" max="4" width="88" style="231" customWidth="1"/>
    <col min="5" max="5" width="10.6640625" style="231" customWidth="1"/>
    <col min="6" max="6" width="9" style="232" customWidth="1"/>
    <col min="7" max="7" width="24.83203125" style="218" customWidth="1"/>
    <col min="8" max="8" width="17.6640625" style="218" customWidth="1"/>
    <col min="9" max="9" width="42.83203125" style="147" customWidth="1"/>
    <col min="10" max="10" width="28" style="44" customWidth="1"/>
    <col min="11" max="11" width="45.1640625" style="35" customWidth="1"/>
    <col min="12" max="12" width="8.83203125" style="35"/>
    <col min="13" max="13" width="11.33203125" style="148" customWidth="1"/>
    <col min="14" max="15" width="24.33203125" style="35" customWidth="1"/>
    <col min="16" max="16384" width="8.83203125" style="35"/>
  </cols>
  <sheetData>
    <row r="1" spans="1:14" ht="59" x14ac:dyDescent="0.2">
      <c r="B1" s="36" t="str">
        <f>IF(F6="Return Outbound","RETURN DELIVERY NOTE","DELIVERY NOTE")</f>
        <v>DELIVERY NOTE</v>
      </c>
      <c r="C1" s="36"/>
      <c r="D1" s="37"/>
      <c r="E1" s="36"/>
      <c r="F1" s="36"/>
      <c r="G1" s="36"/>
      <c r="H1" s="38"/>
      <c r="I1" s="39" t="str">
        <f>CONCATENATE("RG_",G6,"_",B12,"_",G5,"_PO",G4)</f>
        <v>RG_80019223_Metal World EST_P0-5116_PO15011108</v>
      </c>
      <c r="J1" s="39" t="str">
        <f>IF(B12&lt;&gt;"",B12,1111111111111)</f>
        <v>Metal World EST</v>
      </c>
      <c r="K1" s="40" t="str" cm="1">
        <f t="array" ref="K1:K2">_xlfn._xlws.FILTER('[1]Address for deliveries'!C:C,'[1]Address for deliveries'!A:A='DELIVERY NOTE'!B12)</f>
        <v>Tuwaiq, Riyadh</v>
      </c>
      <c r="L1" s="40" t="str">
        <f>CONCATENATE("RG_",G6,"_",B12,"_",G5,"_PO",G4)</f>
        <v>RG_80019223_Metal World EST_P0-5116_PO15011108</v>
      </c>
      <c r="M1" s="41" t="str" cm="1">
        <f t="array" ref="M1:M10">_xlfn.UNIQUE('[1]Address Book'!AA:AA)</f>
        <v>Name</v>
      </c>
      <c r="N1" s="42"/>
    </row>
    <row r="2" spans="1:14" ht="26.25" customHeight="1" thickBot="1" x14ac:dyDescent="0.25">
      <c r="B2" s="43"/>
      <c r="C2" s="43"/>
      <c r="D2" s="43"/>
      <c r="E2" s="43"/>
      <c r="F2" s="43"/>
      <c r="G2" s="43"/>
      <c r="H2" s="43"/>
      <c r="I2" s="39" t="str">
        <f>"Prepare for "&amp;B12&amp;"_Invoice_"&amp;G6&amp;"_"&amp;G4</f>
        <v>Prepare for Metal World EST_Invoice_80019223_15011108</v>
      </c>
      <c r="J2" s="44" t="str" cm="1">
        <f t="array" ref="J2:J10">TRANSPOSE(_xlfn._xlws.FILTER('[1]Address for deliveries'!B:J,('[1]Address for deliveries'!A:A='DELIVERY NOTE'!J1)*('[1]Address for deliveries'!C:C=B13)))</f>
        <v>Riyadh - warehouse</v>
      </c>
      <c r="K2" s="35" t="str">
        <v>Computer market, Olaya, Riyadh, Al-Ameera Building, 5th Floor, Office No.503</v>
      </c>
      <c r="L2" s="40" t="s">
        <v>1614</v>
      </c>
      <c r="M2" s="41" t="str">
        <v>COMMSCOPE STOCK</v>
      </c>
      <c r="N2" s="40" t="s">
        <v>1615</v>
      </c>
    </row>
    <row r="3" spans="1:14" ht="19" thickBot="1" x14ac:dyDescent="0.25">
      <c r="A3" s="35">
        <v>1</v>
      </c>
      <c r="B3" s="35"/>
      <c r="C3" s="45"/>
      <c r="D3" s="46"/>
      <c r="E3" s="46"/>
      <c r="F3" s="47" t="s">
        <v>1421</v>
      </c>
      <c r="G3" s="48">
        <f ca="1">TODAY()</f>
        <v>46143</v>
      </c>
      <c r="H3" s="49"/>
      <c r="I3" s="35"/>
      <c r="J3" s="44" t="str">
        <v>Tuwaiq, Riyadh</v>
      </c>
      <c r="M3" s="41" t="str">
        <v>SCHNEIDER STOCK</v>
      </c>
      <c r="N3" s="40" t="s">
        <v>1616</v>
      </c>
    </row>
    <row r="4" spans="1:14" ht="22" thickBot="1" x14ac:dyDescent="0.25">
      <c r="A4" s="35">
        <v>1</v>
      </c>
      <c r="B4" s="50"/>
      <c r="C4" s="50"/>
      <c r="D4" s="50"/>
      <c r="E4" s="50"/>
      <c r="F4" s="47" t="s">
        <v>1617</v>
      </c>
      <c r="G4" s="51" t="str" cm="1">
        <f t="array" ref="G4">_xlfn.UNIQUE([1]!Invoice__6[Invoice (4).Sales Doc.])</f>
        <v>15011108</v>
      </c>
      <c r="H4" s="52"/>
      <c r="I4" s="35"/>
      <c r="J4" s="44" t="str">
        <v>https://maps.app.goo.gl/wkXhmPsW3EyFvAja6</v>
      </c>
      <c r="M4" s="41" t="str">
        <v>DEMO STOCK</v>
      </c>
      <c r="N4" s="40" t="s">
        <v>1618</v>
      </c>
    </row>
    <row r="5" spans="1:14" s="53" customFormat="1" ht="26" thickBot="1" x14ac:dyDescent="0.25">
      <c r="A5" s="53">
        <v>1</v>
      </c>
      <c r="B5" s="54" t="s">
        <v>1619</v>
      </c>
      <c r="C5" s="55"/>
      <c r="D5" s="56"/>
      <c r="E5" s="56"/>
      <c r="F5" s="47" t="s">
        <v>1423</v>
      </c>
      <c r="G5" s="57" t="str" cm="1">
        <f t="array" ref="G5">_xlfn.UNIQUE([1]!Invoice__6[Invoice (4).Customer Reference])</f>
        <v>P0-5116</v>
      </c>
      <c r="H5" s="58"/>
      <c r="J5" s="44" t="str">
        <v>Rajesh Chandu</v>
      </c>
      <c r="M5" s="41" t="str">
        <v>AVAYA STOCK</v>
      </c>
      <c r="N5" s="40" t="s">
        <v>1620</v>
      </c>
    </row>
    <row r="6" spans="1:14" s="53" customFormat="1" ht="21" thickBot="1" x14ac:dyDescent="0.25">
      <c r="A6" s="53">
        <v>1</v>
      </c>
      <c r="B6" s="59" t="s">
        <v>1621</v>
      </c>
      <c r="C6" s="59"/>
      <c r="D6" s="56"/>
      <c r="E6" s="56"/>
      <c r="F6" s="60" t="s">
        <v>1622</v>
      </c>
      <c r="G6" s="51" t="str" cm="1">
        <f t="array" ref="G6">_xlfn.UNIQUE([1]!Invoice__6[Invoice (4).Delivery])</f>
        <v>80019223</v>
      </c>
      <c r="H6" s="58"/>
      <c r="J6" s="44" t="str">
        <v>+966550724969</v>
      </c>
      <c r="M6" s="41" t="str">
        <v>DAHUA TECH STOCK</v>
      </c>
      <c r="N6" s="40" t="s">
        <v>1623</v>
      </c>
    </row>
    <row r="7" spans="1:14" s="53" customFormat="1" ht="26" thickBot="1" x14ac:dyDescent="0.25">
      <c r="A7" s="53">
        <v>1</v>
      </c>
      <c r="B7" s="59" t="s">
        <v>1624</v>
      </c>
      <c r="C7" s="61"/>
      <c r="D7" s="62"/>
      <c r="E7" s="62"/>
      <c r="F7" s="60" t="s">
        <v>1625</v>
      </c>
      <c r="G7" s="51" t="s">
        <v>1438</v>
      </c>
      <c r="H7" s="58"/>
      <c r="J7" s="44">
        <v>0</v>
      </c>
      <c r="M7" s="41" t="str">
        <v>eKIT STOCK</v>
      </c>
      <c r="N7" s="40" t="s">
        <v>1626</v>
      </c>
    </row>
    <row r="8" spans="1:14" s="53" customFormat="1" x14ac:dyDescent="0.2">
      <c r="B8" s="63" t="s">
        <v>1627</v>
      </c>
      <c r="C8" s="64"/>
      <c r="D8" s="63"/>
      <c r="E8" s="63"/>
      <c r="G8" s="59"/>
      <c r="J8" s="44">
        <v>0</v>
      </c>
      <c r="M8" s="41" t="str">
        <v>HANWHA STOCK</v>
      </c>
    </row>
    <row r="9" spans="1:14" s="53" customFormat="1" x14ac:dyDescent="0.2">
      <c r="B9" s="63" t="s">
        <v>1628</v>
      </c>
      <c r="C9" s="65"/>
      <c r="D9" s="59"/>
      <c r="E9" s="59"/>
      <c r="F9" s="60"/>
      <c r="G9" s="59"/>
      <c r="H9" s="66"/>
      <c r="J9" s="44">
        <v>0</v>
      </c>
      <c r="M9" s="41" t="str">
        <v>LG STOCK</v>
      </c>
    </row>
    <row r="10" spans="1:14" s="53" customFormat="1" ht="19" thickBot="1" x14ac:dyDescent="0.25">
      <c r="B10" s="67" t="s">
        <v>1629</v>
      </c>
      <c r="C10" s="68"/>
      <c r="D10" s="64"/>
      <c r="E10" s="64"/>
      <c r="F10" s="60"/>
      <c r="G10" s="69"/>
      <c r="H10" s="66"/>
      <c r="J10" s="44">
        <v>0</v>
      </c>
      <c r="K10" s="53" t="s">
        <v>1630</v>
      </c>
      <c r="M10" s="41">
        <v>0</v>
      </c>
    </row>
    <row r="11" spans="1:14" s="53" customFormat="1" ht="19" thickBot="1" x14ac:dyDescent="0.25">
      <c r="A11" s="53">
        <v>1</v>
      </c>
      <c r="B11" s="70" t="str">
        <f>IF(F6="RETURN OUTBOUND","Returned From:-","Delivery to:-")</f>
        <v>Delivery to:-</v>
      </c>
      <c r="C11" s="71"/>
      <c r="D11" s="72"/>
      <c r="E11" s="63" t="s">
        <v>1656</v>
      </c>
      <c r="F11" s="73" t="s">
        <v>1631</v>
      </c>
      <c r="G11" s="74" t="s">
        <v>1656</v>
      </c>
      <c r="H11" s="75"/>
      <c r="J11" s="76"/>
      <c r="M11" s="41"/>
    </row>
    <row r="12" spans="1:14" s="53" customFormat="1" ht="24" x14ac:dyDescent="0.2">
      <c r="A12" s="53">
        <v>1</v>
      </c>
      <c r="B12" s="77" t="str" cm="1">
        <f t="array" ref="B12">_xlfn.UNIQUE([1]!Invoice__6[Invoice (4).Name 1])</f>
        <v>Metal World EST</v>
      </c>
      <c r="C12" s="78"/>
      <c r="D12" s="79"/>
      <c r="E12" s="80"/>
      <c r="F12" s="73"/>
      <c r="G12" s="81"/>
      <c r="H12" s="63"/>
      <c r="J12" s="44"/>
      <c r="M12" s="82"/>
    </row>
    <row r="13" spans="1:14" s="53" customFormat="1" ht="23" x14ac:dyDescent="0.2">
      <c r="A13" s="53">
        <v>1</v>
      </c>
      <c r="B13" s="83" t="s">
        <v>1632</v>
      </c>
      <c r="C13" s="84"/>
      <c r="D13" s="85"/>
      <c r="E13" s="86"/>
      <c r="F13" s="73"/>
      <c r="G13" s="87"/>
      <c r="H13" s="88"/>
      <c r="J13" s="44"/>
      <c r="M13" s="82"/>
    </row>
    <row r="14" spans="1:14" s="53" customFormat="1" ht="23" x14ac:dyDescent="0.25">
      <c r="A14" s="53">
        <v>1</v>
      </c>
      <c r="B14" s="83" t="str">
        <f>J4</f>
        <v>https://maps.app.goo.gl/wkXhmPsW3EyFvAja6</v>
      </c>
      <c r="C14" s="84"/>
      <c r="D14" s="89"/>
      <c r="E14" s="90"/>
      <c r="F14" s="91"/>
      <c r="G14" s="92"/>
      <c r="H14" s="93"/>
      <c r="J14" s="44"/>
      <c r="M14" s="82"/>
    </row>
    <row r="15" spans="1:14" s="53" customFormat="1" x14ac:dyDescent="0.2">
      <c r="B15" s="94"/>
      <c r="C15" s="95"/>
      <c r="D15" s="89"/>
      <c r="E15" s="90"/>
      <c r="F15" s="60"/>
      <c r="G15" s="96"/>
      <c r="H15" s="97"/>
      <c r="J15" s="44"/>
      <c r="M15" s="82"/>
    </row>
    <row r="16" spans="1:14" s="53" customFormat="1" ht="23" x14ac:dyDescent="0.2">
      <c r="B16" s="98" t="s">
        <v>1633</v>
      </c>
      <c r="C16" s="99"/>
      <c r="D16" s="100"/>
      <c r="E16" s="101"/>
      <c r="F16" s="102"/>
      <c r="G16" s="96"/>
      <c r="H16" s="103"/>
      <c r="J16" s="44"/>
      <c r="M16" s="82"/>
    </row>
    <row r="17" spans="1:13" s="104" customFormat="1" ht="26.5" customHeight="1" x14ac:dyDescent="0.2">
      <c r="A17" s="104">
        <v>1</v>
      </c>
      <c r="B17" s="105" t="str">
        <f>J5</f>
        <v>Rajesh Chandu</v>
      </c>
      <c r="C17" s="106" t="str">
        <f>J6</f>
        <v>+966550724969</v>
      </c>
      <c r="D17" s="107"/>
      <c r="E17" s="108"/>
      <c r="F17" s="109"/>
      <c r="G17" s="110"/>
      <c r="H17" s="110"/>
      <c r="J17" s="111"/>
      <c r="M17" s="112" t="str">
        <f>HYPERLINK("whatsapp://send?phone=" &amp; SUBSTITUTE(C17,"+",""), "Chat in App")</f>
        <v>Chat in App</v>
      </c>
    </row>
    <row r="18" spans="1:13" s="104" customFormat="1" ht="19" thickBot="1" x14ac:dyDescent="0.25">
      <c r="A18" s="104">
        <v>1</v>
      </c>
      <c r="B18" s="113">
        <f>J9</f>
        <v>0</v>
      </c>
      <c r="C18" s="114">
        <f>J10</f>
        <v>0</v>
      </c>
      <c r="D18" s="115"/>
      <c r="E18" s="108"/>
      <c r="F18" s="109"/>
      <c r="G18" s="110"/>
      <c r="H18" s="110"/>
      <c r="J18" s="111"/>
      <c r="M18" s="112" t="str">
        <f>HYPERLINK("whatsapp://send?phone=" &amp; SUBSTITUTE(C18,"+",""), "Chat in App")</f>
        <v>Chat in App</v>
      </c>
    </row>
    <row r="19" spans="1:13" s="116" customFormat="1" x14ac:dyDescent="0.2">
      <c r="B19" s="63"/>
      <c r="C19" s="63"/>
      <c r="D19" s="117"/>
      <c r="E19" s="117"/>
      <c r="F19" s="118"/>
      <c r="G19" s="119"/>
      <c r="H19" s="119"/>
      <c r="J19" s="44"/>
      <c r="M19" s="120"/>
    </row>
    <row r="20" spans="1:13" s="121" customFormat="1" ht="28.5" customHeight="1" x14ac:dyDescent="0.2">
      <c r="B20" s="122" t="str">
        <f>IF($G$11="HANWHA STOCK","Model Name","Item #")</f>
        <v>Item #</v>
      </c>
      <c r="C20" s="123" t="str">
        <f>IF(G11="HANWHA STOCK","Model Code","Part Number")</f>
        <v>Part Number</v>
      </c>
      <c r="D20" s="124" t="s">
        <v>189</v>
      </c>
      <c r="E20" s="124" t="s">
        <v>190</v>
      </c>
      <c r="F20" s="125" t="s">
        <v>1634</v>
      </c>
      <c r="G20" s="126" t="s">
        <v>1635</v>
      </c>
      <c r="H20" s="124" t="s">
        <v>1636</v>
      </c>
      <c r="I20" s="127" t="e">
        <f>#REF!</f>
        <v>#REF!</v>
      </c>
      <c r="J20" s="128"/>
      <c r="M20" s="129"/>
    </row>
    <row r="21" spans="1:13" s="130" customFormat="1" ht="33.75" customHeight="1" x14ac:dyDescent="0.2">
      <c r="B21" s="131">
        <f>IF($G$11="HANWHA STOCK",_xlfn.XLOOKUP(C21,'[1]Address Book'!A:A,'[1]Address Book'!G:G),ROW()-ROW($I$20))</f>
        <v>1</v>
      </c>
      <c r="C21" s="131" t="str" cm="1">
        <f t="array" ref="C21">_xlfn._xlws.FILTER([1]!Invoice__6[Material],[1]!Invoice__6[Material]&lt;&gt;"")</f>
        <v>SMV1000I-MSX</v>
      </c>
      <c r="D21" s="132" t="str">
        <f>_xlfn.XLOOKUP(C21,'[1]Address Book'!A:A,'[1]Address Book'!B:B,"")</f>
        <v>APC Easy UPS SMV 1000VA Universal Outlet UK power cord 230V</v>
      </c>
      <c r="E21" s="133">
        <f>SUMIFS([1]!Invoice__6[Total],[1]!Invoice__6[Material],'DELIVERY NOTE'!C21 )</f>
        <v>10</v>
      </c>
      <c r="F21" s="133" t="str">
        <f t="shared" ref="F21:F45" si="0">IF(E21&gt;1,"PCS"," PC")</f>
        <v>PCS</v>
      </c>
      <c r="G21" s="134" t="str">
        <f>IF($G$20="Rack",_xlfn.XLOOKUP(C21,'[1]Address Book'!A:A,'[1]Address Book'!F:F,""),"-")</f>
        <v>-</v>
      </c>
      <c r="H21" s="135" t="s">
        <v>1372</v>
      </c>
      <c r="I21" s="136" cm="1">
        <f t="array" ref="I21">_xlfn._xlws.FILTER('[1]Address Book'!C:C,('[1]Address Book'!A:A='DELIVERY NOTE'!C21)*('[1]Address Book'!AA:AA='DELIVERY NOTE'!$G$11),0)</f>
        <v>0</v>
      </c>
      <c r="J21" s="111" t="str">
        <f>_xlfn.XLOOKUP(C21,'[1]Address Book'!A:A,'[1]Address Book'!E:E,"")</f>
        <v>PCS</v>
      </c>
      <c r="K21" s="130" t="str">
        <f>_xlfn.XLOOKUP(C21,'[1]Address Book'!A:A,'[1]Address Book'!G:G)</f>
        <v>musa</v>
      </c>
      <c r="M21" s="129"/>
    </row>
    <row r="22" spans="1:13" s="130" customFormat="1" ht="33.75" customHeight="1" x14ac:dyDescent="0.2">
      <c r="B22" s="131">
        <f>IF($G$11="HANWHA STOCK",_xlfn.XLOOKUP(C22,'[1]Address Book'!A:A,'[1]Address Book'!G:G),ROW()-ROW($I$20))</f>
        <v>2</v>
      </c>
      <c r="C22" s="131"/>
      <c r="D22" s="132">
        <f>_xlfn.XLOOKUP(C22,'[1]Address Book'!A:A,'[1]Address Book'!B:B,"")</f>
        <v>0</v>
      </c>
      <c r="E22" s="133">
        <f>SUMIFS([1]!Invoice__6[Total],[1]!Invoice__6[Material],'DELIVERY NOTE'!C22 )</f>
        <v>0</v>
      </c>
      <c r="F22" s="133" t="str">
        <f t="shared" si="0"/>
        <v xml:space="preserve"> PC</v>
      </c>
      <c r="G22" s="134" t="str">
        <f>IF($G$20="Rack",_xlfn.XLOOKUP(C22,'[1]Address Book'!A:A,'[1]Address Book'!F:F,""),"-")</f>
        <v>-</v>
      </c>
      <c r="H22" s="135" t="s">
        <v>1372</v>
      </c>
      <c r="I22" s="136" t="e" cm="1" vm="1">
        <f t="array" aca="1" ref="I22" ca="1">_xlfn._xlws.FILTER('[1]Address Book'!C:C,('[1]Address Book'!A:A='DELIVERY NOTE'!C22)*('[1]Address Book'!AA:AA='DELIVERY NOTE'!$G$11),0)</f>
        <v>#VALUE!</v>
      </c>
      <c r="J22" s="111">
        <f>_xlfn.XLOOKUP(C22,'[1]Address Book'!A:A,'[1]Address Book'!E:E,"")</f>
        <v>0</v>
      </c>
      <c r="M22" s="129"/>
    </row>
    <row r="23" spans="1:13" s="130" customFormat="1" ht="33.75" customHeight="1" x14ac:dyDescent="0.2">
      <c r="B23" s="131">
        <f>IF($G$11="HANWHA STOCK",_xlfn.XLOOKUP(C23,'[1]Address Book'!A:A,'[1]Address Book'!G:G),ROW()-ROW($I$20))</f>
        <v>3</v>
      </c>
      <c r="C23" s="131"/>
      <c r="D23" s="132">
        <f>_xlfn.XLOOKUP(C23,'[1]Address Book'!A:A,'[1]Address Book'!B:B,"")</f>
        <v>0</v>
      </c>
      <c r="E23" s="133">
        <f>SUMIFS([1]!Invoice__6[Total],[1]!Invoice__6[Material],'DELIVERY NOTE'!C23 )</f>
        <v>0</v>
      </c>
      <c r="F23" s="133" t="str">
        <f t="shared" si="0"/>
        <v xml:space="preserve"> PC</v>
      </c>
      <c r="G23" s="134" t="str">
        <f>IF($G$20="Rack",_xlfn.XLOOKUP(C23,'[1]Address Book'!A:A,'[1]Address Book'!F:F,""),"-")</f>
        <v>-</v>
      </c>
      <c r="H23" s="135" t="s">
        <v>1372</v>
      </c>
      <c r="I23" s="136" t="e" cm="1" vm="1">
        <f t="array" aca="1" ref="I23" ca="1">_xlfn._xlws.FILTER('[1]Address Book'!C:C,('[1]Address Book'!A:A='DELIVERY NOTE'!C23)*('[1]Address Book'!AA:AA='DELIVERY NOTE'!$G$11),0)</f>
        <v>#VALUE!</v>
      </c>
      <c r="J23" s="111">
        <f>_xlfn.XLOOKUP(C23,'[1]Address Book'!A:A,'[1]Address Book'!E:E,"")</f>
        <v>0</v>
      </c>
      <c r="M23" s="129"/>
    </row>
    <row r="24" spans="1:13" s="130" customFormat="1" ht="33.75" customHeight="1" x14ac:dyDescent="0.2">
      <c r="B24" s="131">
        <f>IF($G$11="HANWHA STOCK",_xlfn.XLOOKUP(C24,'[1]Address Book'!A:A,'[1]Address Book'!G:G),ROW()-ROW($I$20))</f>
        <v>4</v>
      </c>
      <c r="C24" s="131"/>
      <c r="D24" s="132">
        <f>_xlfn.XLOOKUP(C24,'[1]Address Book'!A:A,'[1]Address Book'!B:B,"")</f>
        <v>0</v>
      </c>
      <c r="E24" s="133">
        <f>SUMIFS([1]!Invoice__6[Total],[1]!Invoice__6[Material],'DELIVERY NOTE'!C24 )</f>
        <v>0</v>
      </c>
      <c r="F24" s="133" t="str">
        <f t="shared" si="0"/>
        <v xml:space="preserve"> PC</v>
      </c>
      <c r="G24" s="134" t="str">
        <f>IF($G$20="Rack",_xlfn.XLOOKUP(C24,'[1]Address Book'!A:A,'[1]Address Book'!F:F,""),"-")</f>
        <v>-</v>
      </c>
      <c r="H24" s="135" t="s">
        <v>1372</v>
      </c>
      <c r="I24" s="136" t="e" cm="1" vm="1">
        <f t="array" aca="1" ref="I24" ca="1">_xlfn._xlws.FILTER('[1]Address Book'!C:C,('[1]Address Book'!A:A='DELIVERY NOTE'!C24)*('[1]Address Book'!AA:AA='DELIVERY NOTE'!$G$11),0)</f>
        <v>#VALUE!</v>
      </c>
      <c r="J24" s="111">
        <f>_xlfn.XLOOKUP(C24,'[1]Address Book'!A:A,'[1]Address Book'!E:E,"")</f>
        <v>0</v>
      </c>
      <c r="M24" s="129"/>
    </row>
    <row r="25" spans="1:13" s="130" customFormat="1" ht="33.75" customHeight="1" x14ac:dyDescent="0.2">
      <c r="B25" s="131">
        <f>IF($G$11="HANWHA STOCK",_xlfn.XLOOKUP(C25,'[1]Address Book'!A:A,'[1]Address Book'!G:G),ROW()-ROW($I$20))</f>
        <v>5</v>
      </c>
      <c r="C25" s="131"/>
      <c r="D25" s="132">
        <f>_xlfn.XLOOKUP(C25,'[1]Address Book'!A:A,'[1]Address Book'!B:B,"")</f>
        <v>0</v>
      </c>
      <c r="E25" s="133">
        <f>SUMIFS([1]!Invoice__6[Total],[1]!Invoice__6[Material],'DELIVERY NOTE'!C25 )</f>
        <v>0</v>
      </c>
      <c r="F25" s="133" t="str">
        <f t="shared" si="0"/>
        <v xml:space="preserve"> PC</v>
      </c>
      <c r="G25" s="134" t="str">
        <f>IF($G$20="Rack",_xlfn.XLOOKUP(C25,'[1]Address Book'!A:A,'[1]Address Book'!F:F,""),"-")</f>
        <v>-</v>
      </c>
      <c r="H25" s="135" t="s">
        <v>1372</v>
      </c>
      <c r="I25" s="136" t="e" cm="1" vm="1">
        <f t="array" aca="1" ref="I25" ca="1">_xlfn._xlws.FILTER('[1]Address Book'!C:C,('[1]Address Book'!A:A='DELIVERY NOTE'!C25)*('[1]Address Book'!AA:AA='DELIVERY NOTE'!$G$11),0)</f>
        <v>#VALUE!</v>
      </c>
      <c r="J25" s="111">
        <f>_xlfn.XLOOKUP(C25,'[1]Address Book'!A:A,'[1]Address Book'!E:E,"")</f>
        <v>0</v>
      </c>
      <c r="M25" s="129"/>
    </row>
    <row r="26" spans="1:13" s="130" customFormat="1" ht="33.75" customHeight="1" x14ac:dyDescent="0.2">
      <c r="B26" s="131">
        <f>IF($G$11="HANWHA STOCK",_xlfn.XLOOKUP(C26,'[1]Address Book'!A:A,'[1]Address Book'!G:G),ROW()-ROW($I$20))</f>
        <v>6</v>
      </c>
      <c r="C26" s="131"/>
      <c r="D26" s="132">
        <f>_xlfn.XLOOKUP(C26,'[1]Address Book'!A:A,'[1]Address Book'!B:B,"")</f>
        <v>0</v>
      </c>
      <c r="E26" s="133">
        <f>SUMIFS([1]!Invoice__6[Total],[1]!Invoice__6[Material],'DELIVERY NOTE'!C26 )</f>
        <v>0</v>
      </c>
      <c r="F26" s="133" t="str">
        <f t="shared" si="0"/>
        <v xml:space="preserve"> PC</v>
      </c>
      <c r="G26" s="134" t="str">
        <f>IF($G$20="Rack",_xlfn.XLOOKUP(C26,'[1]Address Book'!A:A,'[1]Address Book'!F:F,""),"-")</f>
        <v>-</v>
      </c>
      <c r="H26" s="135" t="s">
        <v>1372</v>
      </c>
      <c r="I26" s="136" t="e" cm="1" vm="1">
        <f t="array" aca="1" ref="I26" ca="1">_xlfn._xlws.FILTER('[1]Address Book'!C:C,('[1]Address Book'!A:A='DELIVERY NOTE'!C26)*('[1]Address Book'!AA:AA='DELIVERY NOTE'!$G$11),0)</f>
        <v>#VALUE!</v>
      </c>
      <c r="J26" s="111">
        <f>_xlfn.XLOOKUP(C26,'[1]Address Book'!A:A,'[1]Address Book'!E:E,"")</f>
        <v>0</v>
      </c>
      <c r="M26" s="129"/>
    </row>
    <row r="27" spans="1:13" s="130" customFormat="1" ht="33.75" customHeight="1" x14ac:dyDescent="0.2">
      <c r="B27" s="131">
        <f>IF($G$11="HANWHA STOCK",_xlfn.XLOOKUP(C27,'[1]Address Book'!A:A,'[1]Address Book'!G:G),ROW()-ROW($I$20))</f>
        <v>7</v>
      </c>
      <c r="C27" s="131"/>
      <c r="D27" s="132">
        <f>_xlfn.XLOOKUP(C27,'[1]Address Book'!A:A,'[1]Address Book'!B:B,"")</f>
        <v>0</v>
      </c>
      <c r="E27" s="133">
        <f>SUMIFS([1]!Invoice__6[Total],[1]!Invoice__6[Material],'DELIVERY NOTE'!C27 )</f>
        <v>0</v>
      </c>
      <c r="F27" s="133" t="str">
        <f t="shared" si="0"/>
        <v xml:space="preserve"> PC</v>
      </c>
      <c r="G27" s="134" t="str">
        <f>IF($G$20="Rack",_xlfn.XLOOKUP(C27,'[1]Address Book'!A:A,'[1]Address Book'!F:F,""),"-")</f>
        <v>-</v>
      </c>
      <c r="H27" s="135" t="s">
        <v>1372</v>
      </c>
      <c r="I27" s="136" t="e" cm="1" vm="1">
        <f t="array" aca="1" ref="I27" ca="1">_xlfn._xlws.FILTER('[1]Address Book'!C:C,('[1]Address Book'!A:A='DELIVERY NOTE'!C27)*('[1]Address Book'!AA:AA='DELIVERY NOTE'!$G$11),0)</f>
        <v>#VALUE!</v>
      </c>
      <c r="J27" s="111">
        <f>_xlfn.XLOOKUP(C27,'[1]Address Book'!A:A,'[1]Address Book'!E:E,"")</f>
        <v>0</v>
      </c>
      <c r="M27" s="129"/>
    </row>
    <row r="28" spans="1:13" s="130" customFormat="1" ht="25" x14ac:dyDescent="0.2">
      <c r="B28" s="131">
        <f>IF($G$11="HANWHA STOCK",_xlfn.XLOOKUP(C28,'[1]Address Book'!A:A,'[1]Address Book'!G:G),ROW()-ROW($I$20))</f>
        <v>8</v>
      </c>
      <c r="C28" s="131"/>
      <c r="D28" s="132">
        <f>_xlfn.XLOOKUP(C28,'[1]Address Book'!A:A,'[1]Address Book'!B:B,"")</f>
        <v>0</v>
      </c>
      <c r="E28" s="133">
        <f>SUMIFS([1]!Invoice__6[Total],[1]!Invoice__6[Material],'DELIVERY NOTE'!C28 )</f>
        <v>0</v>
      </c>
      <c r="F28" s="133" t="str">
        <f t="shared" si="0"/>
        <v xml:space="preserve"> PC</v>
      </c>
      <c r="G28" s="134" t="str">
        <f>IF($G$20="Rack",_xlfn.XLOOKUP(C28,'[1]Address Book'!A:A,'[1]Address Book'!F:F,""),"-")</f>
        <v>-</v>
      </c>
      <c r="H28" s="135" t="s">
        <v>1372</v>
      </c>
      <c r="I28" s="136" t="e" cm="1" vm="1">
        <f t="array" aca="1" ref="I28" ca="1">_xlfn._xlws.FILTER('[1]Address Book'!C:C,('[1]Address Book'!A:A='DELIVERY NOTE'!C28)*('[1]Address Book'!AA:AA='DELIVERY NOTE'!$G$11),0)</f>
        <v>#VALUE!</v>
      </c>
      <c r="J28" s="111">
        <f>_xlfn.XLOOKUP(C28,'[1]Address Book'!A:A,'[1]Address Book'!E:E,"")</f>
        <v>0</v>
      </c>
      <c r="M28" s="129"/>
    </row>
    <row r="29" spans="1:13" s="130" customFormat="1" ht="25" x14ac:dyDescent="0.2">
      <c r="B29" s="131">
        <f>IF($G$11="HANWHA STOCK",_xlfn.XLOOKUP(C29,'[1]Address Book'!A:A,'[1]Address Book'!G:G),ROW()-ROW($I$20))</f>
        <v>9</v>
      </c>
      <c r="C29" s="131"/>
      <c r="D29" s="132">
        <f>_xlfn.XLOOKUP(C29,'[1]Address Book'!A:A,'[1]Address Book'!B:B,"")</f>
        <v>0</v>
      </c>
      <c r="E29" s="133">
        <f>SUMIFS([1]!Invoice__6[Total],[1]!Invoice__6[Material],'DELIVERY NOTE'!C29 )</f>
        <v>0</v>
      </c>
      <c r="F29" s="133" t="str">
        <f t="shared" si="0"/>
        <v xml:space="preserve"> PC</v>
      </c>
      <c r="G29" s="134" t="str">
        <f>IF($G$20="Rack",_xlfn.XLOOKUP(C29,'[1]Address Book'!A:A,'[1]Address Book'!F:F,""),"-")</f>
        <v>-</v>
      </c>
      <c r="H29" s="135" t="s">
        <v>1372</v>
      </c>
      <c r="I29" s="136" t="e" cm="1" vm="1">
        <f t="array" aca="1" ref="I29" ca="1">_xlfn._xlws.FILTER('[1]Address Book'!C:C,('[1]Address Book'!A:A='DELIVERY NOTE'!C29)*('[1]Address Book'!AA:AA='DELIVERY NOTE'!$G$11),0)</f>
        <v>#VALUE!</v>
      </c>
      <c r="J29" s="111">
        <f>_xlfn.XLOOKUP(C29,'[1]Address Book'!A:A,'[1]Address Book'!E:E,"")</f>
        <v>0</v>
      </c>
      <c r="M29" s="129"/>
    </row>
    <row r="30" spans="1:13" s="130" customFormat="1" ht="25" x14ac:dyDescent="0.2">
      <c r="B30" s="131">
        <f>IF($G$11="HANWHA STOCK",_xlfn.XLOOKUP(C30,'[1]Address Book'!A:A,'[1]Address Book'!G:G),ROW()-ROW($I$20))</f>
        <v>10</v>
      </c>
      <c r="C30" s="131"/>
      <c r="D30" s="132">
        <f>_xlfn.XLOOKUP(C30,'[1]Address Book'!A:A,'[1]Address Book'!B:B,"")</f>
        <v>0</v>
      </c>
      <c r="E30" s="133">
        <f>SUMIFS([1]!Invoice__6[Total],[1]!Invoice__6[Material],'DELIVERY NOTE'!C30 )</f>
        <v>0</v>
      </c>
      <c r="F30" s="133" t="str">
        <f t="shared" si="0"/>
        <v xml:space="preserve"> PC</v>
      </c>
      <c r="G30" s="134" t="str">
        <f>IF($G$20="Rack",_xlfn.XLOOKUP(C30,'[1]Address Book'!A:A,'[1]Address Book'!F:F,""),"-")</f>
        <v>-</v>
      </c>
      <c r="H30" s="135" t="s">
        <v>1372</v>
      </c>
      <c r="I30" s="136" t="e" cm="1" vm="1">
        <f t="array" aca="1" ref="I30" ca="1">_xlfn._xlws.FILTER('[1]Address Book'!C:C,('[1]Address Book'!A:A='DELIVERY NOTE'!C30)*('[1]Address Book'!AA:AA='DELIVERY NOTE'!$G$11),0)</f>
        <v>#VALUE!</v>
      </c>
      <c r="J30" s="111">
        <f>_xlfn.XLOOKUP(C30,'[1]Address Book'!A:A,'[1]Address Book'!E:E,"")</f>
        <v>0</v>
      </c>
      <c r="M30" s="129"/>
    </row>
    <row r="31" spans="1:13" s="130" customFormat="1" ht="25" x14ac:dyDescent="0.2">
      <c r="B31" s="131">
        <f>IF($G$11="HANWHA STOCK",_xlfn.XLOOKUP(C31,'[1]Address Book'!A:A,'[1]Address Book'!G:G),ROW()-ROW($I$20))</f>
        <v>11</v>
      </c>
      <c r="C31" s="131"/>
      <c r="D31" s="132">
        <f>_xlfn.XLOOKUP(C31,'[1]Address Book'!A:A,'[1]Address Book'!B:B,"")</f>
        <v>0</v>
      </c>
      <c r="E31" s="133">
        <f>SUMIFS([1]!Invoice__6[Total],[1]!Invoice__6[Material],'DELIVERY NOTE'!C31 )</f>
        <v>0</v>
      </c>
      <c r="F31" s="133" t="str">
        <f t="shared" si="0"/>
        <v xml:space="preserve"> PC</v>
      </c>
      <c r="G31" s="134" t="str">
        <f>IF($G$20="Rack",_xlfn.XLOOKUP(C31,'[1]Address Book'!A:A,'[1]Address Book'!F:F,""),"-")</f>
        <v>-</v>
      </c>
      <c r="H31" s="135" t="s">
        <v>1372</v>
      </c>
      <c r="I31" s="136" t="e" cm="1" vm="1">
        <f t="array" aca="1" ref="I31" ca="1">_xlfn._xlws.FILTER('[1]Address Book'!C:C,('[1]Address Book'!A:A='DELIVERY NOTE'!C31)*('[1]Address Book'!AA:AA='DELIVERY NOTE'!$G$11),0)</f>
        <v>#VALUE!</v>
      </c>
      <c r="J31" s="111">
        <f>_xlfn.XLOOKUP(C31,'[1]Address Book'!A:A,'[1]Address Book'!E:E,"")</f>
        <v>0</v>
      </c>
      <c r="M31" s="129"/>
    </row>
    <row r="32" spans="1:13" s="130" customFormat="1" ht="30" customHeight="1" x14ac:dyDescent="0.2">
      <c r="B32" s="131">
        <f>IF($G$11="HANWHA STOCK",_xlfn.XLOOKUP(C32,'[1]Address Book'!A:A,'[1]Address Book'!G:G),ROW()-ROW($I$20))</f>
        <v>12</v>
      </c>
      <c r="C32" s="131"/>
      <c r="D32" s="132">
        <f>_xlfn.XLOOKUP(C32,'[1]Address Book'!A:A,'[1]Address Book'!B:B,"")</f>
        <v>0</v>
      </c>
      <c r="E32" s="133">
        <f>SUMIFS([1]!Invoice__6[Total],[1]!Invoice__6[Material],'DELIVERY NOTE'!C32 )</f>
        <v>0</v>
      </c>
      <c r="F32" s="133" t="str">
        <f t="shared" si="0"/>
        <v xml:space="preserve"> PC</v>
      </c>
      <c r="G32" s="134" t="str">
        <f>IF($G$20="Rack",_xlfn.XLOOKUP(C32,'[1]Address Book'!A:A,'[1]Address Book'!F:F,""),"-")</f>
        <v>-</v>
      </c>
      <c r="H32" s="135" t="s">
        <v>1372</v>
      </c>
      <c r="I32" s="136" t="e" cm="1" vm="1">
        <f t="array" aca="1" ref="I32" ca="1">_xlfn._xlws.FILTER('[1]Address Book'!C:C,('[1]Address Book'!A:A='DELIVERY NOTE'!C32)*('[1]Address Book'!AA:AA='DELIVERY NOTE'!$G$11),0)</f>
        <v>#VALUE!</v>
      </c>
      <c r="J32" s="111">
        <f>_xlfn.XLOOKUP(C32,'[1]Address Book'!A:A,'[1]Address Book'!E:E,"")</f>
        <v>0</v>
      </c>
      <c r="M32" s="129"/>
    </row>
    <row r="33" spans="2:13" s="130" customFormat="1" ht="30" customHeight="1" x14ac:dyDescent="0.2">
      <c r="B33" s="131">
        <f>IF($G$11="HANWHA STOCK",_xlfn.XLOOKUP(C33,'[1]Address Book'!A:A,'[1]Address Book'!G:G),ROW()-ROW($I$20))</f>
        <v>13</v>
      </c>
      <c r="C33" s="131"/>
      <c r="D33" s="132">
        <f>_xlfn.XLOOKUP(C33,'[1]Address Book'!A:A,'[1]Address Book'!B:B,"")</f>
        <v>0</v>
      </c>
      <c r="E33" s="133">
        <f>SUMIFS([1]!Invoice__6[Total],[1]!Invoice__6[Material],'DELIVERY NOTE'!C33 )</f>
        <v>0</v>
      </c>
      <c r="F33" s="133" t="str">
        <f t="shared" si="0"/>
        <v xml:space="preserve"> PC</v>
      </c>
      <c r="G33" s="134" t="str">
        <f>IF($G$20="Rack",_xlfn.XLOOKUP(C33,'[1]Address Book'!A:A,'[1]Address Book'!F:F,""),"-")</f>
        <v>-</v>
      </c>
      <c r="H33" s="135" t="s">
        <v>1372</v>
      </c>
      <c r="I33" s="136" t="e" cm="1" vm="1">
        <f t="array" aca="1" ref="I33" ca="1">_xlfn._xlws.FILTER('[1]Address Book'!C:C,('[1]Address Book'!A:A='DELIVERY NOTE'!C33)*('[1]Address Book'!AA:AA='DELIVERY NOTE'!$G$11),0)</f>
        <v>#VALUE!</v>
      </c>
      <c r="J33" s="111">
        <f>_xlfn.XLOOKUP(C33,'[1]Address Book'!A:A,'[1]Address Book'!E:E,"")</f>
        <v>0</v>
      </c>
      <c r="M33" s="129"/>
    </row>
    <row r="34" spans="2:13" s="130" customFormat="1" ht="30" customHeight="1" x14ac:dyDescent="0.2">
      <c r="B34" s="131">
        <f>IF($G$11="HANWHA STOCK",_xlfn.XLOOKUP(C34,'[1]Address Book'!A:A,'[1]Address Book'!G:G),ROW()-ROW($I$20))</f>
        <v>14</v>
      </c>
      <c r="C34" s="131"/>
      <c r="D34" s="132">
        <f>_xlfn.XLOOKUP(C34,'[1]Address Book'!A:A,'[1]Address Book'!B:B,"")</f>
        <v>0</v>
      </c>
      <c r="E34" s="133">
        <f>SUMIFS([1]!Invoice__6[Total],[1]!Invoice__6[Material],'DELIVERY NOTE'!C34 )</f>
        <v>0</v>
      </c>
      <c r="F34" s="133" t="str">
        <f t="shared" si="0"/>
        <v xml:space="preserve"> PC</v>
      </c>
      <c r="G34" s="134" t="str">
        <f>IF($G$20="Rack",_xlfn.XLOOKUP(C34,'[1]Address Book'!A:A,'[1]Address Book'!F:F,""),"-")</f>
        <v>-</v>
      </c>
      <c r="H34" s="135" t="s">
        <v>1372</v>
      </c>
      <c r="I34" s="136" t="e" cm="1" vm="1">
        <f t="array" aca="1" ref="I34" ca="1">_xlfn._xlws.FILTER('[1]Address Book'!C:C,('[1]Address Book'!A:A='DELIVERY NOTE'!C34)*('[1]Address Book'!AA:AA='DELIVERY NOTE'!$G$11),0)</f>
        <v>#VALUE!</v>
      </c>
      <c r="J34" s="111">
        <f>_xlfn.XLOOKUP(C34,'[1]Address Book'!A:A,'[1]Address Book'!E:E,"")</f>
        <v>0</v>
      </c>
      <c r="M34" s="129"/>
    </row>
    <row r="35" spans="2:13" s="130" customFormat="1" ht="30" customHeight="1" x14ac:dyDescent="0.2">
      <c r="B35" s="131">
        <f>IF($G$11="HANWHA STOCK",_xlfn.XLOOKUP(C35,'[1]Address Book'!A:A,'[1]Address Book'!G:G),ROW()-ROW($I$20))</f>
        <v>15</v>
      </c>
      <c r="C35" s="131"/>
      <c r="D35" s="132">
        <f>_xlfn.XLOOKUP(C35,'[1]Address Book'!A:A,'[1]Address Book'!B:B,"")</f>
        <v>0</v>
      </c>
      <c r="E35" s="133">
        <f>SUMIFS([1]!Invoice__6[Total],[1]!Invoice__6[Material],'DELIVERY NOTE'!C35 )</f>
        <v>0</v>
      </c>
      <c r="F35" s="133" t="str">
        <f t="shared" si="0"/>
        <v xml:space="preserve"> PC</v>
      </c>
      <c r="G35" s="134" t="str">
        <f>IF($G$20="Rack",_xlfn.XLOOKUP(C35,'[1]Address Book'!A:A,'[1]Address Book'!F:F,""),"-")</f>
        <v>-</v>
      </c>
      <c r="H35" s="135" t="s">
        <v>1372</v>
      </c>
      <c r="I35" s="136" t="e" cm="1" vm="1">
        <f t="array" aca="1" ref="I35" ca="1">_xlfn._xlws.FILTER('[1]Address Book'!C:C,('[1]Address Book'!A:A='DELIVERY NOTE'!C35)*('[1]Address Book'!AA:AA='DELIVERY NOTE'!$G$11),0)</f>
        <v>#VALUE!</v>
      </c>
      <c r="J35" s="111">
        <f>_xlfn.XLOOKUP(C35,'[1]Address Book'!A:A,'[1]Address Book'!E:E,"")</f>
        <v>0</v>
      </c>
      <c r="M35" s="129"/>
    </row>
    <row r="36" spans="2:13" s="130" customFormat="1" ht="30" customHeight="1" x14ac:dyDescent="0.2">
      <c r="B36" s="131">
        <f>IF($G$11="HANWHA STOCK",_xlfn.XLOOKUP(C36,'[1]Address Book'!A:A,'[1]Address Book'!G:G),ROW()-ROW($I$20))</f>
        <v>16</v>
      </c>
      <c r="C36" s="131"/>
      <c r="D36" s="132">
        <f>_xlfn.XLOOKUP(C36,'[1]Address Book'!A:A,'[1]Address Book'!B:B,"")</f>
        <v>0</v>
      </c>
      <c r="E36" s="133">
        <f>SUMIFS([1]!Invoice__6[Total],[1]!Invoice__6[Material],'DELIVERY NOTE'!C36 )</f>
        <v>0</v>
      </c>
      <c r="F36" s="133" t="str">
        <f t="shared" si="0"/>
        <v xml:space="preserve"> PC</v>
      </c>
      <c r="G36" s="134" t="str">
        <f>IF($G$20="Rack",_xlfn.XLOOKUP(C36,'[1]Address Book'!A:A,'[1]Address Book'!F:F,""),"-")</f>
        <v>-</v>
      </c>
      <c r="H36" s="135" t="s">
        <v>1372</v>
      </c>
      <c r="I36" s="136" t="e" cm="1" vm="1">
        <f t="array" aca="1" ref="I36" ca="1">_xlfn._xlws.FILTER('[1]Address Book'!C:C,('[1]Address Book'!A:A='DELIVERY NOTE'!C36)*('[1]Address Book'!AA:AA='DELIVERY NOTE'!$G$11),0)</f>
        <v>#VALUE!</v>
      </c>
      <c r="J36" s="111">
        <f>_xlfn.XLOOKUP(C36,'[1]Address Book'!A:A,'[1]Address Book'!E:E,"")</f>
        <v>0</v>
      </c>
      <c r="M36" s="129"/>
    </row>
    <row r="37" spans="2:13" s="130" customFormat="1" ht="30" customHeight="1" x14ac:dyDescent="0.2">
      <c r="B37" s="131">
        <f>IF($G$11="HANWHA STOCK",_xlfn.XLOOKUP(C37,'[1]Address Book'!A:A,'[1]Address Book'!G:G),ROW()-ROW($I$20))</f>
        <v>17</v>
      </c>
      <c r="C37" s="131"/>
      <c r="D37" s="132">
        <f>_xlfn.XLOOKUP(C37,'[1]Address Book'!A:A,'[1]Address Book'!B:B,"")</f>
        <v>0</v>
      </c>
      <c r="E37" s="133">
        <f>SUMIFS([1]!Invoice__6[Total],[1]!Invoice__6[Material],'DELIVERY NOTE'!C37 )</f>
        <v>0</v>
      </c>
      <c r="F37" s="133" t="str">
        <f t="shared" si="0"/>
        <v xml:space="preserve"> PC</v>
      </c>
      <c r="G37" s="134" t="str">
        <f>IF($G$20="Rack",_xlfn.XLOOKUP(C37,'[1]Address Book'!A:A,'[1]Address Book'!F:F,""),"-")</f>
        <v>-</v>
      </c>
      <c r="H37" s="135" t="s">
        <v>1372</v>
      </c>
      <c r="I37" s="136" t="e" cm="1" vm="1">
        <f t="array" aca="1" ref="I37" ca="1">_xlfn._xlws.FILTER('[1]Address Book'!C:C,('[1]Address Book'!A:A='DELIVERY NOTE'!C37)*('[1]Address Book'!AA:AA='DELIVERY NOTE'!$G$11),0)</f>
        <v>#VALUE!</v>
      </c>
      <c r="J37" s="111">
        <f>_xlfn.XLOOKUP(C37,'[1]Address Book'!A:A,'[1]Address Book'!E:E,"")</f>
        <v>0</v>
      </c>
      <c r="M37" s="129"/>
    </row>
    <row r="38" spans="2:13" s="130" customFormat="1" ht="30" customHeight="1" x14ac:dyDescent="0.2">
      <c r="B38" s="131">
        <f>IF($G$11="HANWHA STOCK",_xlfn.XLOOKUP(C38,'[1]Address Book'!A:A,'[1]Address Book'!G:G),ROW()-ROW($I$20))</f>
        <v>18</v>
      </c>
      <c r="C38" s="131"/>
      <c r="D38" s="132">
        <f>_xlfn.XLOOKUP(C38,'[1]Address Book'!A:A,'[1]Address Book'!B:B,"")</f>
        <v>0</v>
      </c>
      <c r="E38" s="133">
        <f>SUMIFS([1]!Invoice__6[Total],[1]!Invoice__6[Material],'DELIVERY NOTE'!C38 )</f>
        <v>0</v>
      </c>
      <c r="F38" s="133" t="str">
        <f t="shared" si="0"/>
        <v xml:space="preserve"> PC</v>
      </c>
      <c r="G38" s="134" t="str">
        <f>IF($G$20="Rack",_xlfn.XLOOKUP(C38,'[1]Address Book'!A:A,'[1]Address Book'!F:F,""),"-")</f>
        <v>-</v>
      </c>
      <c r="H38" s="135" t="s">
        <v>1372</v>
      </c>
      <c r="I38" s="136" t="e" cm="1" vm="1">
        <f t="array" aca="1" ref="I38" ca="1">_xlfn._xlws.FILTER('[1]Address Book'!C:C,('[1]Address Book'!A:A='DELIVERY NOTE'!C38)*('[1]Address Book'!AA:AA='DELIVERY NOTE'!$G$11),0)</f>
        <v>#VALUE!</v>
      </c>
      <c r="J38" s="111">
        <f>_xlfn.XLOOKUP(C38,'[1]Address Book'!A:A,'[1]Address Book'!E:E,"")</f>
        <v>0</v>
      </c>
      <c r="M38" s="129"/>
    </row>
    <row r="39" spans="2:13" s="130" customFormat="1" ht="30" customHeight="1" x14ac:dyDescent="0.2">
      <c r="B39" s="131">
        <f>IF($G$11="HANWHA STOCK",_xlfn.XLOOKUP(C39,'[1]Address Book'!A:A,'[1]Address Book'!G:G),ROW()-ROW($I$20))</f>
        <v>19</v>
      </c>
      <c r="C39" s="131"/>
      <c r="D39" s="132">
        <f>_xlfn.XLOOKUP(C39,'[1]Address Book'!A:A,'[1]Address Book'!B:B,"")</f>
        <v>0</v>
      </c>
      <c r="E39" s="133">
        <f>SUMIFS([1]!Invoice__6[Total],[1]!Invoice__6[Material],'DELIVERY NOTE'!C39 )</f>
        <v>0</v>
      </c>
      <c r="F39" s="133" t="str">
        <f t="shared" si="0"/>
        <v xml:space="preserve"> PC</v>
      </c>
      <c r="G39" s="134" t="str">
        <f>IF($G$20="Rack",_xlfn.XLOOKUP(C39,'[1]Address Book'!A:A,'[1]Address Book'!F:F,""),"-")</f>
        <v>-</v>
      </c>
      <c r="H39" s="135" t="s">
        <v>1372</v>
      </c>
      <c r="I39" s="136" t="e" cm="1" vm="1">
        <f t="array" aca="1" ref="I39" ca="1">_xlfn._xlws.FILTER('[1]Address Book'!C:C,('[1]Address Book'!A:A='DELIVERY NOTE'!C39)*('[1]Address Book'!AA:AA='DELIVERY NOTE'!$G$11),0)</f>
        <v>#VALUE!</v>
      </c>
      <c r="J39" s="111">
        <f>_xlfn.XLOOKUP(C39,'[1]Address Book'!A:A,'[1]Address Book'!E:E,"")</f>
        <v>0</v>
      </c>
      <c r="M39" s="129"/>
    </row>
    <row r="40" spans="2:13" s="130" customFormat="1" ht="30" customHeight="1" x14ac:dyDescent="0.2">
      <c r="B40" s="131">
        <f>IF($G$11="HANWHA STOCK",_xlfn.XLOOKUP(C40,'[1]Address Book'!A:A,'[1]Address Book'!G:G),ROW()-ROW($I$20))</f>
        <v>20</v>
      </c>
      <c r="C40" s="131"/>
      <c r="D40" s="132">
        <f>_xlfn.XLOOKUP(C40,'[1]Address Book'!A:A,'[1]Address Book'!B:B,"")</f>
        <v>0</v>
      </c>
      <c r="E40" s="133">
        <f>SUMIFS([1]!Invoice__6[Total],[1]!Invoice__6[Material],'DELIVERY NOTE'!C40 )</f>
        <v>0</v>
      </c>
      <c r="F40" s="133" t="str">
        <f t="shared" si="0"/>
        <v xml:space="preserve"> PC</v>
      </c>
      <c r="G40" s="134" t="str">
        <f>IF($G$20="Rack",_xlfn.XLOOKUP(C40,'[1]Address Book'!A:A,'[1]Address Book'!F:F,""),"-")</f>
        <v>-</v>
      </c>
      <c r="H40" s="135" t="s">
        <v>1372</v>
      </c>
      <c r="I40" s="136" t="e" cm="1" vm="1">
        <f t="array" aca="1" ref="I40" ca="1">_xlfn._xlws.FILTER('[1]Address Book'!C:C,('[1]Address Book'!A:A='DELIVERY NOTE'!C40)*('[1]Address Book'!AA:AA='DELIVERY NOTE'!$G$11),0)</f>
        <v>#VALUE!</v>
      </c>
      <c r="J40" s="111">
        <f>_xlfn.XLOOKUP(C40,'[1]Address Book'!A:A,'[1]Address Book'!E:E,"")</f>
        <v>0</v>
      </c>
      <c r="M40" s="129"/>
    </row>
    <row r="41" spans="2:13" s="130" customFormat="1" ht="30" customHeight="1" x14ac:dyDescent="0.2">
      <c r="B41" s="131">
        <f>IF($G$11="HANWHA STOCK",_xlfn.XLOOKUP(C41,'[1]Address Book'!A:A,'[1]Address Book'!G:G),ROW()-ROW($I$20))</f>
        <v>21</v>
      </c>
      <c r="C41" s="131"/>
      <c r="D41" s="132">
        <f>_xlfn.XLOOKUP(C41,'[1]Address Book'!A:A,'[1]Address Book'!B:B,"")</f>
        <v>0</v>
      </c>
      <c r="E41" s="133">
        <f>SUMIFS([1]!Invoice__6[Total],[1]!Invoice__6[Material],'DELIVERY NOTE'!C41 )</f>
        <v>0</v>
      </c>
      <c r="F41" s="133" t="str">
        <f t="shared" si="0"/>
        <v xml:space="preserve"> PC</v>
      </c>
      <c r="G41" s="134" t="str">
        <f>IF($G$20="Rack",_xlfn.XLOOKUP(C41,'[1]Address Book'!A:A,'[1]Address Book'!F:F,""),"-")</f>
        <v>-</v>
      </c>
      <c r="H41" s="135" t="s">
        <v>1372</v>
      </c>
      <c r="I41" s="136" t="e" cm="1" vm="1">
        <f t="array" aca="1" ref="I41" ca="1">_xlfn._xlws.FILTER('[1]Address Book'!C:C,('[1]Address Book'!A:A='DELIVERY NOTE'!C41)*('[1]Address Book'!AA:AA='DELIVERY NOTE'!$G$11),0)</f>
        <v>#VALUE!</v>
      </c>
      <c r="J41" s="111">
        <f>_xlfn.XLOOKUP(C41,'[1]Address Book'!A:A,'[1]Address Book'!E:E,"")</f>
        <v>0</v>
      </c>
      <c r="M41" s="129"/>
    </row>
    <row r="42" spans="2:13" s="130" customFormat="1" ht="30" customHeight="1" x14ac:dyDescent="0.2">
      <c r="B42" s="131">
        <f>IF($G$11="HANWHA STOCK",_xlfn.XLOOKUP(C42,'[1]Address Book'!A:A,'[1]Address Book'!G:G),ROW()-ROW($I$20))</f>
        <v>22</v>
      </c>
      <c r="C42" s="131"/>
      <c r="D42" s="132">
        <f>_xlfn.XLOOKUP(C42,'[1]Address Book'!A:A,'[1]Address Book'!B:B,"")</f>
        <v>0</v>
      </c>
      <c r="E42" s="133">
        <f>SUMIFS([1]!Invoice__6[Total],[1]!Invoice__6[Material],'DELIVERY NOTE'!C42 )</f>
        <v>0</v>
      </c>
      <c r="F42" s="133" t="str">
        <f t="shared" si="0"/>
        <v xml:space="preserve"> PC</v>
      </c>
      <c r="G42" s="134" t="str">
        <f>IF($G$20="Rack",_xlfn.XLOOKUP(C42,'[1]Address Book'!A:A,'[1]Address Book'!F:F,""),"-")</f>
        <v>-</v>
      </c>
      <c r="H42" s="135" t="s">
        <v>1372</v>
      </c>
      <c r="I42" s="136" t="e" cm="1" vm="1">
        <f t="array" aca="1" ref="I42" ca="1">_xlfn._xlws.FILTER('[1]Address Book'!C:C,('[1]Address Book'!A:A='DELIVERY NOTE'!C42)*('[1]Address Book'!AA:AA='DELIVERY NOTE'!$G$11),0)</f>
        <v>#VALUE!</v>
      </c>
      <c r="J42" s="111">
        <f>_xlfn.XLOOKUP(C42,'[1]Address Book'!A:A,'[1]Address Book'!E:E,"")</f>
        <v>0</v>
      </c>
      <c r="M42" s="129"/>
    </row>
    <row r="43" spans="2:13" s="130" customFormat="1" ht="30" customHeight="1" x14ac:dyDescent="0.2">
      <c r="B43" s="131">
        <f>IF($G$11="HANWHA STOCK",_xlfn.XLOOKUP(C43,'[1]Address Book'!A:A,'[1]Address Book'!G:G),ROW()-ROW($I$20))</f>
        <v>23</v>
      </c>
      <c r="C43" s="131"/>
      <c r="D43" s="132">
        <f>_xlfn.XLOOKUP(C43,'[1]Address Book'!A:A,'[1]Address Book'!B:B,"")</f>
        <v>0</v>
      </c>
      <c r="E43" s="133">
        <f>SUMIFS([1]!Invoice__6[Total],[1]!Invoice__6[Material],'DELIVERY NOTE'!C43 )</f>
        <v>0</v>
      </c>
      <c r="F43" s="133" t="str">
        <f t="shared" si="0"/>
        <v xml:space="preserve"> PC</v>
      </c>
      <c r="G43" s="134" t="str">
        <f>IF($G$20="Rack",_xlfn.XLOOKUP(C43,'[1]Address Book'!A:A,'[1]Address Book'!F:F,""),"-")</f>
        <v>-</v>
      </c>
      <c r="H43" s="135" t="s">
        <v>1372</v>
      </c>
      <c r="I43" s="136" t="e" cm="1" vm="1">
        <f t="array" aca="1" ref="I43" ca="1">_xlfn._xlws.FILTER('[1]Address Book'!C:C,('[1]Address Book'!A:A='DELIVERY NOTE'!C43)*('[1]Address Book'!AA:AA='DELIVERY NOTE'!$G$11),0)</f>
        <v>#VALUE!</v>
      </c>
      <c r="J43" s="111">
        <f>_xlfn.XLOOKUP(C43,'[1]Address Book'!A:A,'[1]Address Book'!E:E,"")</f>
        <v>0</v>
      </c>
      <c r="M43" s="129"/>
    </row>
    <row r="44" spans="2:13" s="130" customFormat="1" ht="30" customHeight="1" x14ac:dyDescent="0.2">
      <c r="B44" s="131">
        <f>IF($G$11="HANWHA STOCK",_xlfn.XLOOKUP(C44,'[1]Address Book'!A:A,'[1]Address Book'!G:G),ROW()-ROW($I$20))</f>
        <v>24</v>
      </c>
      <c r="C44" s="131"/>
      <c r="D44" s="132">
        <f>_xlfn.XLOOKUP(C44,'[1]Address Book'!A:A,'[1]Address Book'!B:B,"")</f>
        <v>0</v>
      </c>
      <c r="E44" s="133">
        <f>SUMIFS([1]!Invoice__6[Total],[1]!Invoice__6[Material],'DELIVERY NOTE'!C44 )</f>
        <v>0</v>
      </c>
      <c r="F44" s="133" t="str">
        <f t="shared" si="0"/>
        <v xml:space="preserve"> PC</v>
      </c>
      <c r="G44" s="134" t="str">
        <f>IF($G$20="Rack",_xlfn.XLOOKUP(C44,'[1]Address Book'!A:A,'[1]Address Book'!F:F,""),"-")</f>
        <v>-</v>
      </c>
      <c r="H44" s="135" t="s">
        <v>1372</v>
      </c>
      <c r="I44" s="136" t="e" cm="1" vm="1">
        <f t="array" aca="1" ref="I44" ca="1">_xlfn._xlws.FILTER('[1]Address Book'!C:C,('[1]Address Book'!A:A='DELIVERY NOTE'!C44)*('[1]Address Book'!AA:AA='DELIVERY NOTE'!$G$11),0)</f>
        <v>#VALUE!</v>
      </c>
      <c r="J44" s="111">
        <f>_xlfn.XLOOKUP(C44,'[1]Address Book'!A:A,'[1]Address Book'!E:E,"")</f>
        <v>0</v>
      </c>
      <c r="M44" s="129"/>
    </row>
    <row r="45" spans="2:13" s="130" customFormat="1" ht="30" customHeight="1" x14ac:dyDescent="0.2">
      <c r="B45" s="131">
        <f>IF($G$11="HANWHA STOCK",_xlfn.XLOOKUP(C45,'[1]Address Book'!A:A,'[1]Address Book'!G:G),ROW()-ROW($I$20))</f>
        <v>25</v>
      </c>
      <c r="C45" s="131"/>
      <c r="D45" s="132">
        <f>_xlfn.XLOOKUP(C45,'[1]Address Book'!A:A,'[1]Address Book'!B:B,"")</f>
        <v>0</v>
      </c>
      <c r="E45" s="133">
        <f>SUMIFS([1]!Invoice__6[Total],[1]!Invoice__6[Material],'DELIVERY NOTE'!C45 )</f>
        <v>0</v>
      </c>
      <c r="F45" s="133" t="str">
        <f t="shared" si="0"/>
        <v xml:space="preserve"> PC</v>
      </c>
      <c r="G45" s="134" t="str">
        <f>IF($G$20="Rack",_xlfn.XLOOKUP(C45,'[1]Address Book'!A:A,'[1]Address Book'!F:F,""),"-")</f>
        <v>-</v>
      </c>
      <c r="H45" s="135" t="s">
        <v>1372</v>
      </c>
      <c r="I45" s="136" cm="1">
        <f t="array" ref="I45:I47">_xlfn._xlws.FILTER('[1]Address Book'!C:C,('[1]Address Book'!A:A='DELIVERY NOTE'!C45)*('[1]Address Book'!AA:AA='DELIVERY NOTE'!$G$11),0)</f>
        <v>0</v>
      </c>
      <c r="J45" s="111">
        <f>_xlfn.XLOOKUP(C45,'[1]Address Book'!A:A,'[1]Address Book'!E:E,"")</f>
        <v>0</v>
      </c>
      <c r="M45" s="129"/>
    </row>
    <row r="46" spans="2:13" s="130" customFormat="1" ht="24" customHeight="1" thickBot="1" x14ac:dyDescent="0.25">
      <c r="B46" s="137"/>
      <c r="C46" s="137"/>
      <c r="D46" s="138"/>
      <c r="E46" s="139"/>
      <c r="F46" s="139"/>
      <c r="G46" s="140"/>
      <c r="H46" s="141"/>
      <c r="I46" s="136">
        <v>0</v>
      </c>
      <c r="J46" s="111"/>
      <c r="M46" s="129"/>
    </row>
    <row r="47" spans="2:13" ht="21" thickBot="1" x14ac:dyDescent="0.25">
      <c r="B47" s="142" t="s">
        <v>1637</v>
      </c>
      <c r="C47" s="143">
        <f>G12</f>
        <v>0</v>
      </c>
      <c r="D47" s="144" t="s">
        <v>1638</v>
      </c>
      <c r="E47" s="145"/>
      <c r="F47" s="145"/>
      <c r="G47" s="145"/>
      <c r="H47" s="146"/>
      <c r="I47" s="147">
        <v>0</v>
      </c>
      <c r="J47" s="111"/>
    </row>
    <row r="48" spans="2:13" ht="21" x14ac:dyDescent="0.2">
      <c r="B48" s="149"/>
      <c r="C48" s="150"/>
      <c r="D48" s="151"/>
      <c r="E48" s="151"/>
      <c r="F48" s="151"/>
      <c r="G48" s="151"/>
      <c r="H48" s="152"/>
    </row>
    <row r="49" spans="1:13" s="59" customFormat="1" ht="19" x14ac:dyDescent="0.2">
      <c r="A49" s="59">
        <v>2</v>
      </c>
      <c r="B49" s="153" t="s">
        <v>1639</v>
      </c>
      <c r="C49" s="154" t="s">
        <v>1640</v>
      </c>
      <c r="D49" s="155"/>
      <c r="E49" s="155"/>
      <c r="F49" s="156"/>
      <c r="G49" s="157" t="s">
        <v>1641</v>
      </c>
      <c r="H49" s="157"/>
      <c r="I49" s="63"/>
      <c r="J49" s="44"/>
      <c r="M49" s="158"/>
    </row>
    <row r="50" spans="1:13" s="59" customFormat="1" x14ac:dyDescent="0.2">
      <c r="A50" s="59">
        <v>2</v>
      </c>
      <c r="B50" s="155" t="s">
        <v>1642</v>
      </c>
      <c r="C50" s="159" t="s">
        <v>1643</v>
      </c>
      <c r="D50" s="155"/>
      <c r="E50" s="155"/>
      <c r="F50" s="156"/>
      <c r="G50" s="160" t="s">
        <v>1644</v>
      </c>
      <c r="H50" s="157"/>
      <c r="I50" s="63"/>
      <c r="J50" s="44"/>
      <c r="M50" s="158"/>
    </row>
    <row r="51" spans="1:13" s="59" customFormat="1" x14ac:dyDescent="0.2">
      <c r="A51" s="59">
        <v>2</v>
      </c>
      <c r="B51" s="161" t="s">
        <v>1645</v>
      </c>
      <c r="C51" s="162" t="s">
        <v>1646</v>
      </c>
      <c r="D51" s="160"/>
      <c r="E51" s="163"/>
      <c r="F51" s="164"/>
      <c r="G51" s="155"/>
      <c r="H51" s="156"/>
      <c r="I51" s="63"/>
      <c r="M51" s="158"/>
    </row>
    <row r="52" spans="1:13" s="59" customFormat="1" x14ac:dyDescent="0.2">
      <c r="A52" s="59">
        <v>2</v>
      </c>
      <c r="B52" s="155" t="s">
        <v>1647</v>
      </c>
      <c r="C52" s="155" t="s">
        <v>4713</v>
      </c>
      <c r="D52" s="155"/>
      <c r="E52" s="155"/>
      <c r="F52" s="165"/>
      <c r="G52" s="166"/>
      <c r="H52" s="167"/>
      <c r="I52" s="63"/>
      <c r="J52" s="44"/>
      <c r="M52" s="158"/>
    </row>
    <row r="53" spans="1:13" s="59" customFormat="1" ht="19" thickBot="1" x14ac:dyDescent="0.25">
      <c r="B53" s="168"/>
      <c r="C53" s="169"/>
      <c r="D53" s="167"/>
      <c r="E53" s="167"/>
      <c r="F53" s="165"/>
      <c r="G53" s="170"/>
      <c r="H53" s="171"/>
      <c r="I53" s="63"/>
      <c r="J53" s="44"/>
      <c r="M53" s="158"/>
    </row>
    <row r="54" spans="1:13" s="59" customFormat="1" ht="23" x14ac:dyDescent="0.25">
      <c r="B54" s="172" t="s">
        <v>1648</v>
      </c>
      <c r="C54" s="173"/>
      <c r="D54" s="174"/>
      <c r="E54" s="167"/>
      <c r="F54" s="165"/>
      <c r="G54" s="170"/>
      <c r="H54" s="171"/>
      <c r="I54" s="63"/>
      <c r="J54" s="44"/>
      <c r="M54" s="158"/>
    </row>
    <row r="55" spans="1:13" s="59" customFormat="1" ht="50" customHeight="1" x14ac:dyDescent="0.2">
      <c r="B55" s="175" t="s">
        <v>1649</v>
      </c>
      <c r="C55" s="176" t="s">
        <v>1650</v>
      </c>
      <c r="D55" s="177"/>
      <c r="E55" s="167"/>
      <c r="F55" s="165"/>
      <c r="G55" s="170"/>
      <c r="H55" s="171"/>
      <c r="I55" s="63"/>
      <c r="J55" s="44"/>
      <c r="M55" s="158"/>
    </row>
    <row r="56" spans="1:13" s="59" customFormat="1" ht="50" customHeight="1" x14ac:dyDescent="0.2">
      <c r="B56" s="178" t="s">
        <v>1651</v>
      </c>
      <c r="C56" s="179" t="s">
        <v>1650</v>
      </c>
      <c r="D56" s="180"/>
      <c r="E56" s="155"/>
      <c r="F56" s="165"/>
      <c r="G56" s="155"/>
      <c r="H56" s="157"/>
      <c r="I56" s="63"/>
      <c r="J56" s="44"/>
      <c r="M56" s="158"/>
    </row>
    <row r="57" spans="1:13" s="59" customFormat="1" ht="50" customHeight="1" x14ac:dyDescent="0.2">
      <c r="B57" s="175" t="s">
        <v>1652</v>
      </c>
      <c r="C57" s="179" t="s">
        <v>1650</v>
      </c>
      <c r="D57" s="181"/>
      <c r="E57" s="182"/>
      <c r="F57" s="183"/>
      <c r="G57" s="184"/>
      <c r="H57" s="185"/>
      <c r="I57" s="63"/>
      <c r="J57" s="44"/>
      <c r="M57" s="158"/>
    </row>
    <row r="58" spans="1:13" s="59" customFormat="1" ht="50" customHeight="1" x14ac:dyDescent="0.2">
      <c r="B58" s="175" t="s">
        <v>1653</v>
      </c>
      <c r="C58" s="179" t="s">
        <v>1650</v>
      </c>
      <c r="D58" s="186"/>
      <c r="E58" s="187"/>
      <c r="F58" s="187"/>
      <c r="G58" s="188" t="s">
        <v>1654</v>
      </c>
      <c r="H58" s="187"/>
      <c r="I58" s="189"/>
      <c r="J58" s="44"/>
      <c r="M58" s="158"/>
    </row>
    <row r="59" spans="1:13" s="59" customFormat="1" ht="35" customHeight="1" thickBot="1" x14ac:dyDescent="0.25">
      <c r="B59" s="190" t="s">
        <v>1655</v>
      </c>
      <c r="C59" s="191" t="s">
        <v>1650</v>
      </c>
      <c r="D59" s="192"/>
      <c r="E59" s="193"/>
      <c r="F59" s="194"/>
      <c r="G59" s="195"/>
      <c r="H59" s="195"/>
      <c r="I59" s="196"/>
      <c r="J59" s="44"/>
      <c r="M59" s="158"/>
    </row>
    <row r="60" spans="1:13" s="197" customFormat="1" x14ac:dyDescent="0.2">
      <c r="B60" s="198"/>
      <c r="C60" s="199"/>
      <c r="D60" s="200"/>
      <c r="E60" s="200"/>
      <c r="F60" s="201"/>
      <c r="G60" s="198"/>
      <c r="H60" s="198"/>
      <c r="I60" s="202"/>
      <c r="J60" s="44"/>
      <c r="M60" s="203"/>
    </row>
    <row r="61" spans="1:13" s="197" customFormat="1" x14ac:dyDescent="0.2">
      <c r="B61" s="198"/>
      <c r="C61" s="199"/>
      <c r="D61" s="204"/>
      <c r="E61" s="204"/>
      <c r="F61" s="204"/>
      <c r="G61" s="204"/>
      <c r="H61" s="198"/>
      <c r="I61" s="202"/>
      <c r="J61" s="44"/>
      <c r="M61" s="203"/>
    </row>
    <row r="62" spans="1:13" s="197" customFormat="1" x14ac:dyDescent="0.2">
      <c r="B62" s="205"/>
      <c r="C62" s="205"/>
      <c r="D62" s="205"/>
      <c r="E62" s="205"/>
      <c r="F62" s="205"/>
      <c r="G62" s="205"/>
      <c r="H62" s="205"/>
      <c r="I62" s="206"/>
      <c r="J62" s="207"/>
      <c r="M62" s="203"/>
    </row>
    <row r="63" spans="1:13" s="197" customFormat="1" x14ac:dyDescent="0.2">
      <c r="B63" s="208"/>
      <c r="C63" s="208"/>
      <c r="D63" s="208"/>
      <c r="E63" s="208"/>
      <c r="F63" s="208"/>
      <c r="G63" s="208"/>
      <c r="H63" s="208"/>
      <c r="I63" s="209"/>
      <c r="J63" s="210"/>
      <c r="M63" s="203"/>
    </row>
    <row r="64" spans="1:13" s="197" customFormat="1" x14ac:dyDescent="0.2">
      <c r="B64" s="211"/>
      <c r="C64" s="212"/>
      <c r="D64" s="213"/>
      <c r="E64" s="213"/>
      <c r="F64" s="213"/>
      <c r="G64" s="211"/>
      <c r="H64" s="213"/>
      <c r="I64" s="202"/>
      <c r="J64" s="44"/>
      <c r="M64" s="203"/>
    </row>
    <row r="65" spans="2:13" s="197" customFormat="1" x14ac:dyDescent="0.2">
      <c r="B65" s="198"/>
      <c r="C65" s="199"/>
      <c r="D65" s="200"/>
      <c r="E65" s="200"/>
      <c r="F65" s="201"/>
      <c r="G65" s="198"/>
      <c r="H65" s="198"/>
      <c r="I65" s="202"/>
      <c r="J65" s="44"/>
      <c r="M65" s="203"/>
    </row>
    <row r="66" spans="2:13" x14ac:dyDescent="0.15">
      <c r="B66" s="214"/>
      <c r="C66" s="215"/>
      <c r="D66" s="216"/>
      <c r="E66" s="216"/>
      <c r="F66" s="217"/>
      <c r="G66" s="214"/>
    </row>
    <row r="67" spans="2:13" x14ac:dyDescent="0.2">
      <c r="B67" s="219"/>
      <c r="C67" s="220"/>
      <c r="D67" s="221"/>
      <c r="E67" s="221"/>
      <c r="F67" s="222"/>
      <c r="G67" s="214"/>
    </row>
    <row r="68" spans="2:13" x14ac:dyDescent="0.2">
      <c r="B68" s="198"/>
      <c r="C68" s="199"/>
      <c r="D68" s="200"/>
      <c r="E68" s="200"/>
      <c r="F68" s="201"/>
      <c r="G68" s="198"/>
    </row>
    <row r="69" spans="2:13" x14ac:dyDescent="0.2">
      <c r="B69" s="223"/>
      <c r="C69" s="224"/>
      <c r="D69" s="223"/>
      <c r="E69" s="223"/>
      <c r="F69" s="225"/>
      <c r="G69" s="198"/>
    </row>
    <row r="70" spans="2:13" x14ac:dyDescent="0.15">
      <c r="B70" s="226"/>
      <c r="C70" s="227"/>
      <c r="D70" s="228"/>
      <c r="E70" s="228"/>
      <c r="F70" s="229"/>
      <c r="G70" s="223"/>
    </row>
    <row r="71" spans="2:13" x14ac:dyDescent="0.2">
      <c r="B71" s="198"/>
      <c r="C71" s="199"/>
      <c r="D71" s="200"/>
      <c r="E71" s="200"/>
      <c r="F71" s="201"/>
      <c r="G71" s="226"/>
    </row>
    <row r="72" spans="2:13" x14ac:dyDescent="0.2">
      <c r="B72" s="198"/>
      <c r="C72" s="199"/>
      <c r="D72" s="200"/>
      <c r="E72" s="200"/>
      <c r="F72" s="201"/>
      <c r="G72" s="198"/>
    </row>
    <row r="73" spans="2:13" x14ac:dyDescent="0.2">
      <c r="B73" s="198"/>
      <c r="C73" s="199"/>
      <c r="D73" s="200"/>
      <c r="E73" s="200"/>
      <c r="F73" s="201"/>
      <c r="G73" s="198"/>
    </row>
    <row r="74" spans="2:13" x14ac:dyDescent="0.2">
      <c r="B74" s="198"/>
      <c r="C74" s="199"/>
      <c r="D74" s="200"/>
      <c r="E74" s="200"/>
      <c r="F74" s="201"/>
      <c r="G74" s="198"/>
    </row>
    <row r="75" spans="2:13" x14ac:dyDescent="0.2">
      <c r="B75" s="198"/>
      <c r="C75" s="199"/>
      <c r="D75" s="200"/>
      <c r="E75" s="200"/>
      <c r="F75" s="201"/>
      <c r="G75" s="198"/>
    </row>
    <row r="76" spans="2:13" x14ac:dyDescent="0.2">
      <c r="B76" s="198"/>
      <c r="C76" s="199"/>
      <c r="D76" s="200"/>
      <c r="E76" s="200"/>
      <c r="F76" s="201"/>
      <c r="G76" s="198"/>
    </row>
    <row r="77" spans="2:13" x14ac:dyDescent="0.2">
      <c r="G77" s="198"/>
    </row>
  </sheetData>
  <conditionalFormatting sqref="E11:F11 H11">
    <cfRule type="expression" dxfId="8" priority="6">
      <formula>$G$11=0</formula>
    </cfRule>
  </conditionalFormatting>
  <conditionalFormatting sqref="B12:D12 B11 D11 C13:D14 B15:D18">
    <cfRule type="expression" dxfId="7" priority="5">
      <formula>$B11=0</formula>
    </cfRule>
  </conditionalFormatting>
  <conditionalFormatting sqref="C11">
    <cfRule type="expression" dxfId="6" priority="8">
      <formula>$C11=0</formula>
    </cfRule>
  </conditionalFormatting>
  <conditionalFormatting sqref="B13:B14">
    <cfRule type="expression" dxfId="5" priority="4">
      <formula>$B13=0</formula>
    </cfRule>
  </conditionalFormatting>
  <conditionalFormatting sqref="G13:H16">
    <cfRule type="expression" dxfId="4" priority="3">
      <formula>$F$6="RETURN OUTBOUND"</formula>
    </cfRule>
  </conditionalFormatting>
  <conditionalFormatting sqref="B11:D18">
    <cfRule type="expression" dxfId="3" priority="2">
      <formula>$F$6&lt;&gt;"return Outbound"</formula>
    </cfRule>
  </conditionalFormatting>
  <conditionalFormatting sqref="C21:H45">
    <cfRule type="expression" dxfId="2" priority="1">
      <formula>$E21&gt;$I21</formula>
    </cfRule>
  </conditionalFormatting>
  <conditionalFormatting sqref="F12:F14">
    <cfRule type="expression" dxfId="1" priority="7">
      <formula>OR($G$11=#REF!,$G$11=#REF!,$G$11=#REF!,$G$11=#REF!,$G$11=#REF!,$G$11=#REF!,$G$11=#REF!)</formula>
    </cfRule>
  </conditionalFormatting>
  <dataValidations count="12">
    <dataValidation type="list" allowBlank="1" showInputMessage="1" sqref="C49" xr:uid="{A7D5F664-9230-4225-B735-F85F46E98127}">
      <formula1>"Dyna,Pickup,Self pickup,Trailer,Lorry"</formula1>
    </dataValidation>
    <dataValidation type="list" allowBlank="1" showInputMessage="1" sqref="C51" xr:uid="{EAAFE00B-A214-42BA-BB79-E39BBA513C76}">
      <formula1>"0562143424,+966 56 189 6893,+966 54 146 1529"</formula1>
    </dataValidation>
    <dataValidation type="list" allowBlank="1" showInputMessage="1" showErrorMessage="1" sqref="D7" xr:uid="{0B1A8B15-11FD-4CCA-BA8A-3C4E79C84706}">
      <formula1>_xlfn._xlws.FILTER(#REF!,#REF!=B12)</formula1>
    </dataValidation>
    <dataValidation type="list" allowBlank="1" showInputMessage="1" showErrorMessage="1" sqref="B51" xr:uid="{8D8786D8-F953-4E21-A0B3-4724B6CB3485}">
      <formula1>"Mobile         :,Tracking #"</formula1>
    </dataValidation>
    <dataValidation type="list" allowBlank="1" showInputMessage="1" showErrorMessage="1" sqref="G20" xr:uid="{59158DD8-DB6D-4A21-8749-E1C439AB9914}">
      <formula1>"Serial No.,Rack"</formula1>
    </dataValidation>
    <dataValidation allowBlank="1" showInputMessage="1" sqref="C11" xr:uid="{F4197F94-1E03-46AC-9D44-FC40DEB0F34F}"/>
    <dataValidation type="list" allowBlank="1" showInputMessage="1" showErrorMessage="1" sqref="F6:F7" xr:uid="{F84057B3-66D5-495A-A410-20136FE7B03D}">
      <formula1>"INVOICE,OUTBOUND,RETURN OUTBOUND"</formula1>
    </dataValidation>
    <dataValidation type="list" allowBlank="1" showInputMessage="1" sqref="B13" xr:uid="{45380459-DB10-40F8-9071-AB8496A400C1}">
      <formula1>$K$1:$K$20</formula1>
    </dataValidation>
    <dataValidation type="list" allowBlank="1" showInputMessage="1" sqref="C50" xr:uid="{EDA1DB11-791D-4C16-9D50-C4659A99767A}">
      <formula1>"Amjad Ali,Mohamed Nasereldin,Courier,Mohammed Ali,Mohammed Abu Eljeli"</formula1>
    </dataValidation>
    <dataValidation type="list" allowBlank="1" showInputMessage="1" sqref="C52" xr:uid="{E1320B82-3FD5-419B-841F-B9A7E812EBE9}">
      <formula1>"Amjad Ali,Self Collection,ARAMEX,DHL,EAYN ALWIFAQ Transportation &amp; Logistics services,Direct Delivery,Raad AlShamal for Transport Co.,AJEX Logistics Services Co.,GAPP"</formula1>
    </dataValidation>
    <dataValidation type="list" allowBlank="1" showInputMessage="1" sqref="G11" xr:uid="{9C8F2B0F-E018-42F3-9B8C-A461E2BA6952}">
      <formula1>$M:$M</formula1>
    </dataValidation>
    <dataValidation type="list" allowBlank="1" showInputMessage="1" sqref="B47" xr:uid="{9D30D511-68B1-4D83-9E5A-61EF63CC2F61}">
      <formula1>"Note:- Please ensure to return Sample materials back to GAPP Warehouse in same box. after completion of POC activity.,Total:"</formula1>
    </dataValidation>
  </dataValidations>
  <hyperlinks>
    <hyperlink ref="B10" r:id="rId1" xr:uid="{760D7ACF-2B57-423D-8095-CC115E8D9107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44" fitToHeight="0" orientation="portrait" r:id="rId2"/>
  <headerFooter>
    <oddFooter>&amp;C&amp;"-,Bold Italic"&amp;12Gulf Applications | Apartment 5001, 50th Floor, Kingdom Tower |Riyadh | P.O. Box 89098, Saudi Arabia       
Tel: +966 11 47 28 256 | Fax: +966 11 47 81 503 I https://www.gapp.sa&amp;R&amp;"-,Bold"&amp;16Page &amp;P of &amp;N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01639-9D39-4AD6-A2C8-4A0575A0FE2E}">
  <sheetPr filterMode="1"/>
  <dimension ref="A1:M615"/>
  <sheetViews>
    <sheetView workbookViewId="0">
      <selection activeCell="C633" sqref="C633"/>
    </sheetView>
  </sheetViews>
  <sheetFormatPr baseColWidth="10" defaultColWidth="15.5" defaultRowHeight="15" x14ac:dyDescent="0.2"/>
  <cols>
    <col min="1" max="1" width="15.5" style="235"/>
    <col min="2" max="2" width="54.1640625" customWidth="1"/>
    <col min="7" max="7" width="31.33203125" bestFit="1" customWidth="1"/>
    <col min="8" max="8" width="29.5" customWidth="1"/>
    <col min="13" max="13" width="26.83203125" bestFit="1" customWidth="1"/>
  </cols>
  <sheetData>
    <row r="1" spans="1:13" x14ac:dyDescent="0.2">
      <c r="A1" s="234" t="s">
        <v>1657</v>
      </c>
      <c r="B1" s="233" t="s">
        <v>1658</v>
      </c>
      <c r="C1" s="233" t="s">
        <v>1659</v>
      </c>
      <c r="D1" s="233" t="s">
        <v>1660</v>
      </c>
      <c r="E1" s="233" t="s">
        <v>1428</v>
      </c>
      <c r="F1" s="233" t="s">
        <v>1661</v>
      </c>
      <c r="G1" s="233" t="s">
        <v>1662</v>
      </c>
      <c r="H1" s="233" t="s">
        <v>1663</v>
      </c>
      <c r="I1" s="233" t="s">
        <v>1664</v>
      </c>
      <c r="J1" s="233" t="s">
        <v>1665</v>
      </c>
      <c r="K1" s="233" t="s">
        <v>1666</v>
      </c>
      <c r="L1" s="233" t="s">
        <v>1667</v>
      </c>
      <c r="M1" s="233" t="s">
        <v>1668</v>
      </c>
    </row>
    <row r="2" spans="1:13" hidden="1" x14ac:dyDescent="0.2">
      <c r="A2" s="235">
        <v>120933</v>
      </c>
      <c r="B2" t="s">
        <v>1669</v>
      </c>
      <c r="D2">
        <v>0</v>
      </c>
      <c r="E2">
        <v>0</v>
      </c>
    </row>
    <row r="3" spans="1:13" hidden="1" x14ac:dyDescent="0.2">
      <c r="A3" s="235" t="s">
        <v>1670</v>
      </c>
      <c r="B3" t="s">
        <v>1671</v>
      </c>
    </row>
    <row r="4" spans="1:13" hidden="1" x14ac:dyDescent="0.2">
      <c r="A4" s="235" t="s">
        <v>1672</v>
      </c>
      <c r="B4" t="s">
        <v>1673</v>
      </c>
      <c r="D4" t="s">
        <v>1674</v>
      </c>
      <c r="E4" t="s">
        <v>1675</v>
      </c>
      <c r="F4" t="s">
        <v>1676</v>
      </c>
      <c r="G4" t="s">
        <v>1677</v>
      </c>
    </row>
    <row r="5" spans="1:13" hidden="1" x14ac:dyDescent="0.2">
      <c r="A5" s="235" t="s">
        <v>1678</v>
      </c>
      <c r="B5" t="s">
        <v>1679</v>
      </c>
      <c r="C5" t="s">
        <v>1680</v>
      </c>
      <c r="D5" t="s">
        <v>1681</v>
      </c>
      <c r="E5" t="s">
        <v>1682</v>
      </c>
      <c r="F5" t="s">
        <v>1683</v>
      </c>
      <c r="G5" t="s">
        <v>1684</v>
      </c>
    </row>
    <row r="6" spans="1:13" hidden="1" x14ac:dyDescent="0.2">
      <c r="A6" s="235" t="s">
        <v>1685</v>
      </c>
      <c r="B6" t="s">
        <v>1686</v>
      </c>
      <c r="D6" t="s">
        <v>1687</v>
      </c>
      <c r="E6" t="s">
        <v>1688</v>
      </c>
      <c r="F6" t="s">
        <v>1689</v>
      </c>
      <c r="G6" t="s">
        <v>1690</v>
      </c>
    </row>
    <row r="7" spans="1:13" hidden="1" x14ac:dyDescent="0.2">
      <c r="A7" s="235" t="s">
        <v>1691</v>
      </c>
      <c r="B7" t="s">
        <v>1692</v>
      </c>
      <c r="C7" t="s">
        <v>1680</v>
      </c>
      <c r="D7" t="s">
        <v>1693</v>
      </c>
      <c r="E7" t="s">
        <v>1694</v>
      </c>
      <c r="F7" t="s">
        <v>1695</v>
      </c>
      <c r="G7" t="s">
        <v>1696</v>
      </c>
      <c r="H7" t="s">
        <v>1697</v>
      </c>
      <c r="J7" t="s">
        <v>1698</v>
      </c>
      <c r="K7" t="s">
        <v>1699</v>
      </c>
      <c r="L7" t="s">
        <v>1700</v>
      </c>
    </row>
    <row r="8" spans="1:13" hidden="1" x14ac:dyDescent="0.2">
      <c r="A8" s="235" t="s">
        <v>1701</v>
      </c>
      <c r="B8" t="s">
        <v>1702</v>
      </c>
    </row>
    <row r="9" spans="1:13" hidden="1" x14ac:dyDescent="0.2">
      <c r="A9" s="235" t="s">
        <v>1703</v>
      </c>
      <c r="B9" t="s">
        <v>1704</v>
      </c>
      <c r="C9" t="s">
        <v>1705</v>
      </c>
      <c r="D9" t="s">
        <v>1706</v>
      </c>
      <c r="F9" t="s">
        <v>1707</v>
      </c>
      <c r="G9" t="s">
        <v>1708</v>
      </c>
      <c r="H9" t="s">
        <v>1709</v>
      </c>
      <c r="J9" t="s">
        <v>1710</v>
      </c>
      <c r="K9" t="s">
        <v>1711</v>
      </c>
      <c r="L9" t="s">
        <v>1712</v>
      </c>
    </row>
    <row r="10" spans="1:13" hidden="1" x14ac:dyDescent="0.2">
      <c r="A10" s="235" t="s">
        <v>1713</v>
      </c>
      <c r="B10" t="s">
        <v>1714</v>
      </c>
      <c r="C10" t="s">
        <v>1680</v>
      </c>
      <c r="D10" t="s">
        <v>1715</v>
      </c>
      <c r="E10" t="s">
        <v>1438</v>
      </c>
      <c r="F10" t="s">
        <v>1716</v>
      </c>
      <c r="G10" t="s">
        <v>1717</v>
      </c>
      <c r="H10" t="s">
        <v>1718</v>
      </c>
      <c r="J10" t="s">
        <v>1719</v>
      </c>
      <c r="K10" t="s">
        <v>1720</v>
      </c>
      <c r="L10" t="s">
        <v>1721</v>
      </c>
    </row>
    <row r="11" spans="1:13" hidden="1" x14ac:dyDescent="0.2">
      <c r="A11" s="235" t="s">
        <v>1722</v>
      </c>
      <c r="B11" t="s">
        <v>1723</v>
      </c>
      <c r="C11" t="s">
        <v>1680</v>
      </c>
      <c r="D11" t="s">
        <v>1724</v>
      </c>
      <c r="E11" t="s">
        <v>1725</v>
      </c>
      <c r="F11" t="s">
        <v>1726</v>
      </c>
      <c r="G11" t="s">
        <v>1727</v>
      </c>
      <c r="H11" t="s">
        <v>1438</v>
      </c>
      <c r="J11" t="s">
        <v>1728</v>
      </c>
      <c r="K11" t="s">
        <v>1729</v>
      </c>
      <c r="L11" t="s">
        <v>1438</v>
      </c>
    </row>
    <row r="12" spans="1:13" hidden="1" x14ac:dyDescent="0.2">
      <c r="A12" s="235">
        <v>120592</v>
      </c>
      <c r="B12" t="s">
        <v>1730</v>
      </c>
      <c r="D12" t="s">
        <v>1731</v>
      </c>
      <c r="E12" t="s">
        <v>1732</v>
      </c>
      <c r="F12" t="s">
        <v>1733</v>
      </c>
      <c r="G12" t="s">
        <v>1734</v>
      </c>
    </row>
    <row r="13" spans="1:13" hidden="1" x14ac:dyDescent="0.2">
      <c r="A13" s="235">
        <v>120849</v>
      </c>
      <c r="B13" t="s">
        <v>1735</v>
      </c>
      <c r="C13" t="s">
        <v>1736</v>
      </c>
      <c r="D13" t="s">
        <v>1737</v>
      </c>
      <c r="E13" t="s">
        <v>1738</v>
      </c>
      <c r="F13" t="s">
        <v>1739</v>
      </c>
      <c r="G13" t="s">
        <v>1740</v>
      </c>
      <c r="H13" t="s">
        <v>1741</v>
      </c>
      <c r="J13" t="s">
        <v>1742</v>
      </c>
      <c r="K13" t="s">
        <v>1743</v>
      </c>
      <c r="L13" t="s">
        <v>1744</v>
      </c>
    </row>
    <row r="14" spans="1:13" hidden="1" x14ac:dyDescent="0.2">
      <c r="A14" s="235" t="s">
        <v>1745</v>
      </c>
      <c r="B14" t="s">
        <v>1746</v>
      </c>
    </row>
    <row r="15" spans="1:13" hidden="1" x14ac:dyDescent="0.2">
      <c r="A15" s="235" t="s">
        <v>1747</v>
      </c>
      <c r="B15" t="s">
        <v>1748</v>
      </c>
    </row>
    <row r="16" spans="1:13" hidden="1" x14ac:dyDescent="0.2">
      <c r="A16" s="235" t="s">
        <v>1747</v>
      </c>
      <c r="B16" t="s">
        <v>1749</v>
      </c>
      <c r="D16">
        <v>0</v>
      </c>
      <c r="E16">
        <v>0</v>
      </c>
      <c r="F16">
        <v>0</v>
      </c>
      <c r="G16" t="s">
        <v>1750</v>
      </c>
    </row>
    <row r="17" spans="1:12" hidden="1" x14ac:dyDescent="0.2">
      <c r="A17" s="235" t="s">
        <v>1751</v>
      </c>
      <c r="B17" t="s">
        <v>1752</v>
      </c>
      <c r="D17" t="s">
        <v>1753</v>
      </c>
      <c r="E17" t="s">
        <v>1754</v>
      </c>
      <c r="F17" t="s">
        <v>1755</v>
      </c>
      <c r="G17" t="s">
        <v>1756</v>
      </c>
    </row>
    <row r="18" spans="1:12" hidden="1" x14ac:dyDescent="0.2">
      <c r="A18" s="235" t="s">
        <v>1757</v>
      </c>
      <c r="B18" t="s">
        <v>1758</v>
      </c>
      <c r="C18" t="s">
        <v>1759</v>
      </c>
      <c r="D18" t="s">
        <v>1731</v>
      </c>
      <c r="E18" t="s">
        <v>1760</v>
      </c>
      <c r="F18" t="s">
        <v>1761</v>
      </c>
      <c r="G18" t="s">
        <v>1762</v>
      </c>
      <c r="H18" t="s">
        <v>1763</v>
      </c>
      <c r="J18" t="s">
        <v>1764</v>
      </c>
      <c r="K18" t="s">
        <v>1765</v>
      </c>
      <c r="L18" t="s">
        <v>1766</v>
      </c>
    </row>
    <row r="19" spans="1:12" hidden="1" x14ac:dyDescent="0.2">
      <c r="A19" s="235">
        <v>121108</v>
      </c>
      <c r="B19" t="s">
        <v>1767</v>
      </c>
      <c r="D19">
        <v>0</v>
      </c>
      <c r="E19">
        <v>0</v>
      </c>
      <c r="F19">
        <v>0</v>
      </c>
      <c r="G19" t="s">
        <v>1750</v>
      </c>
    </row>
    <row r="20" spans="1:12" hidden="1" x14ac:dyDescent="0.2">
      <c r="A20" s="235" t="s">
        <v>1768</v>
      </c>
      <c r="B20" t="s">
        <v>1769</v>
      </c>
      <c r="D20">
        <v>0</v>
      </c>
      <c r="E20">
        <v>0</v>
      </c>
      <c r="F20" t="s">
        <v>1770</v>
      </c>
      <c r="G20" t="s">
        <v>1771</v>
      </c>
    </row>
    <row r="21" spans="1:12" hidden="1" x14ac:dyDescent="0.2">
      <c r="A21" s="235" t="s">
        <v>1772</v>
      </c>
      <c r="B21" t="s">
        <v>1773</v>
      </c>
      <c r="D21" t="s">
        <v>1774</v>
      </c>
      <c r="E21" t="s">
        <v>1775</v>
      </c>
      <c r="F21" t="s">
        <v>1776</v>
      </c>
      <c r="G21" t="s">
        <v>1777</v>
      </c>
    </row>
    <row r="22" spans="1:12" hidden="1" x14ac:dyDescent="0.2">
      <c r="A22" s="235" t="s">
        <v>1772</v>
      </c>
      <c r="B22" t="s">
        <v>1778</v>
      </c>
      <c r="C22" t="s">
        <v>1680</v>
      </c>
      <c r="D22" t="s">
        <v>1779</v>
      </c>
      <c r="E22" t="s">
        <v>1780</v>
      </c>
      <c r="F22" t="s">
        <v>1781</v>
      </c>
      <c r="G22" t="s">
        <v>1782</v>
      </c>
      <c r="H22" t="s">
        <v>1783</v>
      </c>
    </row>
    <row r="23" spans="1:12" hidden="1" x14ac:dyDescent="0.2">
      <c r="A23" s="235" t="s">
        <v>1784</v>
      </c>
      <c r="B23" t="s">
        <v>1785</v>
      </c>
    </row>
    <row r="24" spans="1:12" hidden="1" x14ac:dyDescent="0.2">
      <c r="A24" s="235" t="s">
        <v>1786</v>
      </c>
      <c r="B24" t="s">
        <v>1787</v>
      </c>
    </row>
    <row r="25" spans="1:12" hidden="1" x14ac:dyDescent="0.2">
      <c r="A25" s="235" t="s">
        <v>1788</v>
      </c>
      <c r="B25" t="s">
        <v>1789</v>
      </c>
      <c r="C25" t="s">
        <v>1680</v>
      </c>
      <c r="D25" t="s">
        <v>1790</v>
      </c>
      <c r="E25" t="s">
        <v>1791</v>
      </c>
      <c r="F25" t="s">
        <v>1792</v>
      </c>
      <c r="G25" t="s">
        <v>1793</v>
      </c>
      <c r="J25" t="s">
        <v>1794</v>
      </c>
      <c r="K25" t="s">
        <v>1795</v>
      </c>
    </row>
    <row r="26" spans="1:12" hidden="1" x14ac:dyDescent="0.2">
      <c r="A26" s="235" t="s">
        <v>1796</v>
      </c>
      <c r="B26" t="s">
        <v>1797</v>
      </c>
      <c r="F26" t="s">
        <v>1798</v>
      </c>
      <c r="G26" t="s">
        <v>1799</v>
      </c>
    </row>
    <row r="27" spans="1:12" hidden="1" x14ac:dyDescent="0.2">
      <c r="A27" s="235" t="s">
        <v>1800</v>
      </c>
      <c r="B27" t="s">
        <v>1801</v>
      </c>
      <c r="C27" t="s">
        <v>1802</v>
      </c>
      <c r="D27" t="s">
        <v>1803</v>
      </c>
      <c r="E27" t="s">
        <v>1804</v>
      </c>
      <c r="F27" t="s">
        <v>1805</v>
      </c>
      <c r="G27" t="s">
        <v>1806</v>
      </c>
      <c r="H27" t="s">
        <v>1807</v>
      </c>
    </row>
    <row r="28" spans="1:12" hidden="1" x14ac:dyDescent="0.2">
      <c r="A28" s="235" t="s">
        <v>1808</v>
      </c>
      <c r="B28" t="s">
        <v>1809</v>
      </c>
      <c r="C28" t="s">
        <v>1680</v>
      </c>
      <c r="D28" t="s">
        <v>1810</v>
      </c>
      <c r="F28" t="s">
        <v>1811</v>
      </c>
      <c r="G28" t="s">
        <v>1812</v>
      </c>
      <c r="H28" t="s">
        <v>1813</v>
      </c>
      <c r="J28" t="s">
        <v>1814</v>
      </c>
      <c r="K28" t="s">
        <v>1815</v>
      </c>
    </row>
    <row r="29" spans="1:12" hidden="1" x14ac:dyDescent="0.2">
      <c r="A29" s="235" t="s">
        <v>1816</v>
      </c>
      <c r="B29" t="s">
        <v>1817</v>
      </c>
      <c r="D29" t="s">
        <v>1818</v>
      </c>
      <c r="E29" t="s">
        <v>1819</v>
      </c>
      <c r="F29" t="s">
        <v>1820</v>
      </c>
      <c r="G29" t="s">
        <v>1821</v>
      </c>
    </row>
    <row r="30" spans="1:12" hidden="1" x14ac:dyDescent="0.2">
      <c r="A30" s="235">
        <v>121292</v>
      </c>
      <c r="B30" t="s">
        <v>1822</v>
      </c>
      <c r="C30" t="s">
        <v>1680</v>
      </c>
      <c r="D30" t="s">
        <v>1823</v>
      </c>
      <c r="E30" t="s">
        <v>1824</v>
      </c>
      <c r="F30" t="s">
        <v>1820</v>
      </c>
      <c r="G30" t="s">
        <v>1821</v>
      </c>
      <c r="J30" t="s">
        <v>1825</v>
      </c>
      <c r="K30" t="s">
        <v>1826</v>
      </c>
    </row>
    <row r="31" spans="1:12" hidden="1" x14ac:dyDescent="0.2">
      <c r="A31" s="235" t="s">
        <v>1827</v>
      </c>
      <c r="B31" t="s">
        <v>1828</v>
      </c>
      <c r="D31" t="s">
        <v>1829</v>
      </c>
      <c r="E31" t="s">
        <v>1830</v>
      </c>
      <c r="F31" t="s">
        <v>1831</v>
      </c>
      <c r="G31" t="s">
        <v>1832</v>
      </c>
    </row>
    <row r="32" spans="1:12" hidden="1" x14ac:dyDescent="0.2">
      <c r="A32" s="235" t="s">
        <v>1833</v>
      </c>
      <c r="B32" t="s">
        <v>1834</v>
      </c>
      <c r="D32" t="s">
        <v>1835</v>
      </c>
      <c r="E32" t="s">
        <v>1836</v>
      </c>
      <c r="F32" t="s">
        <v>1837</v>
      </c>
      <c r="G32" t="s">
        <v>1838</v>
      </c>
    </row>
    <row r="33" spans="1:12" hidden="1" x14ac:dyDescent="0.2">
      <c r="A33" s="235" t="s">
        <v>1839</v>
      </c>
      <c r="B33" t="s">
        <v>1840</v>
      </c>
      <c r="D33">
        <v>0</v>
      </c>
      <c r="E33">
        <v>0</v>
      </c>
      <c r="F33" t="s">
        <v>1841</v>
      </c>
      <c r="G33" t="s">
        <v>1842</v>
      </c>
      <c r="J33" t="s">
        <v>1843</v>
      </c>
      <c r="K33" t="s">
        <v>1844</v>
      </c>
    </row>
    <row r="34" spans="1:12" hidden="1" x14ac:dyDescent="0.2">
      <c r="A34" s="235" t="s">
        <v>1845</v>
      </c>
      <c r="B34" t="s">
        <v>1846</v>
      </c>
      <c r="D34" t="s">
        <v>1847</v>
      </c>
      <c r="E34">
        <v>0</v>
      </c>
      <c r="F34" t="s">
        <v>1848</v>
      </c>
      <c r="G34" t="s">
        <v>1849</v>
      </c>
    </row>
    <row r="35" spans="1:12" hidden="1" x14ac:dyDescent="0.2">
      <c r="A35" s="235" t="s">
        <v>1850</v>
      </c>
      <c r="B35" t="s">
        <v>1851</v>
      </c>
    </row>
    <row r="36" spans="1:12" hidden="1" x14ac:dyDescent="0.2">
      <c r="A36" s="235" t="s">
        <v>1852</v>
      </c>
      <c r="B36" t="s">
        <v>1853</v>
      </c>
      <c r="C36" t="s">
        <v>1680</v>
      </c>
      <c r="D36" t="s">
        <v>1854</v>
      </c>
      <c r="E36" t="s">
        <v>1855</v>
      </c>
      <c r="F36" t="s">
        <v>1856</v>
      </c>
      <c r="G36" t="s">
        <v>1857</v>
      </c>
      <c r="H36" t="s">
        <v>1858</v>
      </c>
    </row>
    <row r="37" spans="1:12" hidden="1" x14ac:dyDescent="0.2">
      <c r="A37" s="235" t="s">
        <v>1859</v>
      </c>
      <c r="B37" t="s">
        <v>1860</v>
      </c>
    </row>
    <row r="38" spans="1:12" hidden="1" x14ac:dyDescent="0.2">
      <c r="A38" s="235" t="s">
        <v>64</v>
      </c>
      <c r="B38" t="s">
        <v>1861</v>
      </c>
      <c r="D38" t="s">
        <v>1862</v>
      </c>
      <c r="E38">
        <v>0</v>
      </c>
      <c r="F38">
        <v>0</v>
      </c>
      <c r="G38" t="s">
        <v>1750</v>
      </c>
    </row>
    <row r="39" spans="1:12" hidden="1" x14ac:dyDescent="0.2">
      <c r="A39" s="235" t="s">
        <v>1863</v>
      </c>
      <c r="B39" t="s">
        <v>1864</v>
      </c>
      <c r="C39" t="s">
        <v>1865</v>
      </c>
      <c r="D39" t="s">
        <v>1866</v>
      </c>
      <c r="F39" t="s">
        <v>1867</v>
      </c>
      <c r="G39" t="s">
        <v>1868</v>
      </c>
      <c r="H39" t="s">
        <v>1869</v>
      </c>
    </row>
    <row r="40" spans="1:12" hidden="1" x14ac:dyDescent="0.2">
      <c r="A40" s="235" t="s">
        <v>1870</v>
      </c>
      <c r="B40" t="s">
        <v>1871</v>
      </c>
      <c r="C40" t="s">
        <v>1872</v>
      </c>
      <c r="D40" t="s">
        <v>1873</v>
      </c>
      <c r="E40" t="s">
        <v>1874</v>
      </c>
      <c r="F40" t="s">
        <v>1875</v>
      </c>
      <c r="G40" t="s">
        <v>1876</v>
      </c>
      <c r="J40" t="s">
        <v>1877</v>
      </c>
      <c r="K40" t="s">
        <v>1878</v>
      </c>
      <c r="L40" t="s">
        <v>1879</v>
      </c>
    </row>
    <row r="41" spans="1:12" hidden="1" x14ac:dyDescent="0.2">
      <c r="A41" s="235" t="s">
        <v>1880</v>
      </c>
      <c r="B41" t="s">
        <v>1881</v>
      </c>
      <c r="D41" t="s">
        <v>1882</v>
      </c>
      <c r="E41">
        <v>0</v>
      </c>
      <c r="F41" t="s">
        <v>1883</v>
      </c>
      <c r="G41" t="s">
        <v>1884</v>
      </c>
    </row>
    <row r="42" spans="1:12" hidden="1" x14ac:dyDescent="0.2">
      <c r="A42" s="235" t="s">
        <v>1885</v>
      </c>
      <c r="B42" t="s">
        <v>1886</v>
      </c>
      <c r="D42" t="s">
        <v>1887</v>
      </c>
      <c r="E42" t="s">
        <v>1888</v>
      </c>
      <c r="F42" t="s">
        <v>1889</v>
      </c>
      <c r="G42" t="s">
        <v>1890</v>
      </c>
    </row>
    <row r="43" spans="1:12" hidden="1" x14ac:dyDescent="0.2">
      <c r="A43" s="235" t="s">
        <v>1891</v>
      </c>
      <c r="B43" t="s">
        <v>1892</v>
      </c>
      <c r="C43" t="s">
        <v>1680</v>
      </c>
      <c r="D43" t="s">
        <v>1893</v>
      </c>
      <c r="E43" t="s">
        <v>1894</v>
      </c>
      <c r="F43" t="s">
        <v>1895</v>
      </c>
      <c r="G43" t="s">
        <v>1896</v>
      </c>
    </row>
    <row r="44" spans="1:12" hidden="1" x14ac:dyDescent="0.2">
      <c r="A44" s="235" t="s">
        <v>1897</v>
      </c>
      <c r="B44" t="s">
        <v>1898</v>
      </c>
    </row>
    <row r="45" spans="1:12" hidden="1" x14ac:dyDescent="0.2">
      <c r="A45" s="235" t="s">
        <v>1899</v>
      </c>
      <c r="B45" t="s">
        <v>1900</v>
      </c>
      <c r="C45" t="s">
        <v>1680</v>
      </c>
      <c r="D45" t="s">
        <v>1901</v>
      </c>
      <c r="E45" t="s">
        <v>1902</v>
      </c>
      <c r="F45" t="s">
        <v>1903</v>
      </c>
      <c r="G45" t="s">
        <v>1904</v>
      </c>
      <c r="J45" t="s">
        <v>1905</v>
      </c>
      <c r="K45" t="s">
        <v>1906</v>
      </c>
    </row>
    <row r="46" spans="1:12" hidden="1" x14ac:dyDescent="0.2">
      <c r="A46" s="235" t="s">
        <v>1899</v>
      </c>
      <c r="B46" t="s">
        <v>1900</v>
      </c>
      <c r="C46" t="s">
        <v>1736</v>
      </c>
      <c r="D46" t="s">
        <v>1907</v>
      </c>
      <c r="E46" t="s">
        <v>1438</v>
      </c>
      <c r="F46" t="s">
        <v>1908</v>
      </c>
      <c r="G46" t="s">
        <v>1909</v>
      </c>
    </row>
    <row r="47" spans="1:12" hidden="1" x14ac:dyDescent="0.2">
      <c r="A47" s="235" t="s">
        <v>1899</v>
      </c>
      <c r="B47" t="s">
        <v>1910</v>
      </c>
      <c r="D47" t="s">
        <v>1911</v>
      </c>
      <c r="E47">
        <v>0</v>
      </c>
      <c r="F47" t="s">
        <v>1908</v>
      </c>
      <c r="G47" t="s">
        <v>1909</v>
      </c>
    </row>
    <row r="48" spans="1:12" hidden="1" x14ac:dyDescent="0.2">
      <c r="A48" s="235" t="s">
        <v>1912</v>
      </c>
      <c r="B48" t="s">
        <v>1913</v>
      </c>
    </row>
    <row r="49" spans="1:13" hidden="1" x14ac:dyDescent="0.2">
      <c r="A49" s="235" t="s">
        <v>1914</v>
      </c>
      <c r="B49" t="s">
        <v>1915</v>
      </c>
      <c r="D49" t="s">
        <v>1916</v>
      </c>
      <c r="E49" t="s">
        <v>1917</v>
      </c>
      <c r="F49" t="s">
        <v>1918</v>
      </c>
      <c r="G49" t="s">
        <v>1919</v>
      </c>
      <c r="J49" t="s">
        <v>1920</v>
      </c>
      <c r="K49" t="s">
        <v>1921</v>
      </c>
    </row>
    <row r="50" spans="1:13" hidden="1" x14ac:dyDescent="0.2">
      <c r="A50" s="235" t="s">
        <v>1914</v>
      </c>
      <c r="B50" t="s">
        <v>1922</v>
      </c>
      <c r="C50" t="s">
        <v>1759</v>
      </c>
      <c r="D50" t="s">
        <v>1923</v>
      </c>
      <c r="E50" t="s">
        <v>1924</v>
      </c>
      <c r="F50" t="s">
        <v>1925</v>
      </c>
      <c r="G50" t="s">
        <v>1926</v>
      </c>
      <c r="J50" t="s">
        <v>1927</v>
      </c>
      <c r="K50" t="s">
        <v>1919</v>
      </c>
    </row>
    <row r="51" spans="1:13" hidden="1" x14ac:dyDescent="0.2">
      <c r="A51" s="235" t="s">
        <v>1914</v>
      </c>
      <c r="B51" t="s">
        <v>1922</v>
      </c>
      <c r="C51" t="s">
        <v>1705</v>
      </c>
      <c r="D51" t="s">
        <v>1928</v>
      </c>
      <c r="E51" t="s">
        <v>1929</v>
      </c>
      <c r="F51" t="s">
        <v>1930</v>
      </c>
      <c r="G51" t="s">
        <v>1931</v>
      </c>
      <c r="H51" t="s">
        <v>1932</v>
      </c>
    </row>
    <row r="52" spans="1:13" hidden="1" x14ac:dyDescent="0.2">
      <c r="A52" s="235" t="s">
        <v>1933</v>
      </c>
      <c r="B52" t="s">
        <v>1934</v>
      </c>
    </row>
    <row r="53" spans="1:13" hidden="1" x14ac:dyDescent="0.2">
      <c r="A53" s="235" t="s">
        <v>1935</v>
      </c>
      <c r="B53" t="s">
        <v>1936</v>
      </c>
      <c r="C53" t="s">
        <v>1680</v>
      </c>
    </row>
    <row r="54" spans="1:13" hidden="1" x14ac:dyDescent="0.2">
      <c r="A54" s="235" t="s">
        <v>1937</v>
      </c>
      <c r="B54" t="s">
        <v>1938</v>
      </c>
      <c r="D54" t="s">
        <v>1939</v>
      </c>
      <c r="E54" t="s">
        <v>1940</v>
      </c>
      <c r="F54" t="s">
        <v>1941</v>
      </c>
      <c r="G54" t="s">
        <v>1942</v>
      </c>
    </row>
    <row r="55" spans="1:13" hidden="1" x14ac:dyDescent="0.2">
      <c r="A55" s="235" t="s">
        <v>1943</v>
      </c>
      <c r="B55" t="s">
        <v>1944</v>
      </c>
      <c r="D55" t="s">
        <v>1945</v>
      </c>
      <c r="E55" t="s">
        <v>1946</v>
      </c>
      <c r="F55" t="s">
        <v>1947</v>
      </c>
      <c r="G55" t="s">
        <v>1948</v>
      </c>
    </row>
    <row r="56" spans="1:13" hidden="1" x14ac:dyDescent="0.2">
      <c r="A56" s="235" t="s">
        <v>1949</v>
      </c>
      <c r="B56" t="s">
        <v>1950</v>
      </c>
    </row>
    <row r="57" spans="1:13" hidden="1" x14ac:dyDescent="0.2">
      <c r="A57" s="235" t="s">
        <v>1951</v>
      </c>
      <c r="B57" t="s">
        <v>1952</v>
      </c>
      <c r="C57" t="s">
        <v>1680</v>
      </c>
      <c r="D57" t="s">
        <v>1953</v>
      </c>
      <c r="E57" t="s">
        <v>1954</v>
      </c>
      <c r="F57" t="s">
        <v>1955</v>
      </c>
      <c r="G57" t="s">
        <v>1956</v>
      </c>
    </row>
    <row r="58" spans="1:13" hidden="1" x14ac:dyDescent="0.2">
      <c r="A58" s="235" t="s">
        <v>1957</v>
      </c>
      <c r="B58" t="s">
        <v>1958</v>
      </c>
      <c r="C58" t="s">
        <v>1680</v>
      </c>
      <c r="F58" t="s">
        <v>1959</v>
      </c>
      <c r="G58" t="s">
        <v>1960</v>
      </c>
      <c r="H58" t="s">
        <v>1961</v>
      </c>
      <c r="I58" t="s">
        <v>1962</v>
      </c>
      <c r="J58" t="s">
        <v>1963</v>
      </c>
      <c r="K58" t="s">
        <v>1964</v>
      </c>
      <c r="L58" t="s">
        <v>1965</v>
      </c>
      <c r="M58" t="s">
        <v>1966</v>
      </c>
    </row>
    <row r="59" spans="1:13" hidden="1" x14ac:dyDescent="0.2">
      <c r="A59" s="235" t="s">
        <v>1967</v>
      </c>
      <c r="B59" t="s">
        <v>1968</v>
      </c>
      <c r="C59" t="s">
        <v>1969</v>
      </c>
      <c r="D59" t="s">
        <v>1970</v>
      </c>
      <c r="E59" t="s">
        <v>1971</v>
      </c>
      <c r="F59" t="s">
        <v>1972</v>
      </c>
      <c r="G59" t="s">
        <v>1973</v>
      </c>
      <c r="H59" t="s">
        <v>1974</v>
      </c>
      <c r="J59" t="s">
        <v>1975</v>
      </c>
      <c r="K59" t="s">
        <v>1976</v>
      </c>
      <c r="L59" t="s">
        <v>1977</v>
      </c>
    </row>
    <row r="60" spans="1:13" hidden="1" x14ac:dyDescent="0.2">
      <c r="A60" s="235" t="s">
        <v>1978</v>
      </c>
      <c r="B60" t="s">
        <v>1979</v>
      </c>
      <c r="C60" t="s">
        <v>1680</v>
      </c>
    </row>
    <row r="61" spans="1:13" hidden="1" x14ac:dyDescent="0.2">
      <c r="A61" s="235" t="s">
        <v>64</v>
      </c>
      <c r="B61" t="s">
        <v>1980</v>
      </c>
      <c r="D61" t="s">
        <v>1981</v>
      </c>
      <c r="E61" t="s">
        <v>1982</v>
      </c>
      <c r="F61" t="s">
        <v>1983</v>
      </c>
      <c r="G61" t="s">
        <v>1984</v>
      </c>
      <c r="J61" t="s">
        <v>1985</v>
      </c>
      <c r="K61" t="s">
        <v>1986</v>
      </c>
    </row>
    <row r="62" spans="1:13" hidden="1" x14ac:dyDescent="0.2">
      <c r="A62" s="235" t="s">
        <v>1987</v>
      </c>
      <c r="B62" t="s">
        <v>1988</v>
      </c>
      <c r="D62" t="s">
        <v>1989</v>
      </c>
      <c r="E62" t="s">
        <v>1990</v>
      </c>
      <c r="F62" t="s">
        <v>1991</v>
      </c>
      <c r="G62" t="s">
        <v>1992</v>
      </c>
    </row>
    <row r="63" spans="1:13" hidden="1" x14ac:dyDescent="0.2">
      <c r="A63" s="235">
        <v>121134</v>
      </c>
      <c r="B63" t="s">
        <v>1993</v>
      </c>
      <c r="D63" t="s">
        <v>1994</v>
      </c>
      <c r="E63" t="s">
        <v>1995</v>
      </c>
      <c r="F63" t="s">
        <v>1996</v>
      </c>
      <c r="G63" t="s">
        <v>1992</v>
      </c>
    </row>
    <row r="64" spans="1:13" hidden="1" x14ac:dyDescent="0.2">
      <c r="A64" s="235" t="s">
        <v>1997</v>
      </c>
      <c r="B64" t="s">
        <v>1998</v>
      </c>
    </row>
    <row r="65" spans="1:13" hidden="1" x14ac:dyDescent="0.2">
      <c r="A65" s="235" t="s">
        <v>1999</v>
      </c>
      <c r="B65" t="s">
        <v>2000</v>
      </c>
    </row>
    <row r="66" spans="1:13" hidden="1" x14ac:dyDescent="0.2">
      <c r="A66" s="235" t="s">
        <v>2001</v>
      </c>
      <c r="B66" t="s">
        <v>2002</v>
      </c>
    </row>
    <row r="67" spans="1:13" hidden="1" x14ac:dyDescent="0.2">
      <c r="A67" s="235" t="s">
        <v>2003</v>
      </c>
      <c r="B67" t="s">
        <v>2004</v>
      </c>
      <c r="C67" t="s">
        <v>1872</v>
      </c>
      <c r="D67" t="s">
        <v>2005</v>
      </c>
      <c r="F67" t="s">
        <v>2006</v>
      </c>
      <c r="G67" t="s">
        <v>2007</v>
      </c>
      <c r="H67" t="s">
        <v>2008</v>
      </c>
    </row>
    <row r="68" spans="1:13" hidden="1" x14ac:dyDescent="0.2">
      <c r="A68" s="235" t="s">
        <v>2009</v>
      </c>
      <c r="B68" t="s">
        <v>2010</v>
      </c>
      <c r="D68">
        <v>0</v>
      </c>
      <c r="E68">
        <v>0</v>
      </c>
      <c r="F68" t="s">
        <v>2011</v>
      </c>
      <c r="G68" t="s">
        <v>2012</v>
      </c>
    </row>
    <row r="69" spans="1:13" hidden="1" x14ac:dyDescent="0.2">
      <c r="A69" s="235" t="s">
        <v>2013</v>
      </c>
      <c r="B69" t="s">
        <v>2014</v>
      </c>
    </row>
    <row r="70" spans="1:13" hidden="1" x14ac:dyDescent="0.2">
      <c r="A70" s="235" t="s">
        <v>2015</v>
      </c>
      <c r="B70" t="s">
        <v>2016</v>
      </c>
      <c r="C70" t="s">
        <v>1680</v>
      </c>
      <c r="D70" t="s">
        <v>2017</v>
      </c>
      <c r="E70" t="s">
        <v>2018</v>
      </c>
      <c r="F70" t="s">
        <v>2019</v>
      </c>
      <c r="G70" t="s">
        <v>2020</v>
      </c>
      <c r="H70" t="s">
        <v>2021</v>
      </c>
    </row>
    <row r="71" spans="1:13" hidden="1" x14ac:dyDescent="0.2">
      <c r="A71" s="235" t="s">
        <v>2022</v>
      </c>
      <c r="B71" t="s">
        <v>2023</v>
      </c>
      <c r="C71" t="s">
        <v>1680</v>
      </c>
      <c r="D71" t="s">
        <v>2024</v>
      </c>
      <c r="E71" t="s">
        <v>2025</v>
      </c>
      <c r="F71" t="s">
        <v>2026</v>
      </c>
      <c r="G71" t="s">
        <v>2027</v>
      </c>
      <c r="H71" t="s">
        <v>2028</v>
      </c>
      <c r="I71" t="s">
        <v>2029</v>
      </c>
      <c r="J71" t="s">
        <v>2030</v>
      </c>
      <c r="K71" t="s">
        <v>2031</v>
      </c>
      <c r="L71" t="s">
        <v>2032</v>
      </c>
      <c r="M71" t="s">
        <v>2033</v>
      </c>
    </row>
    <row r="72" spans="1:13" hidden="1" x14ac:dyDescent="0.2">
      <c r="A72" s="235" t="s">
        <v>2022</v>
      </c>
      <c r="B72" t="s">
        <v>2023</v>
      </c>
      <c r="C72" t="s">
        <v>1736</v>
      </c>
      <c r="D72" t="s">
        <v>2034</v>
      </c>
      <c r="E72">
        <v>0</v>
      </c>
      <c r="F72" t="s">
        <v>2035</v>
      </c>
      <c r="G72" t="s">
        <v>2036</v>
      </c>
    </row>
    <row r="73" spans="1:13" hidden="1" x14ac:dyDescent="0.2">
      <c r="A73" s="235" t="s">
        <v>2037</v>
      </c>
      <c r="B73" t="s">
        <v>2038</v>
      </c>
      <c r="C73" t="s">
        <v>1802</v>
      </c>
      <c r="D73" t="s">
        <v>1803</v>
      </c>
      <c r="E73" t="s">
        <v>1804</v>
      </c>
      <c r="F73" t="s">
        <v>1805</v>
      </c>
      <c r="G73" t="s">
        <v>1806</v>
      </c>
      <c r="H73" t="s">
        <v>1807</v>
      </c>
      <c r="J73" t="s">
        <v>2039</v>
      </c>
      <c r="K73" t="s">
        <v>2040</v>
      </c>
      <c r="L73" t="s">
        <v>2041</v>
      </c>
    </row>
    <row r="74" spans="1:13" hidden="1" x14ac:dyDescent="0.2">
      <c r="A74" s="235" t="s">
        <v>2042</v>
      </c>
      <c r="B74" t="s">
        <v>2043</v>
      </c>
      <c r="C74" t="s">
        <v>1736</v>
      </c>
      <c r="D74" t="s">
        <v>2044</v>
      </c>
      <c r="F74" t="s">
        <v>2045</v>
      </c>
      <c r="G74" t="s">
        <v>2046</v>
      </c>
      <c r="H74" t="s">
        <v>2047</v>
      </c>
      <c r="I74" t="s">
        <v>2048</v>
      </c>
      <c r="J74" t="s">
        <v>2049</v>
      </c>
      <c r="K74" t="s">
        <v>2050</v>
      </c>
    </row>
    <row r="75" spans="1:13" hidden="1" x14ac:dyDescent="0.2">
      <c r="A75" s="235">
        <v>121262</v>
      </c>
      <c r="B75" t="s">
        <v>2051</v>
      </c>
      <c r="D75" t="s">
        <v>2052</v>
      </c>
      <c r="E75" t="s">
        <v>2053</v>
      </c>
      <c r="F75" t="s">
        <v>2054</v>
      </c>
      <c r="G75" t="s">
        <v>2055</v>
      </c>
    </row>
    <row r="76" spans="1:13" hidden="1" x14ac:dyDescent="0.2">
      <c r="A76" s="235" t="s">
        <v>2056</v>
      </c>
      <c r="B76" t="s">
        <v>2057</v>
      </c>
      <c r="C76" t="s">
        <v>1705</v>
      </c>
      <c r="D76" t="s">
        <v>2058</v>
      </c>
      <c r="E76" t="s">
        <v>2059</v>
      </c>
      <c r="F76" t="s">
        <v>2060</v>
      </c>
      <c r="G76" t="s">
        <v>2061</v>
      </c>
    </row>
    <row r="77" spans="1:13" hidden="1" x14ac:dyDescent="0.2">
      <c r="A77" s="235" t="s">
        <v>2056</v>
      </c>
      <c r="B77" t="s">
        <v>2057</v>
      </c>
      <c r="C77" t="s">
        <v>2062</v>
      </c>
      <c r="D77" t="s">
        <v>2063</v>
      </c>
      <c r="E77" t="s">
        <v>2064</v>
      </c>
      <c r="F77" t="s">
        <v>2060</v>
      </c>
      <c r="G77" t="s">
        <v>2061</v>
      </c>
    </row>
    <row r="78" spans="1:13" hidden="1" x14ac:dyDescent="0.2">
      <c r="A78" s="235" t="s">
        <v>2065</v>
      </c>
      <c r="B78" t="s">
        <v>2066</v>
      </c>
      <c r="C78" t="s">
        <v>2062</v>
      </c>
      <c r="D78" t="s">
        <v>2067</v>
      </c>
      <c r="E78" t="s">
        <v>2068</v>
      </c>
      <c r="F78" t="s">
        <v>2069</v>
      </c>
      <c r="G78" t="s">
        <v>2070</v>
      </c>
      <c r="I78" t="s">
        <v>2071</v>
      </c>
      <c r="J78" t="s">
        <v>2072</v>
      </c>
      <c r="K78" t="s">
        <v>2073</v>
      </c>
      <c r="L78" t="s">
        <v>2074</v>
      </c>
      <c r="M78" t="s">
        <v>2075</v>
      </c>
    </row>
    <row r="79" spans="1:13" hidden="1" x14ac:dyDescent="0.2">
      <c r="A79" s="235" t="s">
        <v>2076</v>
      </c>
      <c r="B79" t="s">
        <v>2077</v>
      </c>
    </row>
    <row r="80" spans="1:13" hidden="1" x14ac:dyDescent="0.2">
      <c r="A80" s="235" t="s">
        <v>2078</v>
      </c>
      <c r="B80" t="s">
        <v>2079</v>
      </c>
      <c r="C80" t="s">
        <v>1802</v>
      </c>
    </row>
    <row r="81" spans="1:13" hidden="1" x14ac:dyDescent="0.2">
      <c r="A81" s="235" t="s">
        <v>2080</v>
      </c>
      <c r="B81" t="s">
        <v>2081</v>
      </c>
      <c r="C81" t="s">
        <v>1680</v>
      </c>
      <c r="F81" t="s">
        <v>2082</v>
      </c>
      <c r="G81" t="s">
        <v>2083</v>
      </c>
      <c r="I81" t="s">
        <v>2084</v>
      </c>
      <c r="J81" t="s">
        <v>2085</v>
      </c>
      <c r="K81" t="s">
        <v>2086</v>
      </c>
      <c r="M81" t="s">
        <v>2087</v>
      </c>
    </row>
    <row r="82" spans="1:13" hidden="1" x14ac:dyDescent="0.2">
      <c r="A82" s="235">
        <v>120840</v>
      </c>
      <c r="B82" t="s">
        <v>2088</v>
      </c>
      <c r="D82">
        <v>0</v>
      </c>
      <c r="E82">
        <v>0</v>
      </c>
      <c r="F82" t="s">
        <v>2082</v>
      </c>
      <c r="G82" t="s">
        <v>2083</v>
      </c>
    </row>
    <row r="83" spans="1:13" hidden="1" x14ac:dyDescent="0.2">
      <c r="A83" s="235" t="s">
        <v>2089</v>
      </c>
      <c r="B83" t="s">
        <v>2090</v>
      </c>
      <c r="D83" t="s">
        <v>2091</v>
      </c>
      <c r="E83">
        <v>0</v>
      </c>
      <c r="F83" t="s">
        <v>2092</v>
      </c>
      <c r="G83" t="s">
        <v>2093</v>
      </c>
    </row>
    <row r="84" spans="1:13" hidden="1" x14ac:dyDescent="0.2">
      <c r="A84" s="235" t="s">
        <v>2094</v>
      </c>
      <c r="B84" t="s">
        <v>2095</v>
      </c>
      <c r="C84" t="s">
        <v>1680</v>
      </c>
      <c r="D84" t="s">
        <v>2096</v>
      </c>
      <c r="E84" t="s">
        <v>2097</v>
      </c>
      <c r="F84" t="s">
        <v>2098</v>
      </c>
      <c r="G84" t="s">
        <v>2099</v>
      </c>
    </row>
    <row r="85" spans="1:13" hidden="1" x14ac:dyDescent="0.2">
      <c r="A85" s="235" t="s">
        <v>2100</v>
      </c>
      <c r="B85" t="s">
        <v>2101</v>
      </c>
    </row>
    <row r="86" spans="1:13" hidden="1" x14ac:dyDescent="0.2">
      <c r="A86" s="235" t="s">
        <v>2102</v>
      </c>
      <c r="B86" t="s">
        <v>2103</v>
      </c>
      <c r="D86" t="s">
        <v>2104</v>
      </c>
      <c r="E86" t="s">
        <v>2105</v>
      </c>
      <c r="F86" t="s">
        <v>2106</v>
      </c>
      <c r="G86" t="s">
        <v>2107</v>
      </c>
    </row>
    <row r="87" spans="1:13" hidden="1" x14ac:dyDescent="0.2">
      <c r="A87" s="235" t="s">
        <v>2108</v>
      </c>
      <c r="B87" t="s">
        <v>2109</v>
      </c>
      <c r="C87" t="s">
        <v>1680</v>
      </c>
      <c r="F87" t="s">
        <v>2110</v>
      </c>
      <c r="G87" t="s">
        <v>2111</v>
      </c>
      <c r="H87" t="s">
        <v>2112</v>
      </c>
    </row>
    <row r="88" spans="1:13" hidden="1" x14ac:dyDescent="0.2">
      <c r="A88" s="235" t="s">
        <v>2113</v>
      </c>
      <c r="B88" t="s">
        <v>2114</v>
      </c>
      <c r="C88" t="s">
        <v>1680</v>
      </c>
      <c r="D88" t="s">
        <v>2115</v>
      </c>
      <c r="E88" t="s">
        <v>2116</v>
      </c>
      <c r="F88" t="s">
        <v>2117</v>
      </c>
      <c r="G88" t="s">
        <v>2118</v>
      </c>
      <c r="H88" t="s">
        <v>2119</v>
      </c>
    </row>
    <row r="89" spans="1:13" hidden="1" x14ac:dyDescent="0.2">
      <c r="A89" s="235" t="s">
        <v>2120</v>
      </c>
      <c r="B89" t="s">
        <v>2121</v>
      </c>
      <c r="D89" t="s">
        <v>2122</v>
      </c>
      <c r="E89" t="s">
        <v>2123</v>
      </c>
      <c r="F89" t="s">
        <v>2124</v>
      </c>
      <c r="G89" t="s">
        <v>2125</v>
      </c>
    </row>
    <row r="90" spans="1:13" hidden="1" x14ac:dyDescent="0.2">
      <c r="A90" s="235" t="s">
        <v>2126</v>
      </c>
      <c r="B90" t="s">
        <v>2127</v>
      </c>
      <c r="C90" t="s">
        <v>2128</v>
      </c>
      <c r="D90" t="s">
        <v>2129</v>
      </c>
      <c r="E90" t="s">
        <v>2130</v>
      </c>
      <c r="F90" t="s">
        <v>2131</v>
      </c>
      <c r="G90" t="s">
        <v>2132</v>
      </c>
      <c r="H90" t="s">
        <v>2133</v>
      </c>
      <c r="J90" t="s">
        <v>2134</v>
      </c>
      <c r="K90" t="s">
        <v>2135</v>
      </c>
    </row>
    <row r="91" spans="1:13" hidden="1" x14ac:dyDescent="0.2">
      <c r="A91" s="235" t="s">
        <v>2136</v>
      </c>
      <c r="B91" t="s">
        <v>2137</v>
      </c>
    </row>
    <row r="92" spans="1:13" hidden="1" x14ac:dyDescent="0.2">
      <c r="A92" s="235" t="s">
        <v>64</v>
      </c>
      <c r="B92" t="s">
        <v>2138</v>
      </c>
      <c r="D92" t="s">
        <v>2139</v>
      </c>
      <c r="E92" t="s">
        <v>2140</v>
      </c>
      <c r="F92" t="s">
        <v>2141</v>
      </c>
      <c r="G92" t="s">
        <v>2142</v>
      </c>
    </row>
    <row r="93" spans="1:13" hidden="1" x14ac:dyDescent="0.2">
      <c r="A93" s="235" t="s">
        <v>64</v>
      </c>
      <c r="B93" t="s">
        <v>2143</v>
      </c>
      <c r="D93" t="s">
        <v>2144</v>
      </c>
      <c r="E93" t="s">
        <v>2145</v>
      </c>
      <c r="F93" t="s">
        <v>2146</v>
      </c>
      <c r="G93" t="s">
        <v>2142</v>
      </c>
    </row>
    <row r="94" spans="1:13" hidden="1" x14ac:dyDescent="0.2">
      <c r="A94" s="235" t="s">
        <v>64</v>
      </c>
      <c r="B94" t="s">
        <v>2143</v>
      </c>
      <c r="D94" t="s">
        <v>2147</v>
      </c>
      <c r="E94" t="s">
        <v>2148</v>
      </c>
      <c r="F94" t="s">
        <v>2149</v>
      </c>
      <c r="G94" t="s">
        <v>2150</v>
      </c>
    </row>
    <row r="95" spans="1:13" hidden="1" x14ac:dyDescent="0.2">
      <c r="A95" s="235" t="s">
        <v>64</v>
      </c>
      <c r="B95" t="s">
        <v>2143</v>
      </c>
      <c r="D95" t="s">
        <v>2151</v>
      </c>
      <c r="E95" t="s">
        <v>2152</v>
      </c>
      <c r="F95" t="s">
        <v>2153</v>
      </c>
      <c r="G95" t="s">
        <v>2154</v>
      </c>
    </row>
    <row r="96" spans="1:13" hidden="1" x14ac:dyDescent="0.2">
      <c r="A96" s="235" t="s">
        <v>64</v>
      </c>
      <c r="B96" t="s">
        <v>2143</v>
      </c>
      <c r="D96" t="s">
        <v>2155</v>
      </c>
      <c r="E96" t="s">
        <v>2156</v>
      </c>
      <c r="F96" t="s">
        <v>2157</v>
      </c>
      <c r="G96" t="s">
        <v>2142</v>
      </c>
    </row>
    <row r="97" spans="1:12" hidden="1" x14ac:dyDescent="0.2">
      <c r="A97" s="235" t="s">
        <v>64</v>
      </c>
      <c r="B97" t="s">
        <v>2158</v>
      </c>
      <c r="D97" t="s">
        <v>2159</v>
      </c>
      <c r="E97" t="s">
        <v>2160</v>
      </c>
      <c r="F97" t="s">
        <v>2161</v>
      </c>
      <c r="G97" t="s">
        <v>2162</v>
      </c>
      <c r="J97" t="s">
        <v>2163</v>
      </c>
      <c r="K97" t="s">
        <v>2164</v>
      </c>
    </row>
    <row r="98" spans="1:12" hidden="1" x14ac:dyDescent="0.2">
      <c r="A98" s="235" t="s">
        <v>2165</v>
      </c>
      <c r="B98" t="s">
        <v>2166</v>
      </c>
      <c r="C98" t="s">
        <v>1680</v>
      </c>
      <c r="D98" t="s">
        <v>2167</v>
      </c>
      <c r="E98" t="s">
        <v>2168</v>
      </c>
      <c r="F98" t="s">
        <v>2169</v>
      </c>
      <c r="G98" t="s">
        <v>2170</v>
      </c>
      <c r="H98" t="s">
        <v>2171</v>
      </c>
      <c r="I98" t="s">
        <v>2172</v>
      </c>
    </row>
    <row r="99" spans="1:12" hidden="1" x14ac:dyDescent="0.2">
      <c r="A99" s="235" t="s">
        <v>2173</v>
      </c>
      <c r="B99" t="s">
        <v>2174</v>
      </c>
      <c r="C99" t="s">
        <v>1680</v>
      </c>
      <c r="D99" t="s">
        <v>2175</v>
      </c>
      <c r="E99" t="s">
        <v>2176</v>
      </c>
      <c r="F99" t="s">
        <v>2177</v>
      </c>
      <c r="G99" t="s">
        <v>2178</v>
      </c>
    </row>
    <row r="100" spans="1:12" hidden="1" x14ac:dyDescent="0.2">
      <c r="A100" s="235" t="s">
        <v>2179</v>
      </c>
      <c r="B100" t="s">
        <v>2180</v>
      </c>
      <c r="C100" t="s">
        <v>1680</v>
      </c>
      <c r="D100" t="s">
        <v>2181</v>
      </c>
      <c r="E100" t="s">
        <v>2182</v>
      </c>
      <c r="F100" t="s">
        <v>2183</v>
      </c>
      <c r="G100" t="s">
        <v>2184</v>
      </c>
      <c r="H100" t="s">
        <v>2185</v>
      </c>
    </row>
    <row r="101" spans="1:12" hidden="1" x14ac:dyDescent="0.2">
      <c r="A101" s="235" t="s">
        <v>2186</v>
      </c>
      <c r="B101" t="s">
        <v>2187</v>
      </c>
    </row>
    <row r="102" spans="1:12" hidden="1" x14ac:dyDescent="0.2">
      <c r="A102" s="235" t="s">
        <v>2188</v>
      </c>
      <c r="B102" t="s">
        <v>2189</v>
      </c>
      <c r="C102" t="s">
        <v>1872</v>
      </c>
      <c r="D102" t="s">
        <v>2190</v>
      </c>
      <c r="E102" t="s">
        <v>2191</v>
      </c>
      <c r="F102" t="s">
        <v>2192</v>
      </c>
      <c r="G102" t="s">
        <v>2193</v>
      </c>
      <c r="H102" t="s">
        <v>2194</v>
      </c>
      <c r="I102" t="s">
        <v>2195</v>
      </c>
    </row>
    <row r="103" spans="1:12" hidden="1" x14ac:dyDescent="0.2">
      <c r="A103" s="235" t="s">
        <v>64</v>
      </c>
      <c r="B103" t="s">
        <v>2196</v>
      </c>
      <c r="C103" t="s">
        <v>1680</v>
      </c>
      <c r="D103" t="s">
        <v>2197</v>
      </c>
      <c r="E103" t="s">
        <v>2198</v>
      </c>
      <c r="F103" t="s">
        <v>2199</v>
      </c>
      <c r="G103" t="s">
        <v>2200</v>
      </c>
    </row>
    <row r="104" spans="1:12" hidden="1" x14ac:dyDescent="0.2">
      <c r="A104" s="235" t="s">
        <v>2201</v>
      </c>
      <c r="B104" t="s">
        <v>2202</v>
      </c>
      <c r="D104">
        <v>0</v>
      </c>
      <c r="E104">
        <v>0</v>
      </c>
      <c r="F104" t="s">
        <v>2203</v>
      </c>
      <c r="G104" t="s">
        <v>2204</v>
      </c>
    </row>
    <row r="105" spans="1:12" hidden="1" x14ac:dyDescent="0.2">
      <c r="A105" s="235" t="s">
        <v>2205</v>
      </c>
      <c r="B105" t="s">
        <v>2206</v>
      </c>
      <c r="C105" t="s">
        <v>1705</v>
      </c>
      <c r="D105" t="s">
        <v>2207</v>
      </c>
      <c r="E105" t="s">
        <v>2208</v>
      </c>
      <c r="F105" t="s">
        <v>2209</v>
      </c>
      <c r="G105" t="s">
        <v>2210</v>
      </c>
      <c r="H105" t="s">
        <v>2211</v>
      </c>
      <c r="J105" t="s">
        <v>2212</v>
      </c>
      <c r="K105" t="s">
        <v>2213</v>
      </c>
      <c r="L105" t="s">
        <v>2214</v>
      </c>
    </row>
    <row r="106" spans="1:12" hidden="1" x14ac:dyDescent="0.2">
      <c r="A106" s="235" t="s">
        <v>2205</v>
      </c>
      <c r="B106" t="s">
        <v>2206</v>
      </c>
      <c r="C106" t="s">
        <v>2062</v>
      </c>
      <c r="D106" t="s">
        <v>2215</v>
      </c>
      <c r="E106" t="s">
        <v>2216</v>
      </c>
      <c r="F106" t="s">
        <v>2209</v>
      </c>
      <c r="G106" t="s">
        <v>2210</v>
      </c>
      <c r="H106" t="s">
        <v>2211</v>
      </c>
      <c r="J106" t="s">
        <v>2212</v>
      </c>
      <c r="K106" t="s">
        <v>2213</v>
      </c>
      <c r="L106" t="s">
        <v>2214</v>
      </c>
    </row>
    <row r="107" spans="1:12" hidden="1" x14ac:dyDescent="0.2">
      <c r="A107" s="235" t="s">
        <v>2205</v>
      </c>
      <c r="B107" t="s">
        <v>2217</v>
      </c>
      <c r="C107" t="s">
        <v>2218</v>
      </c>
      <c r="D107" t="s">
        <v>2219</v>
      </c>
      <c r="E107" t="s">
        <v>2220</v>
      </c>
      <c r="F107" t="s">
        <v>2221</v>
      </c>
      <c r="G107" t="s">
        <v>2222</v>
      </c>
    </row>
    <row r="108" spans="1:12" hidden="1" x14ac:dyDescent="0.2">
      <c r="A108" s="235">
        <v>120737</v>
      </c>
      <c r="B108" t="s">
        <v>2223</v>
      </c>
    </row>
    <row r="109" spans="1:12" hidden="1" x14ac:dyDescent="0.2">
      <c r="A109" s="235" t="s">
        <v>2224</v>
      </c>
      <c r="B109" t="s">
        <v>2225</v>
      </c>
      <c r="D109">
        <v>0</v>
      </c>
      <c r="E109">
        <v>0</v>
      </c>
      <c r="F109" t="s">
        <v>2226</v>
      </c>
      <c r="G109" t="s">
        <v>2227</v>
      </c>
    </row>
    <row r="110" spans="1:12" hidden="1" x14ac:dyDescent="0.2">
      <c r="A110" s="235" t="s">
        <v>2228</v>
      </c>
      <c r="B110" t="s">
        <v>2229</v>
      </c>
      <c r="C110" t="s">
        <v>1680</v>
      </c>
    </row>
    <row r="111" spans="1:12" hidden="1" x14ac:dyDescent="0.2">
      <c r="A111" s="235" t="s">
        <v>2230</v>
      </c>
      <c r="B111" t="s">
        <v>2231</v>
      </c>
    </row>
    <row r="112" spans="1:12" hidden="1" x14ac:dyDescent="0.2">
      <c r="A112" s="235" t="s">
        <v>2232</v>
      </c>
      <c r="B112" t="s">
        <v>2233</v>
      </c>
      <c r="C112" t="s">
        <v>1680</v>
      </c>
      <c r="D112" t="s">
        <v>2234</v>
      </c>
      <c r="E112" t="s">
        <v>2235</v>
      </c>
      <c r="F112" t="s">
        <v>2236</v>
      </c>
      <c r="G112" t="s">
        <v>2237</v>
      </c>
      <c r="H112" t="s">
        <v>2238</v>
      </c>
    </row>
    <row r="113" spans="1:13" hidden="1" x14ac:dyDescent="0.2">
      <c r="A113" s="235" t="s">
        <v>2239</v>
      </c>
      <c r="B113" t="s">
        <v>2240</v>
      </c>
    </row>
    <row r="114" spans="1:13" hidden="1" x14ac:dyDescent="0.2">
      <c r="A114" s="235" t="s">
        <v>2241</v>
      </c>
      <c r="B114" t="s">
        <v>2242</v>
      </c>
      <c r="C114" t="s">
        <v>1680</v>
      </c>
      <c r="D114" t="s">
        <v>2243</v>
      </c>
      <c r="E114" t="s">
        <v>2244</v>
      </c>
      <c r="F114" t="s">
        <v>2245</v>
      </c>
      <c r="G114" t="s">
        <v>2246</v>
      </c>
    </row>
    <row r="115" spans="1:13" hidden="1" x14ac:dyDescent="0.2">
      <c r="A115" s="235" t="s">
        <v>2247</v>
      </c>
      <c r="B115" t="s">
        <v>2248</v>
      </c>
      <c r="D115" t="s">
        <v>2249</v>
      </c>
      <c r="E115" t="s">
        <v>2250</v>
      </c>
      <c r="F115" t="s">
        <v>2251</v>
      </c>
      <c r="G115" t="s">
        <v>2252</v>
      </c>
    </row>
    <row r="116" spans="1:13" hidden="1" x14ac:dyDescent="0.2">
      <c r="A116" s="235" t="s">
        <v>2253</v>
      </c>
      <c r="B116" t="s">
        <v>2254</v>
      </c>
      <c r="C116" t="s">
        <v>1680</v>
      </c>
      <c r="D116" t="s">
        <v>2255</v>
      </c>
      <c r="F116" t="s">
        <v>2256</v>
      </c>
      <c r="G116" t="s">
        <v>2257</v>
      </c>
    </row>
    <row r="117" spans="1:13" hidden="1" x14ac:dyDescent="0.2">
      <c r="A117" s="235" t="s">
        <v>2258</v>
      </c>
      <c r="B117" t="s">
        <v>2259</v>
      </c>
      <c r="D117" t="s">
        <v>2260</v>
      </c>
      <c r="E117" t="s">
        <v>2261</v>
      </c>
      <c r="F117" t="s">
        <v>2262</v>
      </c>
      <c r="G117" t="s">
        <v>2263</v>
      </c>
    </row>
    <row r="118" spans="1:13" hidden="1" x14ac:dyDescent="0.2">
      <c r="A118" s="235" t="s">
        <v>64</v>
      </c>
      <c r="B118" t="s">
        <v>2264</v>
      </c>
      <c r="C118" t="s">
        <v>1736</v>
      </c>
      <c r="D118" t="s">
        <v>2265</v>
      </c>
      <c r="E118" t="s">
        <v>2266</v>
      </c>
      <c r="F118" t="s">
        <v>2267</v>
      </c>
      <c r="G118" t="s">
        <v>2268</v>
      </c>
      <c r="H118" t="s">
        <v>2269</v>
      </c>
      <c r="I118" t="s">
        <v>2270</v>
      </c>
    </row>
    <row r="119" spans="1:13" hidden="1" x14ac:dyDescent="0.2">
      <c r="A119" s="235" t="s">
        <v>2271</v>
      </c>
      <c r="B119" t="s">
        <v>2272</v>
      </c>
      <c r="C119" t="s">
        <v>1680</v>
      </c>
      <c r="D119" t="s">
        <v>2273</v>
      </c>
      <c r="E119" t="s">
        <v>2274</v>
      </c>
      <c r="F119" t="s">
        <v>2275</v>
      </c>
      <c r="G119" t="s">
        <v>2276</v>
      </c>
    </row>
    <row r="120" spans="1:13" hidden="1" x14ac:dyDescent="0.2">
      <c r="A120" s="235" t="s">
        <v>2277</v>
      </c>
      <c r="B120" t="s">
        <v>2278</v>
      </c>
      <c r="C120" t="s">
        <v>1680</v>
      </c>
      <c r="D120" t="s">
        <v>2279</v>
      </c>
      <c r="F120" t="s">
        <v>2280</v>
      </c>
      <c r="G120" t="s">
        <v>2281</v>
      </c>
      <c r="H120" t="s">
        <v>2282</v>
      </c>
    </row>
    <row r="121" spans="1:13" hidden="1" x14ac:dyDescent="0.2">
      <c r="A121" s="235" t="s">
        <v>2283</v>
      </c>
      <c r="B121" t="s">
        <v>2284</v>
      </c>
      <c r="D121">
        <v>0</v>
      </c>
      <c r="E121">
        <v>0</v>
      </c>
      <c r="F121" t="s">
        <v>2285</v>
      </c>
      <c r="G121" t="s">
        <v>2286</v>
      </c>
    </row>
    <row r="122" spans="1:13" hidden="1" x14ac:dyDescent="0.2">
      <c r="A122" s="235" t="s">
        <v>2287</v>
      </c>
      <c r="B122" t="s">
        <v>2288</v>
      </c>
    </row>
    <row r="123" spans="1:13" x14ac:dyDescent="0.2">
      <c r="A123" s="235" t="s">
        <v>2289</v>
      </c>
      <c r="B123" t="s">
        <v>2290</v>
      </c>
      <c r="C123" t="s">
        <v>1680</v>
      </c>
      <c r="D123" t="s">
        <v>2291</v>
      </c>
      <c r="E123" t="s">
        <v>2292</v>
      </c>
      <c r="F123" t="s">
        <v>2293</v>
      </c>
      <c r="G123" t="s">
        <v>2294</v>
      </c>
      <c r="H123" t="s">
        <v>2295</v>
      </c>
      <c r="I123" t="s">
        <v>2296</v>
      </c>
      <c r="J123" t="s">
        <v>2297</v>
      </c>
      <c r="K123" t="s">
        <v>2298</v>
      </c>
      <c r="L123" t="s">
        <v>2299</v>
      </c>
      <c r="M123" t="s">
        <v>2300</v>
      </c>
    </row>
    <row r="124" spans="1:13" x14ac:dyDescent="0.2">
      <c r="A124" s="235" t="s">
        <v>2289</v>
      </c>
      <c r="B124" t="s">
        <v>2290</v>
      </c>
      <c r="C124" t="s">
        <v>1736</v>
      </c>
      <c r="D124" t="s">
        <v>2301</v>
      </c>
      <c r="E124" t="s">
        <v>2302</v>
      </c>
      <c r="F124" t="s">
        <v>2303</v>
      </c>
      <c r="G124" t="s">
        <v>2304</v>
      </c>
      <c r="H124" t="s">
        <v>2305</v>
      </c>
    </row>
    <row r="125" spans="1:13" x14ac:dyDescent="0.2">
      <c r="A125" s="235" t="s">
        <v>2289</v>
      </c>
      <c r="B125" t="s">
        <v>2290</v>
      </c>
      <c r="C125" t="s">
        <v>1802</v>
      </c>
      <c r="D125" t="s">
        <v>2306</v>
      </c>
      <c r="E125" t="s">
        <v>2307</v>
      </c>
      <c r="F125" t="s">
        <v>2308</v>
      </c>
      <c r="G125" t="s">
        <v>2309</v>
      </c>
      <c r="H125" t="s">
        <v>2310</v>
      </c>
    </row>
    <row r="126" spans="1:13" hidden="1" x14ac:dyDescent="0.2">
      <c r="A126" s="235" t="s">
        <v>2311</v>
      </c>
      <c r="B126" t="s">
        <v>2312</v>
      </c>
      <c r="C126" t="s">
        <v>1680</v>
      </c>
      <c r="D126" t="s">
        <v>2313</v>
      </c>
      <c r="E126" t="s">
        <v>2314</v>
      </c>
      <c r="F126" t="s">
        <v>2315</v>
      </c>
      <c r="G126" t="s">
        <v>2316</v>
      </c>
      <c r="H126" t="s">
        <v>2317</v>
      </c>
      <c r="J126" t="s">
        <v>2318</v>
      </c>
      <c r="K126" t="s">
        <v>2319</v>
      </c>
    </row>
    <row r="127" spans="1:13" hidden="1" x14ac:dyDescent="0.2">
      <c r="A127" s="235" t="s">
        <v>2320</v>
      </c>
      <c r="B127" t="s">
        <v>2321</v>
      </c>
      <c r="C127" t="s">
        <v>1680</v>
      </c>
      <c r="D127" t="s">
        <v>2322</v>
      </c>
      <c r="E127" t="s">
        <v>2323</v>
      </c>
      <c r="F127" t="s">
        <v>2324</v>
      </c>
      <c r="G127" t="s">
        <v>2325</v>
      </c>
      <c r="H127" t="s">
        <v>2326</v>
      </c>
    </row>
    <row r="128" spans="1:13" hidden="1" x14ac:dyDescent="0.2">
      <c r="A128" s="235" t="s">
        <v>2327</v>
      </c>
      <c r="B128" t="s">
        <v>2328</v>
      </c>
      <c r="D128" t="s">
        <v>2329</v>
      </c>
      <c r="E128" t="s">
        <v>2330</v>
      </c>
      <c r="F128" t="s">
        <v>2331</v>
      </c>
      <c r="G128" t="s">
        <v>2332</v>
      </c>
    </row>
    <row r="129" spans="1:12" hidden="1" x14ac:dyDescent="0.2">
      <c r="A129" s="235" t="s">
        <v>2333</v>
      </c>
      <c r="B129" t="s">
        <v>2334</v>
      </c>
    </row>
    <row r="130" spans="1:12" hidden="1" x14ac:dyDescent="0.2">
      <c r="A130" s="235" t="s">
        <v>2335</v>
      </c>
      <c r="B130" t="s">
        <v>2336</v>
      </c>
    </row>
    <row r="131" spans="1:12" hidden="1" x14ac:dyDescent="0.2">
      <c r="A131" s="235" t="s">
        <v>2337</v>
      </c>
      <c r="B131" t="s">
        <v>2338</v>
      </c>
      <c r="F131" t="s">
        <v>2339</v>
      </c>
      <c r="G131" t="s">
        <v>2340</v>
      </c>
      <c r="H131" t="s">
        <v>2341</v>
      </c>
    </row>
    <row r="132" spans="1:12" hidden="1" x14ac:dyDescent="0.2">
      <c r="A132" s="235" t="s">
        <v>2342</v>
      </c>
      <c r="B132" t="s">
        <v>2343</v>
      </c>
      <c r="C132" t="s">
        <v>1736</v>
      </c>
      <c r="D132" t="s">
        <v>2344</v>
      </c>
      <c r="E132" t="s">
        <v>2345</v>
      </c>
      <c r="F132" t="s">
        <v>2346</v>
      </c>
      <c r="G132" t="s">
        <v>2347</v>
      </c>
      <c r="H132" t="s">
        <v>2348</v>
      </c>
    </row>
    <row r="133" spans="1:12" hidden="1" x14ac:dyDescent="0.2">
      <c r="A133" s="235" t="s">
        <v>2349</v>
      </c>
      <c r="B133" t="s">
        <v>2350</v>
      </c>
      <c r="C133" t="s">
        <v>1680</v>
      </c>
      <c r="F133" t="s">
        <v>2351</v>
      </c>
      <c r="G133" t="s">
        <v>2352</v>
      </c>
      <c r="H133" t="s">
        <v>2353</v>
      </c>
    </row>
    <row r="134" spans="1:12" hidden="1" x14ac:dyDescent="0.2">
      <c r="A134" s="235" t="s">
        <v>2354</v>
      </c>
      <c r="B134" t="s">
        <v>2355</v>
      </c>
      <c r="C134" t="s">
        <v>1680</v>
      </c>
      <c r="D134" t="s">
        <v>2356</v>
      </c>
      <c r="F134" t="s">
        <v>2357</v>
      </c>
      <c r="G134" t="s">
        <v>2358</v>
      </c>
      <c r="H134" t="s">
        <v>2359</v>
      </c>
      <c r="J134" t="s">
        <v>2360</v>
      </c>
      <c r="K134" t="s">
        <v>2361</v>
      </c>
      <c r="L134" t="s">
        <v>2362</v>
      </c>
    </row>
    <row r="135" spans="1:12" hidden="1" x14ac:dyDescent="0.2">
      <c r="A135" s="235" t="s">
        <v>2363</v>
      </c>
      <c r="B135" t="s">
        <v>2364</v>
      </c>
      <c r="C135" t="s">
        <v>1680</v>
      </c>
      <c r="F135" t="s">
        <v>2365</v>
      </c>
      <c r="G135" t="s">
        <v>2366</v>
      </c>
      <c r="H135" t="s">
        <v>2367</v>
      </c>
    </row>
    <row r="136" spans="1:12" hidden="1" x14ac:dyDescent="0.2">
      <c r="A136" s="235">
        <v>121269</v>
      </c>
      <c r="B136" t="s">
        <v>2368</v>
      </c>
      <c r="D136" t="s">
        <v>2369</v>
      </c>
    </row>
    <row r="137" spans="1:12" hidden="1" x14ac:dyDescent="0.2">
      <c r="A137" s="235">
        <v>120226</v>
      </c>
      <c r="B137" t="s">
        <v>2370</v>
      </c>
      <c r="C137" t="s">
        <v>1680</v>
      </c>
      <c r="D137" t="s">
        <v>2371</v>
      </c>
      <c r="E137" t="s">
        <v>2372</v>
      </c>
      <c r="F137" t="s">
        <v>2373</v>
      </c>
      <c r="G137" t="s">
        <v>2374</v>
      </c>
      <c r="H137" t="s">
        <v>2375</v>
      </c>
      <c r="J137" t="s">
        <v>2376</v>
      </c>
      <c r="K137" t="s">
        <v>2377</v>
      </c>
    </row>
    <row r="138" spans="1:12" hidden="1" x14ac:dyDescent="0.2">
      <c r="A138" s="235" t="s">
        <v>2378</v>
      </c>
      <c r="B138" t="s">
        <v>2379</v>
      </c>
      <c r="D138" t="s">
        <v>2380</v>
      </c>
      <c r="E138" t="s">
        <v>2381</v>
      </c>
      <c r="F138" t="s">
        <v>2382</v>
      </c>
      <c r="G138" t="s">
        <v>2383</v>
      </c>
    </row>
    <row r="139" spans="1:12" hidden="1" x14ac:dyDescent="0.2">
      <c r="A139" s="235" t="s">
        <v>2384</v>
      </c>
      <c r="B139" t="s">
        <v>2385</v>
      </c>
      <c r="C139" t="s">
        <v>1680</v>
      </c>
      <c r="D139" t="s">
        <v>2386</v>
      </c>
      <c r="E139" t="s">
        <v>2387</v>
      </c>
      <c r="F139" t="s">
        <v>2388</v>
      </c>
      <c r="G139" t="s">
        <v>2389</v>
      </c>
      <c r="J139" t="s">
        <v>2390</v>
      </c>
      <c r="K139" t="s">
        <v>2391</v>
      </c>
    </row>
    <row r="140" spans="1:12" hidden="1" x14ac:dyDescent="0.2">
      <c r="A140" s="235" t="s">
        <v>2392</v>
      </c>
      <c r="B140" t="s">
        <v>2393</v>
      </c>
      <c r="C140" t="s">
        <v>1802</v>
      </c>
      <c r="D140" t="s">
        <v>2394</v>
      </c>
      <c r="E140" t="s">
        <v>2395</v>
      </c>
      <c r="F140" t="s">
        <v>2396</v>
      </c>
      <c r="G140" t="s">
        <v>2397</v>
      </c>
    </row>
    <row r="141" spans="1:12" hidden="1" x14ac:dyDescent="0.2">
      <c r="A141" s="235" t="s">
        <v>2398</v>
      </c>
      <c r="B141" t="s">
        <v>2399</v>
      </c>
      <c r="C141" t="s">
        <v>1680</v>
      </c>
      <c r="D141" t="s">
        <v>2400</v>
      </c>
      <c r="E141" t="s">
        <v>2401</v>
      </c>
      <c r="F141" t="s">
        <v>2402</v>
      </c>
      <c r="G141" t="s">
        <v>2403</v>
      </c>
      <c r="H141" t="s">
        <v>2404</v>
      </c>
    </row>
    <row r="142" spans="1:12" hidden="1" x14ac:dyDescent="0.2">
      <c r="A142" s="235" t="s">
        <v>2405</v>
      </c>
      <c r="B142" t="s">
        <v>2406</v>
      </c>
      <c r="C142" t="s">
        <v>1680</v>
      </c>
      <c r="F142" t="s">
        <v>2407</v>
      </c>
      <c r="G142" t="s">
        <v>2408</v>
      </c>
      <c r="H142" t="s">
        <v>2409</v>
      </c>
    </row>
    <row r="143" spans="1:12" hidden="1" x14ac:dyDescent="0.2">
      <c r="A143" s="235" t="s">
        <v>2410</v>
      </c>
      <c r="B143" t="s">
        <v>2411</v>
      </c>
      <c r="C143" t="s">
        <v>1680</v>
      </c>
      <c r="D143" t="s">
        <v>2412</v>
      </c>
      <c r="E143" t="s">
        <v>2413</v>
      </c>
      <c r="F143" t="s">
        <v>2414</v>
      </c>
      <c r="G143" t="s">
        <v>2415</v>
      </c>
      <c r="H143" t="s">
        <v>2416</v>
      </c>
    </row>
    <row r="144" spans="1:12" hidden="1" x14ac:dyDescent="0.2">
      <c r="A144" s="235" t="s">
        <v>2417</v>
      </c>
      <c r="B144" t="s">
        <v>2418</v>
      </c>
      <c r="C144" t="s">
        <v>1680</v>
      </c>
      <c r="D144" t="s">
        <v>2419</v>
      </c>
      <c r="E144" t="s">
        <v>2420</v>
      </c>
      <c r="F144" t="s">
        <v>2421</v>
      </c>
      <c r="G144" t="s">
        <v>2422</v>
      </c>
    </row>
    <row r="145" spans="1:13" hidden="1" x14ac:dyDescent="0.2">
      <c r="A145" s="235" t="s">
        <v>2423</v>
      </c>
      <c r="B145" t="s">
        <v>2424</v>
      </c>
      <c r="D145" t="s">
        <v>2425</v>
      </c>
      <c r="E145" t="s">
        <v>2426</v>
      </c>
      <c r="F145" t="s">
        <v>2427</v>
      </c>
      <c r="G145" t="s">
        <v>2428</v>
      </c>
      <c r="H145" t="s">
        <v>2429</v>
      </c>
      <c r="J145" t="s">
        <v>2430</v>
      </c>
      <c r="K145" t="s">
        <v>2431</v>
      </c>
    </row>
    <row r="146" spans="1:13" hidden="1" x14ac:dyDescent="0.2">
      <c r="A146" s="235" t="s">
        <v>2432</v>
      </c>
      <c r="B146" t="s">
        <v>2433</v>
      </c>
      <c r="D146" t="s">
        <v>2369</v>
      </c>
    </row>
    <row r="147" spans="1:13" hidden="1" x14ac:dyDescent="0.2">
      <c r="A147" s="235" t="s">
        <v>2434</v>
      </c>
      <c r="B147" t="s">
        <v>2435</v>
      </c>
      <c r="C147" t="s">
        <v>1736</v>
      </c>
      <c r="F147" t="s">
        <v>2436</v>
      </c>
      <c r="G147" t="s">
        <v>2437</v>
      </c>
      <c r="H147" t="s">
        <v>2438</v>
      </c>
    </row>
    <row r="148" spans="1:13" hidden="1" x14ac:dyDescent="0.2">
      <c r="A148" s="235" t="s">
        <v>2439</v>
      </c>
      <c r="B148" t="s">
        <v>2440</v>
      </c>
      <c r="C148" t="s">
        <v>1680</v>
      </c>
      <c r="D148" t="s">
        <v>2441</v>
      </c>
      <c r="E148" t="s">
        <v>2442</v>
      </c>
      <c r="F148" t="s">
        <v>2443</v>
      </c>
      <c r="G148" t="s">
        <v>2444</v>
      </c>
      <c r="H148" t="s">
        <v>2445</v>
      </c>
    </row>
    <row r="149" spans="1:13" hidden="1" x14ac:dyDescent="0.2">
      <c r="A149" s="235" t="s">
        <v>2446</v>
      </c>
      <c r="B149" t="s">
        <v>2447</v>
      </c>
      <c r="C149" t="s">
        <v>1680</v>
      </c>
      <c r="D149" t="s">
        <v>2448</v>
      </c>
      <c r="E149" t="s">
        <v>2449</v>
      </c>
      <c r="F149" t="s">
        <v>2450</v>
      </c>
      <c r="G149" t="s">
        <v>2451</v>
      </c>
      <c r="H149" t="s">
        <v>2452</v>
      </c>
    </row>
    <row r="150" spans="1:13" hidden="1" x14ac:dyDescent="0.2">
      <c r="A150" s="235" t="s">
        <v>2453</v>
      </c>
      <c r="B150" t="s">
        <v>2454</v>
      </c>
    </row>
    <row r="151" spans="1:13" hidden="1" x14ac:dyDescent="0.2">
      <c r="A151" s="235" t="s">
        <v>2455</v>
      </c>
      <c r="B151" t="s">
        <v>2456</v>
      </c>
      <c r="D151">
        <v>0</v>
      </c>
      <c r="E151">
        <v>0</v>
      </c>
      <c r="F151" t="s">
        <v>2457</v>
      </c>
      <c r="G151" t="s">
        <v>2458</v>
      </c>
    </row>
    <row r="152" spans="1:13" hidden="1" x14ac:dyDescent="0.2">
      <c r="A152" s="235" t="s">
        <v>2459</v>
      </c>
      <c r="B152" t="s">
        <v>2460</v>
      </c>
      <c r="C152" t="s">
        <v>1680</v>
      </c>
      <c r="D152" t="s">
        <v>2461</v>
      </c>
      <c r="E152" t="s">
        <v>2462</v>
      </c>
      <c r="F152" t="s">
        <v>2463</v>
      </c>
      <c r="G152" t="s">
        <v>2464</v>
      </c>
      <c r="I152" t="s">
        <v>2465</v>
      </c>
      <c r="J152" t="s">
        <v>2466</v>
      </c>
      <c r="K152" t="s">
        <v>2467</v>
      </c>
      <c r="L152" t="s">
        <v>2468</v>
      </c>
      <c r="M152" t="s">
        <v>2469</v>
      </c>
    </row>
    <row r="153" spans="1:13" hidden="1" x14ac:dyDescent="0.2">
      <c r="A153" s="235" t="s">
        <v>2459</v>
      </c>
      <c r="B153" t="s">
        <v>2460</v>
      </c>
      <c r="C153" t="s">
        <v>1872</v>
      </c>
      <c r="D153" t="s">
        <v>2470</v>
      </c>
      <c r="E153" t="s">
        <v>2471</v>
      </c>
      <c r="F153" t="s">
        <v>2472</v>
      </c>
      <c r="G153" t="s">
        <v>2473</v>
      </c>
    </row>
    <row r="154" spans="1:13" hidden="1" x14ac:dyDescent="0.2">
      <c r="A154" s="235" t="s">
        <v>2459</v>
      </c>
      <c r="B154" t="s">
        <v>2460</v>
      </c>
      <c r="C154" t="s">
        <v>1736</v>
      </c>
      <c r="D154" t="s">
        <v>2474</v>
      </c>
      <c r="F154" t="s">
        <v>2475</v>
      </c>
      <c r="G154" t="s">
        <v>2476</v>
      </c>
      <c r="I154" t="s">
        <v>2477</v>
      </c>
    </row>
    <row r="155" spans="1:13" hidden="1" x14ac:dyDescent="0.2">
      <c r="A155" s="235" t="s">
        <v>2478</v>
      </c>
      <c r="B155" t="s">
        <v>2479</v>
      </c>
    </row>
    <row r="156" spans="1:13" hidden="1" x14ac:dyDescent="0.2">
      <c r="A156" s="235">
        <v>121190</v>
      </c>
      <c r="B156" t="s">
        <v>2480</v>
      </c>
      <c r="D156" t="s">
        <v>2481</v>
      </c>
      <c r="E156" t="s">
        <v>2482</v>
      </c>
      <c r="F156" t="s">
        <v>2483</v>
      </c>
      <c r="G156" t="s">
        <v>2484</v>
      </c>
    </row>
    <row r="157" spans="1:13" hidden="1" x14ac:dyDescent="0.2">
      <c r="A157" s="235">
        <v>121190</v>
      </c>
      <c r="B157" t="s">
        <v>2485</v>
      </c>
      <c r="C157" t="s">
        <v>1680</v>
      </c>
      <c r="D157" t="s">
        <v>2486</v>
      </c>
      <c r="E157" t="s">
        <v>2487</v>
      </c>
      <c r="F157" t="s">
        <v>2488</v>
      </c>
      <c r="G157" t="s">
        <v>2484</v>
      </c>
    </row>
    <row r="158" spans="1:13" hidden="1" x14ac:dyDescent="0.2">
      <c r="A158" s="235" t="s">
        <v>2489</v>
      </c>
      <c r="B158" t="s">
        <v>2490</v>
      </c>
      <c r="D158" t="s">
        <v>2491</v>
      </c>
      <c r="E158">
        <v>0</v>
      </c>
      <c r="F158" t="s">
        <v>2492</v>
      </c>
      <c r="G158" t="s">
        <v>2493</v>
      </c>
    </row>
    <row r="159" spans="1:13" hidden="1" x14ac:dyDescent="0.2">
      <c r="A159" s="235">
        <v>120233</v>
      </c>
      <c r="B159" t="s">
        <v>2494</v>
      </c>
      <c r="D159" t="s">
        <v>2491</v>
      </c>
      <c r="E159">
        <v>0</v>
      </c>
      <c r="F159" t="s">
        <v>2492</v>
      </c>
      <c r="G159" t="s">
        <v>2493</v>
      </c>
    </row>
    <row r="160" spans="1:13" hidden="1" x14ac:dyDescent="0.2">
      <c r="A160" s="235" t="s">
        <v>2495</v>
      </c>
      <c r="B160" t="s">
        <v>2496</v>
      </c>
    </row>
    <row r="161" spans="1:13" hidden="1" x14ac:dyDescent="0.2">
      <c r="A161" s="235" t="s">
        <v>2497</v>
      </c>
      <c r="B161" t="s">
        <v>2498</v>
      </c>
      <c r="C161" t="s">
        <v>1705</v>
      </c>
      <c r="D161" t="s">
        <v>2499</v>
      </c>
      <c r="E161" t="s">
        <v>2500</v>
      </c>
      <c r="F161" t="s">
        <v>2501</v>
      </c>
      <c r="G161" t="s">
        <v>2502</v>
      </c>
      <c r="H161" t="s">
        <v>2503</v>
      </c>
      <c r="I161" t="s">
        <v>2504</v>
      </c>
      <c r="J161" t="s">
        <v>2505</v>
      </c>
      <c r="K161" t="s">
        <v>2506</v>
      </c>
    </row>
    <row r="162" spans="1:13" hidden="1" x14ac:dyDescent="0.2">
      <c r="A162" s="235" t="s">
        <v>2497</v>
      </c>
      <c r="B162" t="s">
        <v>2498</v>
      </c>
      <c r="C162" t="s">
        <v>2507</v>
      </c>
      <c r="D162" t="s">
        <v>2508</v>
      </c>
      <c r="E162" t="s">
        <v>2509</v>
      </c>
      <c r="F162" t="s">
        <v>2501</v>
      </c>
      <c r="G162" t="s">
        <v>2502</v>
      </c>
      <c r="H162" t="s">
        <v>2503</v>
      </c>
      <c r="I162" t="s">
        <v>2504</v>
      </c>
      <c r="J162" t="s">
        <v>2505</v>
      </c>
      <c r="K162" t="s">
        <v>2506</v>
      </c>
      <c r="L162" t="s">
        <v>2510</v>
      </c>
    </row>
    <row r="163" spans="1:13" hidden="1" x14ac:dyDescent="0.2">
      <c r="A163" s="235" t="s">
        <v>2511</v>
      </c>
      <c r="B163" t="s">
        <v>2512</v>
      </c>
      <c r="C163" t="s">
        <v>1680</v>
      </c>
      <c r="D163" t="s">
        <v>2513</v>
      </c>
      <c r="E163" t="s">
        <v>2514</v>
      </c>
      <c r="F163" t="s">
        <v>2515</v>
      </c>
      <c r="G163" t="s">
        <v>2516</v>
      </c>
      <c r="H163" t="s">
        <v>2517</v>
      </c>
    </row>
    <row r="164" spans="1:13" hidden="1" x14ac:dyDescent="0.2">
      <c r="A164" s="235" t="s">
        <v>2518</v>
      </c>
      <c r="B164" t="s">
        <v>2519</v>
      </c>
      <c r="C164" t="s">
        <v>1872</v>
      </c>
      <c r="D164" t="s">
        <v>2520</v>
      </c>
      <c r="F164" t="s">
        <v>2521</v>
      </c>
      <c r="G164" t="s">
        <v>2522</v>
      </c>
      <c r="H164" t="s">
        <v>2523</v>
      </c>
    </row>
    <row r="165" spans="1:13" hidden="1" x14ac:dyDescent="0.2">
      <c r="A165" s="235" t="s">
        <v>2524</v>
      </c>
      <c r="B165" t="s">
        <v>2525</v>
      </c>
      <c r="C165" t="s">
        <v>1680</v>
      </c>
      <c r="D165" t="s">
        <v>2526</v>
      </c>
      <c r="E165" t="s">
        <v>2527</v>
      </c>
      <c r="F165" t="s">
        <v>2528</v>
      </c>
      <c r="G165" t="s">
        <v>2529</v>
      </c>
      <c r="H165" t="s">
        <v>2530</v>
      </c>
      <c r="J165" t="s">
        <v>2531</v>
      </c>
      <c r="K165" t="s">
        <v>2532</v>
      </c>
      <c r="L165" t="s">
        <v>2533</v>
      </c>
    </row>
    <row r="166" spans="1:13" hidden="1" x14ac:dyDescent="0.2">
      <c r="A166" s="235" t="s">
        <v>2524</v>
      </c>
      <c r="B166" t="s">
        <v>2525</v>
      </c>
      <c r="C166" t="s">
        <v>1736</v>
      </c>
      <c r="D166" t="s">
        <v>2534</v>
      </c>
      <c r="F166" t="s">
        <v>2535</v>
      </c>
      <c r="G166" t="s">
        <v>2536</v>
      </c>
      <c r="H166" t="s">
        <v>2537</v>
      </c>
    </row>
    <row r="167" spans="1:13" hidden="1" x14ac:dyDescent="0.2">
      <c r="A167" s="235" t="s">
        <v>2538</v>
      </c>
      <c r="B167" t="s">
        <v>2539</v>
      </c>
      <c r="C167" t="s">
        <v>1736</v>
      </c>
      <c r="D167" t="s">
        <v>2540</v>
      </c>
      <c r="E167" t="s">
        <v>2541</v>
      </c>
      <c r="F167" t="s">
        <v>2542</v>
      </c>
      <c r="G167" t="s">
        <v>2543</v>
      </c>
      <c r="H167" t="s">
        <v>2544</v>
      </c>
    </row>
    <row r="168" spans="1:13" hidden="1" x14ac:dyDescent="0.2">
      <c r="A168" s="235" t="s">
        <v>64</v>
      </c>
      <c r="B168" t="s">
        <v>2545</v>
      </c>
      <c r="D168" t="s">
        <v>2546</v>
      </c>
      <c r="E168" t="s">
        <v>2547</v>
      </c>
      <c r="F168" t="s">
        <v>2548</v>
      </c>
      <c r="G168" t="s">
        <v>2549</v>
      </c>
      <c r="J168" t="s">
        <v>2550</v>
      </c>
      <c r="K168" t="s">
        <v>2551</v>
      </c>
    </row>
    <row r="169" spans="1:13" hidden="1" x14ac:dyDescent="0.2">
      <c r="A169" s="235">
        <v>120895</v>
      </c>
      <c r="B169" t="s">
        <v>2552</v>
      </c>
      <c r="C169" t="s">
        <v>1680</v>
      </c>
      <c r="D169" t="s">
        <v>2553</v>
      </c>
      <c r="E169" t="s">
        <v>2554</v>
      </c>
      <c r="F169" t="s">
        <v>2555</v>
      </c>
      <c r="G169" t="s">
        <v>2556</v>
      </c>
      <c r="H169" t="s">
        <v>2557</v>
      </c>
    </row>
    <row r="170" spans="1:13" hidden="1" x14ac:dyDescent="0.2">
      <c r="A170" s="235" t="s">
        <v>64</v>
      </c>
      <c r="B170" t="s">
        <v>2558</v>
      </c>
      <c r="C170" t="s">
        <v>1705</v>
      </c>
      <c r="D170" t="s">
        <v>2546</v>
      </c>
      <c r="E170" t="s">
        <v>2547</v>
      </c>
      <c r="F170" t="s">
        <v>2548</v>
      </c>
      <c r="G170" t="s">
        <v>2549</v>
      </c>
      <c r="H170" t="s">
        <v>2559</v>
      </c>
      <c r="J170" t="s">
        <v>2550</v>
      </c>
      <c r="K170" t="s">
        <v>2551</v>
      </c>
      <c r="L170" t="s">
        <v>2560</v>
      </c>
    </row>
    <row r="171" spans="1:13" hidden="1" x14ac:dyDescent="0.2">
      <c r="A171" s="235" t="s">
        <v>2561</v>
      </c>
      <c r="B171" t="s">
        <v>2562</v>
      </c>
      <c r="D171">
        <v>0</v>
      </c>
      <c r="E171">
        <v>0</v>
      </c>
      <c r="F171" t="s">
        <v>2563</v>
      </c>
      <c r="G171" t="s">
        <v>2564</v>
      </c>
    </row>
    <row r="172" spans="1:13" hidden="1" x14ac:dyDescent="0.2">
      <c r="A172" s="235" t="s">
        <v>2565</v>
      </c>
      <c r="B172" t="s">
        <v>2566</v>
      </c>
      <c r="D172" t="s">
        <v>2567</v>
      </c>
      <c r="E172" t="s">
        <v>2568</v>
      </c>
      <c r="F172" t="s">
        <v>2569</v>
      </c>
      <c r="G172" t="s">
        <v>2570</v>
      </c>
    </row>
    <row r="173" spans="1:13" hidden="1" x14ac:dyDescent="0.2">
      <c r="A173" s="235" t="s">
        <v>2565</v>
      </c>
      <c r="B173" t="s">
        <v>2571</v>
      </c>
      <c r="C173" t="s">
        <v>1705</v>
      </c>
      <c r="D173" t="s">
        <v>2572</v>
      </c>
      <c r="E173" t="s">
        <v>2573</v>
      </c>
      <c r="F173" t="s">
        <v>2574</v>
      </c>
      <c r="G173" t="s">
        <v>2575</v>
      </c>
      <c r="H173" t="s">
        <v>2576</v>
      </c>
    </row>
    <row r="174" spans="1:13" hidden="1" x14ac:dyDescent="0.2">
      <c r="A174" s="235" t="s">
        <v>2565</v>
      </c>
      <c r="B174" t="s">
        <v>2571</v>
      </c>
      <c r="C174" t="s">
        <v>2062</v>
      </c>
      <c r="D174" t="s">
        <v>2577</v>
      </c>
      <c r="E174" t="s">
        <v>2578</v>
      </c>
      <c r="F174" t="s">
        <v>2579</v>
      </c>
      <c r="G174" t="s">
        <v>2580</v>
      </c>
      <c r="H174" t="s">
        <v>2581</v>
      </c>
      <c r="I174" t="s">
        <v>2582</v>
      </c>
      <c r="J174" t="s">
        <v>2574</v>
      </c>
      <c r="K174" t="s">
        <v>2575</v>
      </c>
      <c r="L174" t="s">
        <v>2576</v>
      </c>
    </row>
    <row r="175" spans="1:13" hidden="1" x14ac:dyDescent="0.2">
      <c r="A175" s="235" t="s">
        <v>2583</v>
      </c>
      <c r="B175" t="s">
        <v>2584</v>
      </c>
      <c r="C175" t="s">
        <v>1680</v>
      </c>
    </row>
    <row r="176" spans="1:13" hidden="1" x14ac:dyDescent="0.2">
      <c r="A176" s="235" t="s">
        <v>2585</v>
      </c>
      <c r="B176" t="s">
        <v>2586</v>
      </c>
      <c r="C176" t="s">
        <v>1680</v>
      </c>
      <c r="D176" t="s">
        <v>2587</v>
      </c>
      <c r="E176" t="s">
        <v>2588</v>
      </c>
      <c r="F176" t="s">
        <v>2589</v>
      </c>
      <c r="G176" t="s">
        <v>2590</v>
      </c>
      <c r="I176" t="s">
        <v>2582</v>
      </c>
      <c r="J176" t="s">
        <v>2591</v>
      </c>
      <c r="K176" t="s">
        <v>2592</v>
      </c>
      <c r="L176" t="s">
        <v>2593</v>
      </c>
      <c r="M176" t="s">
        <v>2594</v>
      </c>
    </row>
    <row r="177" spans="1:12" hidden="1" x14ac:dyDescent="0.2">
      <c r="A177" s="235" t="s">
        <v>2595</v>
      </c>
      <c r="B177" t="s">
        <v>2596</v>
      </c>
    </row>
    <row r="178" spans="1:12" hidden="1" x14ac:dyDescent="0.2">
      <c r="A178" s="235" t="s">
        <v>2597</v>
      </c>
      <c r="B178" t="s">
        <v>2598</v>
      </c>
      <c r="D178">
        <v>0</v>
      </c>
      <c r="E178">
        <v>0</v>
      </c>
      <c r="F178" t="s">
        <v>2599</v>
      </c>
      <c r="G178" t="s">
        <v>2600</v>
      </c>
    </row>
    <row r="179" spans="1:12" hidden="1" x14ac:dyDescent="0.2">
      <c r="A179" s="235" t="s">
        <v>2601</v>
      </c>
      <c r="B179" t="s">
        <v>2602</v>
      </c>
      <c r="C179" t="s">
        <v>1736</v>
      </c>
      <c r="D179" t="s">
        <v>2603</v>
      </c>
      <c r="E179" t="s">
        <v>2604</v>
      </c>
      <c r="F179" t="s">
        <v>2605</v>
      </c>
      <c r="G179" t="s">
        <v>2606</v>
      </c>
      <c r="H179" t="s">
        <v>2607</v>
      </c>
    </row>
    <row r="180" spans="1:12" hidden="1" x14ac:dyDescent="0.2">
      <c r="A180" s="235" t="s">
        <v>2608</v>
      </c>
      <c r="B180" t="s">
        <v>2609</v>
      </c>
    </row>
    <row r="181" spans="1:12" hidden="1" x14ac:dyDescent="0.2">
      <c r="A181" s="235" t="s">
        <v>2610</v>
      </c>
      <c r="B181" t="s">
        <v>2611</v>
      </c>
      <c r="C181" t="s">
        <v>1680</v>
      </c>
      <c r="D181" t="s">
        <v>2612</v>
      </c>
      <c r="E181" t="s">
        <v>2613</v>
      </c>
      <c r="F181" t="s">
        <v>2614</v>
      </c>
      <c r="G181" t="s">
        <v>2615</v>
      </c>
      <c r="H181" t="s">
        <v>2616</v>
      </c>
    </row>
    <row r="182" spans="1:12" hidden="1" x14ac:dyDescent="0.2">
      <c r="A182" s="235" t="s">
        <v>2617</v>
      </c>
      <c r="B182" t="s">
        <v>2618</v>
      </c>
      <c r="D182" t="s">
        <v>2619</v>
      </c>
      <c r="E182" t="s">
        <v>2620</v>
      </c>
      <c r="F182" t="s">
        <v>2621</v>
      </c>
      <c r="G182" t="s">
        <v>2622</v>
      </c>
      <c r="J182" t="s">
        <v>2623</v>
      </c>
      <c r="K182" t="s">
        <v>2624</v>
      </c>
    </row>
    <row r="183" spans="1:12" hidden="1" x14ac:dyDescent="0.2">
      <c r="A183" s="235" t="s">
        <v>2625</v>
      </c>
      <c r="B183" t="s">
        <v>2626</v>
      </c>
      <c r="D183">
        <v>0</v>
      </c>
      <c r="E183">
        <v>0</v>
      </c>
      <c r="F183">
        <v>0</v>
      </c>
      <c r="G183" t="s">
        <v>1750</v>
      </c>
    </row>
    <row r="184" spans="1:12" hidden="1" x14ac:dyDescent="0.2">
      <c r="A184" s="235" t="s">
        <v>2627</v>
      </c>
      <c r="B184" t="s">
        <v>2628</v>
      </c>
    </row>
    <row r="185" spans="1:12" hidden="1" x14ac:dyDescent="0.2">
      <c r="A185" s="235" t="s">
        <v>64</v>
      </c>
      <c r="B185" t="s">
        <v>2629</v>
      </c>
      <c r="C185" t="s">
        <v>1872</v>
      </c>
      <c r="D185" t="s">
        <v>2630</v>
      </c>
      <c r="E185" t="s">
        <v>2631</v>
      </c>
      <c r="F185" t="s">
        <v>2632</v>
      </c>
      <c r="G185" t="s">
        <v>2633</v>
      </c>
      <c r="H185" t="s">
        <v>2634</v>
      </c>
      <c r="I185" t="s">
        <v>2172</v>
      </c>
    </row>
    <row r="186" spans="1:12" hidden="1" x14ac:dyDescent="0.2">
      <c r="A186" s="235" t="s">
        <v>2635</v>
      </c>
      <c r="B186" t="s">
        <v>2636</v>
      </c>
      <c r="D186" t="s">
        <v>2637</v>
      </c>
      <c r="E186">
        <v>0</v>
      </c>
      <c r="F186" t="s">
        <v>2638</v>
      </c>
      <c r="G186" t="s">
        <v>2639</v>
      </c>
    </row>
    <row r="187" spans="1:12" hidden="1" x14ac:dyDescent="0.2">
      <c r="A187" s="235" t="s">
        <v>2640</v>
      </c>
      <c r="B187" t="s">
        <v>2641</v>
      </c>
    </row>
    <row r="188" spans="1:12" hidden="1" x14ac:dyDescent="0.2">
      <c r="A188" s="235" t="s">
        <v>2642</v>
      </c>
      <c r="B188" t="s">
        <v>2643</v>
      </c>
    </row>
    <row r="189" spans="1:12" hidden="1" x14ac:dyDescent="0.2">
      <c r="A189" s="235" t="s">
        <v>2644</v>
      </c>
      <c r="B189" t="s">
        <v>2645</v>
      </c>
      <c r="D189" t="s">
        <v>2646</v>
      </c>
      <c r="E189" t="s">
        <v>2647</v>
      </c>
      <c r="F189" t="s">
        <v>2648</v>
      </c>
      <c r="G189" t="s">
        <v>2649</v>
      </c>
    </row>
    <row r="190" spans="1:12" hidden="1" x14ac:dyDescent="0.2">
      <c r="A190" s="235" t="s">
        <v>2644</v>
      </c>
      <c r="B190" t="s">
        <v>2650</v>
      </c>
    </row>
    <row r="191" spans="1:12" hidden="1" x14ac:dyDescent="0.2">
      <c r="A191" s="235" t="s">
        <v>2651</v>
      </c>
      <c r="B191" t="s">
        <v>2652</v>
      </c>
      <c r="D191" t="s">
        <v>2653</v>
      </c>
      <c r="E191" t="s">
        <v>2654</v>
      </c>
      <c r="F191" t="s">
        <v>2655</v>
      </c>
      <c r="G191" t="s">
        <v>2656</v>
      </c>
    </row>
    <row r="192" spans="1:12" hidden="1" x14ac:dyDescent="0.2">
      <c r="A192" s="235" t="s">
        <v>2651</v>
      </c>
      <c r="B192" t="s">
        <v>2657</v>
      </c>
      <c r="C192" t="s">
        <v>1680</v>
      </c>
      <c r="D192" t="s">
        <v>2658</v>
      </c>
      <c r="E192" t="s">
        <v>2659</v>
      </c>
      <c r="F192" t="s">
        <v>2655</v>
      </c>
      <c r="G192" t="s">
        <v>2656</v>
      </c>
      <c r="J192" t="s">
        <v>2660</v>
      </c>
      <c r="K192" t="s">
        <v>2661</v>
      </c>
      <c r="L192" t="s">
        <v>2662</v>
      </c>
    </row>
    <row r="193" spans="1:12" hidden="1" x14ac:dyDescent="0.2">
      <c r="A193" s="235" t="s">
        <v>2663</v>
      </c>
      <c r="B193" t="s">
        <v>2664</v>
      </c>
    </row>
    <row r="194" spans="1:12" hidden="1" x14ac:dyDescent="0.2">
      <c r="A194" s="235" t="s">
        <v>2665</v>
      </c>
      <c r="B194" t="s">
        <v>2666</v>
      </c>
      <c r="C194" t="s">
        <v>1680</v>
      </c>
      <c r="D194" t="s">
        <v>2667</v>
      </c>
      <c r="E194" t="s">
        <v>2668</v>
      </c>
      <c r="F194" t="s">
        <v>2669</v>
      </c>
      <c r="G194" t="s">
        <v>2670</v>
      </c>
      <c r="H194" t="s">
        <v>2671</v>
      </c>
      <c r="J194" t="s">
        <v>2672</v>
      </c>
      <c r="K194" t="s">
        <v>2673</v>
      </c>
    </row>
    <row r="195" spans="1:12" hidden="1" x14ac:dyDescent="0.2">
      <c r="A195" s="235" t="s">
        <v>2674</v>
      </c>
      <c r="B195" t="s">
        <v>2675</v>
      </c>
    </row>
    <row r="196" spans="1:12" hidden="1" x14ac:dyDescent="0.2">
      <c r="A196" s="235" t="s">
        <v>2676</v>
      </c>
      <c r="B196" t="s">
        <v>2677</v>
      </c>
      <c r="D196" t="s">
        <v>2678</v>
      </c>
      <c r="E196" t="s">
        <v>2679</v>
      </c>
      <c r="F196" t="s">
        <v>2680</v>
      </c>
      <c r="G196" t="s">
        <v>2681</v>
      </c>
    </row>
    <row r="197" spans="1:12" hidden="1" x14ac:dyDescent="0.2">
      <c r="A197" s="235" t="s">
        <v>2682</v>
      </c>
      <c r="B197" t="s">
        <v>2683</v>
      </c>
    </row>
    <row r="198" spans="1:12" hidden="1" x14ac:dyDescent="0.2">
      <c r="A198" s="235" t="s">
        <v>64</v>
      </c>
      <c r="B198" t="s">
        <v>2684</v>
      </c>
      <c r="D198" t="s">
        <v>1981</v>
      </c>
      <c r="E198" t="s">
        <v>2685</v>
      </c>
      <c r="F198" t="s">
        <v>1983</v>
      </c>
      <c r="G198" t="s">
        <v>1984</v>
      </c>
      <c r="J198" t="s">
        <v>1985</v>
      </c>
      <c r="K198" t="s">
        <v>1986</v>
      </c>
    </row>
    <row r="199" spans="1:12" hidden="1" x14ac:dyDescent="0.2">
      <c r="A199" s="235" t="s">
        <v>2686</v>
      </c>
      <c r="B199" t="s">
        <v>2687</v>
      </c>
      <c r="F199" t="s">
        <v>2688</v>
      </c>
      <c r="G199" t="s">
        <v>2689</v>
      </c>
      <c r="H199" t="s">
        <v>2690</v>
      </c>
    </row>
    <row r="200" spans="1:12" hidden="1" x14ac:dyDescent="0.2">
      <c r="A200" s="235" t="s">
        <v>2691</v>
      </c>
      <c r="B200" t="s">
        <v>2692</v>
      </c>
      <c r="D200" t="s">
        <v>2693</v>
      </c>
      <c r="E200" t="s">
        <v>2694</v>
      </c>
      <c r="F200" t="s">
        <v>2695</v>
      </c>
      <c r="G200" t="s">
        <v>2696</v>
      </c>
    </row>
    <row r="201" spans="1:12" hidden="1" x14ac:dyDescent="0.2">
      <c r="A201" s="235" t="s">
        <v>2697</v>
      </c>
      <c r="B201" t="s">
        <v>2698</v>
      </c>
      <c r="C201" t="s">
        <v>1680</v>
      </c>
      <c r="D201" t="s">
        <v>2699</v>
      </c>
      <c r="E201" t="s">
        <v>2700</v>
      </c>
      <c r="F201" t="s">
        <v>2701</v>
      </c>
      <c r="G201" t="s">
        <v>2702</v>
      </c>
      <c r="H201" t="s">
        <v>2703</v>
      </c>
    </row>
    <row r="202" spans="1:12" hidden="1" x14ac:dyDescent="0.2">
      <c r="A202" s="235" t="s">
        <v>2704</v>
      </c>
      <c r="B202" t="s">
        <v>2705</v>
      </c>
      <c r="C202" t="s">
        <v>1872</v>
      </c>
      <c r="D202" t="s">
        <v>2706</v>
      </c>
      <c r="E202" t="s">
        <v>2707</v>
      </c>
      <c r="F202" t="s">
        <v>2708</v>
      </c>
      <c r="G202" t="s">
        <v>2709</v>
      </c>
      <c r="H202" t="s">
        <v>2710</v>
      </c>
      <c r="J202" t="s">
        <v>2711</v>
      </c>
      <c r="K202" t="s">
        <v>2712</v>
      </c>
    </row>
    <row r="203" spans="1:12" hidden="1" x14ac:dyDescent="0.2">
      <c r="A203" s="235" t="s">
        <v>2713</v>
      </c>
      <c r="B203" t="s">
        <v>2714</v>
      </c>
      <c r="D203" t="s">
        <v>2715</v>
      </c>
      <c r="E203" t="s">
        <v>2716</v>
      </c>
      <c r="F203" t="s">
        <v>2717</v>
      </c>
      <c r="G203" t="s">
        <v>2718</v>
      </c>
    </row>
    <row r="204" spans="1:12" hidden="1" x14ac:dyDescent="0.2">
      <c r="A204" s="235" t="s">
        <v>2719</v>
      </c>
      <c r="B204" t="s">
        <v>2720</v>
      </c>
    </row>
    <row r="205" spans="1:12" hidden="1" x14ac:dyDescent="0.2">
      <c r="A205" s="235" t="s">
        <v>2721</v>
      </c>
      <c r="B205" t="s">
        <v>2722</v>
      </c>
      <c r="C205" t="s">
        <v>1680</v>
      </c>
      <c r="D205" t="s">
        <v>2723</v>
      </c>
      <c r="E205" t="s">
        <v>2724</v>
      </c>
      <c r="F205" t="s">
        <v>2725</v>
      </c>
      <c r="G205" t="s">
        <v>2726</v>
      </c>
      <c r="J205" t="s">
        <v>2727</v>
      </c>
      <c r="K205" t="s">
        <v>2728</v>
      </c>
    </row>
    <row r="206" spans="1:12" hidden="1" x14ac:dyDescent="0.2">
      <c r="A206" s="235" t="s">
        <v>2729</v>
      </c>
      <c r="B206" t="s">
        <v>2730</v>
      </c>
      <c r="C206" t="s">
        <v>1872</v>
      </c>
      <c r="D206" t="s">
        <v>2731</v>
      </c>
      <c r="F206" t="s">
        <v>2732</v>
      </c>
    </row>
    <row r="207" spans="1:12" hidden="1" x14ac:dyDescent="0.2">
      <c r="A207" s="235" t="s">
        <v>2733</v>
      </c>
      <c r="B207" t="s">
        <v>2734</v>
      </c>
      <c r="D207" t="s">
        <v>2735</v>
      </c>
      <c r="E207" t="s">
        <v>2736</v>
      </c>
      <c r="F207" t="s">
        <v>2737</v>
      </c>
      <c r="G207" t="s">
        <v>2738</v>
      </c>
    </row>
    <row r="208" spans="1:12" hidden="1" x14ac:dyDescent="0.2">
      <c r="A208" s="235" t="s">
        <v>2739</v>
      </c>
      <c r="B208" t="s">
        <v>2740</v>
      </c>
      <c r="C208" t="s">
        <v>2741</v>
      </c>
      <c r="D208" t="s">
        <v>2742</v>
      </c>
      <c r="E208" t="s">
        <v>2743</v>
      </c>
      <c r="F208" t="s">
        <v>2744</v>
      </c>
      <c r="G208" t="s">
        <v>2745</v>
      </c>
      <c r="J208" t="s">
        <v>2746</v>
      </c>
      <c r="K208" t="s">
        <v>2747</v>
      </c>
      <c r="L208" t="s">
        <v>2748</v>
      </c>
    </row>
    <row r="209" spans="1:12" hidden="1" x14ac:dyDescent="0.2">
      <c r="A209" s="235" t="s">
        <v>2739</v>
      </c>
      <c r="B209" t="s">
        <v>2740</v>
      </c>
      <c r="C209" t="s">
        <v>2749</v>
      </c>
      <c r="D209" t="s">
        <v>2750</v>
      </c>
      <c r="E209" t="s">
        <v>2751</v>
      </c>
      <c r="F209" t="s">
        <v>2752</v>
      </c>
      <c r="G209" t="s">
        <v>2753</v>
      </c>
      <c r="H209" t="s">
        <v>2754</v>
      </c>
      <c r="I209" t="s">
        <v>2755</v>
      </c>
    </row>
    <row r="210" spans="1:12" hidden="1" x14ac:dyDescent="0.2">
      <c r="A210" s="235" t="s">
        <v>2756</v>
      </c>
      <c r="B210" t="s">
        <v>2757</v>
      </c>
      <c r="D210" t="s">
        <v>2758</v>
      </c>
      <c r="E210" t="s">
        <v>2759</v>
      </c>
      <c r="F210" t="s">
        <v>2760</v>
      </c>
      <c r="G210" t="s">
        <v>2761</v>
      </c>
    </row>
    <row r="211" spans="1:12" hidden="1" x14ac:dyDescent="0.2">
      <c r="A211" s="235" t="s">
        <v>2762</v>
      </c>
      <c r="B211" t="s">
        <v>2763</v>
      </c>
      <c r="C211" t="s">
        <v>1680</v>
      </c>
      <c r="D211" t="s">
        <v>2764</v>
      </c>
      <c r="E211" t="s">
        <v>2765</v>
      </c>
      <c r="F211" t="s">
        <v>2766</v>
      </c>
      <c r="G211" t="s">
        <v>2767</v>
      </c>
      <c r="H211" t="s">
        <v>2768</v>
      </c>
      <c r="J211" t="s">
        <v>2769</v>
      </c>
      <c r="K211" t="s">
        <v>2770</v>
      </c>
      <c r="L211" t="s">
        <v>2771</v>
      </c>
    </row>
    <row r="212" spans="1:12" hidden="1" x14ac:dyDescent="0.2">
      <c r="A212" s="235">
        <v>121127</v>
      </c>
      <c r="B212" t="s">
        <v>2772</v>
      </c>
    </row>
    <row r="213" spans="1:12" hidden="1" x14ac:dyDescent="0.2">
      <c r="A213" s="235" t="s">
        <v>64</v>
      </c>
      <c r="B213" t="s">
        <v>2773</v>
      </c>
      <c r="C213" t="s">
        <v>1736</v>
      </c>
      <c r="D213" t="s">
        <v>2774</v>
      </c>
      <c r="E213" t="s">
        <v>2775</v>
      </c>
      <c r="F213" t="s">
        <v>2776</v>
      </c>
      <c r="G213" t="s">
        <v>2777</v>
      </c>
      <c r="H213" t="s">
        <v>2778</v>
      </c>
      <c r="I213" t="s">
        <v>2779</v>
      </c>
    </row>
    <row r="214" spans="1:12" hidden="1" x14ac:dyDescent="0.2">
      <c r="A214" s="235" t="s">
        <v>2780</v>
      </c>
      <c r="B214" t="s">
        <v>2781</v>
      </c>
    </row>
    <row r="215" spans="1:12" hidden="1" x14ac:dyDescent="0.2">
      <c r="A215" s="235" t="s">
        <v>2782</v>
      </c>
      <c r="B215" t="s">
        <v>2783</v>
      </c>
      <c r="C215" t="s">
        <v>1680</v>
      </c>
      <c r="D215" t="s">
        <v>2784</v>
      </c>
      <c r="E215" t="s">
        <v>2785</v>
      </c>
      <c r="F215" t="s">
        <v>2786</v>
      </c>
      <c r="G215" t="s">
        <v>2787</v>
      </c>
      <c r="H215" t="s">
        <v>2788</v>
      </c>
      <c r="J215" t="s">
        <v>2789</v>
      </c>
      <c r="K215" t="s">
        <v>2790</v>
      </c>
      <c r="L215" t="s">
        <v>2791</v>
      </c>
    </row>
    <row r="216" spans="1:12" hidden="1" x14ac:dyDescent="0.2">
      <c r="A216" s="235" t="s">
        <v>2792</v>
      </c>
      <c r="B216" t="s">
        <v>2793</v>
      </c>
    </row>
    <row r="217" spans="1:12" hidden="1" x14ac:dyDescent="0.2">
      <c r="A217" s="235" t="s">
        <v>2794</v>
      </c>
      <c r="B217" t="s">
        <v>2795</v>
      </c>
      <c r="C217" t="s">
        <v>2796</v>
      </c>
      <c r="D217" t="s">
        <v>2797</v>
      </c>
      <c r="F217" t="s">
        <v>2798</v>
      </c>
      <c r="G217" t="s">
        <v>2799</v>
      </c>
      <c r="J217" t="s">
        <v>2800</v>
      </c>
      <c r="K217" t="s">
        <v>2801</v>
      </c>
    </row>
    <row r="218" spans="1:12" hidden="1" x14ac:dyDescent="0.2">
      <c r="A218" s="235">
        <v>121216</v>
      </c>
      <c r="B218" t="s">
        <v>2802</v>
      </c>
      <c r="D218" t="s">
        <v>2803</v>
      </c>
      <c r="E218" t="s">
        <v>2804</v>
      </c>
      <c r="F218" t="s">
        <v>2805</v>
      </c>
      <c r="G218" t="s">
        <v>2806</v>
      </c>
    </row>
    <row r="219" spans="1:12" hidden="1" x14ac:dyDescent="0.2">
      <c r="A219" s="235" t="s">
        <v>2807</v>
      </c>
      <c r="B219" t="s">
        <v>2808</v>
      </c>
    </row>
    <row r="220" spans="1:12" hidden="1" x14ac:dyDescent="0.2">
      <c r="A220" s="235" t="s">
        <v>2809</v>
      </c>
      <c r="B220" t="s">
        <v>2810</v>
      </c>
    </row>
    <row r="221" spans="1:12" hidden="1" x14ac:dyDescent="0.2">
      <c r="A221" s="235" t="s">
        <v>2811</v>
      </c>
      <c r="B221" t="s">
        <v>2812</v>
      </c>
      <c r="C221" t="s">
        <v>1759</v>
      </c>
      <c r="D221" t="s">
        <v>2813</v>
      </c>
      <c r="E221" t="s">
        <v>2814</v>
      </c>
      <c r="F221" t="s">
        <v>2815</v>
      </c>
      <c r="G221" t="s">
        <v>2816</v>
      </c>
    </row>
    <row r="222" spans="1:12" hidden="1" x14ac:dyDescent="0.2">
      <c r="A222" s="235" t="s">
        <v>2817</v>
      </c>
      <c r="B222" t="s">
        <v>2818</v>
      </c>
      <c r="D222" t="s">
        <v>2819</v>
      </c>
      <c r="E222" t="s">
        <v>2820</v>
      </c>
      <c r="F222" t="s">
        <v>2821</v>
      </c>
      <c r="G222" t="s">
        <v>2822</v>
      </c>
    </row>
    <row r="223" spans="1:12" hidden="1" x14ac:dyDescent="0.2">
      <c r="A223" s="235" t="s">
        <v>2823</v>
      </c>
      <c r="B223" t="s">
        <v>2824</v>
      </c>
    </row>
    <row r="224" spans="1:12" hidden="1" x14ac:dyDescent="0.2">
      <c r="A224" s="235" t="s">
        <v>2825</v>
      </c>
      <c r="B224" t="s">
        <v>2826</v>
      </c>
      <c r="D224" t="s">
        <v>2827</v>
      </c>
      <c r="E224" t="s">
        <v>2828</v>
      </c>
      <c r="F224" t="s">
        <v>2829</v>
      </c>
      <c r="G224" t="s">
        <v>2830</v>
      </c>
    </row>
    <row r="225" spans="1:12" hidden="1" x14ac:dyDescent="0.2">
      <c r="A225" s="235" t="s">
        <v>64</v>
      </c>
      <c r="B225" t="s">
        <v>2831</v>
      </c>
      <c r="D225" t="s">
        <v>2827</v>
      </c>
      <c r="E225" t="s">
        <v>2828</v>
      </c>
      <c r="F225" t="s">
        <v>2829</v>
      </c>
      <c r="G225" t="s">
        <v>2830</v>
      </c>
    </row>
    <row r="226" spans="1:12" hidden="1" x14ac:dyDescent="0.2">
      <c r="A226" s="235">
        <v>121413</v>
      </c>
      <c r="B226" t="s">
        <v>2832</v>
      </c>
      <c r="D226" t="s">
        <v>2833</v>
      </c>
      <c r="E226" t="s">
        <v>2834</v>
      </c>
      <c r="F226" t="s">
        <v>2835</v>
      </c>
      <c r="G226" t="s">
        <v>2836</v>
      </c>
    </row>
    <row r="227" spans="1:12" hidden="1" x14ac:dyDescent="0.2">
      <c r="A227" s="235" t="s">
        <v>2837</v>
      </c>
      <c r="B227" t="s">
        <v>2838</v>
      </c>
      <c r="D227" t="s">
        <v>2839</v>
      </c>
      <c r="E227" t="s">
        <v>2840</v>
      </c>
      <c r="F227" t="s">
        <v>2841</v>
      </c>
      <c r="G227" t="s">
        <v>2842</v>
      </c>
    </row>
    <row r="228" spans="1:12" hidden="1" x14ac:dyDescent="0.2">
      <c r="A228" s="235" t="s">
        <v>2843</v>
      </c>
      <c r="B228" t="s">
        <v>2844</v>
      </c>
      <c r="C228" t="s">
        <v>1736</v>
      </c>
      <c r="D228" t="s">
        <v>2845</v>
      </c>
      <c r="E228" t="s">
        <v>2846</v>
      </c>
      <c r="F228" t="s">
        <v>2847</v>
      </c>
      <c r="G228" t="s">
        <v>2848</v>
      </c>
      <c r="H228" t="s">
        <v>2849</v>
      </c>
      <c r="I228" t="s">
        <v>2850</v>
      </c>
      <c r="J228" t="s">
        <v>2851</v>
      </c>
      <c r="K228" t="s">
        <v>2852</v>
      </c>
    </row>
    <row r="229" spans="1:12" hidden="1" x14ac:dyDescent="0.2">
      <c r="A229" s="235" t="s">
        <v>2003</v>
      </c>
      <c r="B229" t="s">
        <v>2853</v>
      </c>
    </row>
    <row r="230" spans="1:12" hidden="1" x14ac:dyDescent="0.2">
      <c r="A230" s="235" t="s">
        <v>2854</v>
      </c>
      <c r="B230" t="s">
        <v>2855</v>
      </c>
      <c r="C230" t="s">
        <v>1680</v>
      </c>
      <c r="D230" t="s">
        <v>2856</v>
      </c>
      <c r="E230" t="s">
        <v>2857</v>
      </c>
      <c r="F230" t="s">
        <v>2695</v>
      </c>
      <c r="G230" t="s">
        <v>2696</v>
      </c>
    </row>
    <row r="231" spans="1:12" hidden="1" x14ac:dyDescent="0.2">
      <c r="A231" s="235" t="s">
        <v>2858</v>
      </c>
      <c r="B231" t="s">
        <v>2859</v>
      </c>
      <c r="D231" t="s">
        <v>2860</v>
      </c>
      <c r="E231" t="s">
        <v>2861</v>
      </c>
      <c r="F231" t="s">
        <v>2862</v>
      </c>
      <c r="G231" t="s">
        <v>2863</v>
      </c>
      <c r="J231" t="s">
        <v>2864</v>
      </c>
      <c r="K231" t="s">
        <v>2865</v>
      </c>
    </row>
    <row r="232" spans="1:12" hidden="1" x14ac:dyDescent="0.2">
      <c r="A232" s="235" t="s">
        <v>64</v>
      </c>
      <c r="B232" t="s">
        <v>2866</v>
      </c>
      <c r="C232" t="s">
        <v>1680</v>
      </c>
      <c r="D232" t="s">
        <v>2867</v>
      </c>
      <c r="E232" t="s">
        <v>2868</v>
      </c>
      <c r="F232" t="s">
        <v>2869</v>
      </c>
      <c r="G232" t="s">
        <v>2870</v>
      </c>
      <c r="H232" t="s">
        <v>2871</v>
      </c>
      <c r="J232" t="s">
        <v>2872</v>
      </c>
      <c r="K232" t="s">
        <v>2873</v>
      </c>
      <c r="L232" t="s">
        <v>2874</v>
      </c>
    </row>
    <row r="233" spans="1:12" hidden="1" x14ac:dyDescent="0.2">
      <c r="A233" s="235" t="s">
        <v>2875</v>
      </c>
      <c r="B233" t="s">
        <v>2876</v>
      </c>
    </row>
    <row r="234" spans="1:12" hidden="1" x14ac:dyDescent="0.2">
      <c r="A234" s="235" t="s">
        <v>2877</v>
      </c>
      <c r="B234" t="s">
        <v>2878</v>
      </c>
      <c r="D234">
        <v>0</v>
      </c>
      <c r="E234">
        <v>0</v>
      </c>
      <c r="F234" t="s">
        <v>2879</v>
      </c>
      <c r="J234" t="s">
        <v>2880</v>
      </c>
      <c r="K234" t="s">
        <v>2881</v>
      </c>
    </row>
    <row r="235" spans="1:12" hidden="1" x14ac:dyDescent="0.2">
      <c r="A235" s="235" t="s">
        <v>2882</v>
      </c>
      <c r="B235" t="s">
        <v>2883</v>
      </c>
      <c r="D235" t="s">
        <v>1736</v>
      </c>
      <c r="E235">
        <v>0</v>
      </c>
      <c r="F235" t="s">
        <v>2884</v>
      </c>
      <c r="G235" t="s">
        <v>2885</v>
      </c>
    </row>
    <row r="236" spans="1:12" hidden="1" x14ac:dyDescent="0.2">
      <c r="A236" s="235" t="s">
        <v>2886</v>
      </c>
      <c r="B236" t="s">
        <v>2887</v>
      </c>
      <c r="C236" t="s">
        <v>1680</v>
      </c>
      <c r="D236" t="s">
        <v>2888</v>
      </c>
      <c r="E236" t="s">
        <v>2889</v>
      </c>
      <c r="F236" t="s">
        <v>2890</v>
      </c>
      <c r="G236" t="s">
        <v>2891</v>
      </c>
      <c r="J236" t="s">
        <v>2892</v>
      </c>
      <c r="K236" t="s">
        <v>2893</v>
      </c>
      <c r="L236" t="s">
        <v>2894</v>
      </c>
    </row>
    <row r="237" spans="1:12" hidden="1" x14ac:dyDescent="0.2">
      <c r="A237" s="235" t="s">
        <v>2895</v>
      </c>
      <c r="B237" t="s">
        <v>2896</v>
      </c>
      <c r="C237" t="s">
        <v>2749</v>
      </c>
      <c r="D237" t="s">
        <v>2897</v>
      </c>
      <c r="F237" t="s">
        <v>2898</v>
      </c>
      <c r="G237" t="s">
        <v>2899</v>
      </c>
      <c r="H237" t="s">
        <v>2900</v>
      </c>
      <c r="I237" t="s">
        <v>2901</v>
      </c>
    </row>
    <row r="238" spans="1:12" hidden="1" x14ac:dyDescent="0.2">
      <c r="A238" s="235" t="s">
        <v>2895</v>
      </c>
      <c r="B238" t="s">
        <v>2896</v>
      </c>
      <c r="D238">
        <v>0</v>
      </c>
      <c r="E238">
        <v>0</v>
      </c>
      <c r="F238" t="s">
        <v>2902</v>
      </c>
      <c r="G238" t="s">
        <v>2903</v>
      </c>
    </row>
    <row r="239" spans="1:12" hidden="1" x14ac:dyDescent="0.2">
      <c r="A239" s="235" t="s">
        <v>2904</v>
      </c>
      <c r="B239" t="s">
        <v>2905</v>
      </c>
      <c r="D239">
        <v>0</v>
      </c>
      <c r="E239">
        <v>0</v>
      </c>
    </row>
    <row r="240" spans="1:12" hidden="1" x14ac:dyDescent="0.2">
      <c r="A240" s="235" t="s">
        <v>2906</v>
      </c>
      <c r="B240" t="s">
        <v>2907</v>
      </c>
      <c r="D240" t="s">
        <v>2908</v>
      </c>
      <c r="E240" t="s">
        <v>2909</v>
      </c>
      <c r="F240" t="s">
        <v>2910</v>
      </c>
      <c r="G240" t="s">
        <v>2911</v>
      </c>
    </row>
    <row r="241" spans="1:13" hidden="1" x14ac:dyDescent="0.2">
      <c r="A241" s="235" t="s">
        <v>2912</v>
      </c>
      <c r="B241" t="s">
        <v>2913</v>
      </c>
      <c r="D241" t="s">
        <v>2914</v>
      </c>
      <c r="E241" t="s">
        <v>2915</v>
      </c>
      <c r="F241" t="s">
        <v>2916</v>
      </c>
      <c r="G241" t="s">
        <v>2917</v>
      </c>
    </row>
    <row r="242" spans="1:13" hidden="1" x14ac:dyDescent="0.2">
      <c r="A242" s="235" t="s">
        <v>2918</v>
      </c>
      <c r="B242" t="s">
        <v>2919</v>
      </c>
      <c r="C242" t="s">
        <v>1736</v>
      </c>
      <c r="D242" t="s">
        <v>2920</v>
      </c>
      <c r="F242" t="s">
        <v>2921</v>
      </c>
      <c r="G242" t="s">
        <v>2922</v>
      </c>
      <c r="H242" t="s">
        <v>2923</v>
      </c>
    </row>
    <row r="243" spans="1:13" hidden="1" x14ac:dyDescent="0.2">
      <c r="A243" s="235" t="s">
        <v>2924</v>
      </c>
      <c r="B243" t="s">
        <v>2925</v>
      </c>
      <c r="C243" t="s">
        <v>1680</v>
      </c>
      <c r="D243" t="s">
        <v>2926</v>
      </c>
      <c r="E243" t="s">
        <v>2927</v>
      </c>
      <c r="F243" t="s">
        <v>2928</v>
      </c>
      <c r="G243" t="s">
        <v>2929</v>
      </c>
      <c r="H243" t="s">
        <v>2930</v>
      </c>
      <c r="I243" t="s">
        <v>2931</v>
      </c>
      <c r="J243" t="s">
        <v>2932</v>
      </c>
      <c r="K243" t="s">
        <v>2933</v>
      </c>
      <c r="L243" t="s">
        <v>2934</v>
      </c>
      <c r="M243" t="s">
        <v>2935</v>
      </c>
    </row>
    <row r="244" spans="1:13" hidden="1" x14ac:dyDescent="0.2">
      <c r="A244" s="235" t="s">
        <v>2936</v>
      </c>
      <c r="B244" t="s">
        <v>2937</v>
      </c>
      <c r="C244" t="s">
        <v>1802</v>
      </c>
      <c r="D244" t="s">
        <v>2938</v>
      </c>
      <c r="F244" t="s">
        <v>2939</v>
      </c>
      <c r="G244" t="s">
        <v>2940</v>
      </c>
    </row>
    <row r="245" spans="1:13" hidden="1" x14ac:dyDescent="0.2">
      <c r="A245" s="235" t="s">
        <v>2941</v>
      </c>
      <c r="B245" t="s">
        <v>2942</v>
      </c>
      <c r="D245" t="s">
        <v>2943</v>
      </c>
      <c r="E245" t="s">
        <v>2944</v>
      </c>
      <c r="F245" t="s">
        <v>2945</v>
      </c>
      <c r="G245" t="s">
        <v>2946</v>
      </c>
    </row>
    <row r="246" spans="1:13" hidden="1" x14ac:dyDescent="0.2">
      <c r="A246" s="235" t="s">
        <v>2947</v>
      </c>
      <c r="B246" t="s">
        <v>2948</v>
      </c>
      <c r="D246">
        <v>0</v>
      </c>
      <c r="E246">
        <v>0</v>
      </c>
      <c r="F246" t="s">
        <v>2949</v>
      </c>
      <c r="G246" t="s">
        <v>2950</v>
      </c>
    </row>
    <row r="247" spans="1:13" hidden="1" x14ac:dyDescent="0.2">
      <c r="A247" s="235" t="s">
        <v>2951</v>
      </c>
      <c r="B247" t="s">
        <v>2952</v>
      </c>
      <c r="C247" t="s">
        <v>1802</v>
      </c>
      <c r="D247" t="s">
        <v>2953</v>
      </c>
      <c r="E247" t="s">
        <v>2954</v>
      </c>
      <c r="F247" t="s">
        <v>2955</v>
      </c>
      <c r="G247" t="s">
        <v>2956</v>
      </c>
      <c r="H247" t="s">
        <v>2957</v>
      </c>
    </row>
    <row r="248" spans="1:13" hidden="1" x14ac:dyDescent="0.2">
      <c r="A248" s="235" t="s">
        <v>2958</v>
      </c>
      <c r="B248" t="s">
        <v>2959</v>
      </c>
      <c r="D248" t="s">
        <v>2960</v>
      </c>
      <c r="E248" t="s">
        <v>2961</v>
      </c>
      <c r="F248" t="s">
        <v>2962</v>
      </c>
      <c r="G248" t="s">
        <v>2963</v>
      </c>
    </row>
    <row r="249" spans="1:13" hidden="1" x14ac:dyDescent="0.2">
      <c r="A249" s="235" t="s">
        <v>2964</v>
      </c>
      <c r="B249" t="s">
        <v>2965</v>
      </c>
      <c r="C249" t="s">
        <v>1680</v>
      </c>
      <c r="D249" t="s">
        <v>2966</v>
      </c>
      <c r="E249" t="s">
        <v>2967</v>
      </c>
      <c r="F249" t="s">
        <v>2968</v>
      </c>
      <c r="G249" t="s">
        <v>2969</v>
      </c>
      <c r="H249" t="s">
        <v>2970</v>
      </c>
    </row>
    <row r="250" spans="1:13" hidden="1" x14ac:dyDescent="0.2">
      <c r="A250" s="235" t="s">
        <v>2971</v>
      </c>
      <c r="B250" t="s">
        <v>2972</v>
      </c>
    </row>
    <row r="251" spans="1:13" hidden="1" x14ac:dyDescent="0.2">
      <c r="A251" s="235" t="s">
        <v>64</v>
      </c>
      <c r="B251" t="s">
        <v>2973</v>
      </c>
      <c r="D251" t="s">
        <v>2974</v>
      </c>
      <c r="E251" t="s">
        <v>2975</v>
      </c>
      <c r="F251" t="s">
        <v>2976</v>
      </c>
      <c r="G251" t="s">
        <v>2977</v>
      </c>
    </row>
    <row r="252" spans="1:13" hidden="1" x14ac:dyDescent="0.2">
      <c r="A252" s="235" t="s">
        <v>2978</v>
      </c>
      <c r="B252" t="s">
        <v>2979</v>
      </c>
    </row>
    <row r="253" spans="1:13" hidden="1" x14ac:dyDescent="0.2">
      <c r="A253" s="235" t="s">
        <v>2980</v>
      </c>
      <c r="B253" t="s">
        <v>2981</v>
      </c>
    </row>
    <row r="254" spans="1:13" hidden="1" x14ac:dyDescent="0.2">
      <c r="A254" s="235" t="s">
        <v>2982</v>
      </c>
      <c r="B254" t="s">
        <v>2983</v>
      </c>
      <c r="C254" t="s">
        <v>1680</v>
      </c>
      <c r="D254" t="s">
        <v>2984</v>
      </c>
    </row>
    <row r="255" spans="1:13" hidden="1" x14ac:dyDescent="0.2">
      <c r="A255" s="235" t="s">
        <v>2985</v>
      </c>
      <c r="B255" t="s">
        <v>2986</v>
      </c>
      <c r="C255" t="s">
        <v>1680</v>
      </c>
    </row>
    <row r="256" spans="1:13" hidden="1" x14ac:dyDescent="0.2">
      <c r="A256" s="235" t="s">
        <v>2987</v>
      </c>
      <c r="B256" t="s">
        <v>2988</v>
      </c>
      <c r="C256" t="s">
        <v>1680</v>
      </c>
      <c r="F256" t="s">
        <v>2989</v>
      </c>
      <c r="G256" t="s">
        <v>2990</v>
      </c>
      <c r="H256" t="s">
        <v>2991</v>
      </c>
    </row>
    <row r="257" spans="1:13" hidden="1" x14ac:dyDescent="0.2">
      <c r="A257" s="235">
        <v>121006</v>
      </c>
      <c r="B257" t="s">
        <v>2992</v>
      </c>
      <c r="C257" t="s">
        <v>1680</v>
      </c>
      <c r="F257" t="s">
        <v>2993</v>
      </c>
      <c r="G257" t="s">
        <v>2994</v>
      </c>
      <c r="H257" t="s">
        <v>2995</v>
      </c>
      <c r="I257" t="s">
        <v>2996</v>
      </c>
    </row>
    <row r="258" spans="1:13" hidden="1" x14ac:dyDescent="0.2">
      <c r="A258" s="235" t="s">
        <v>2997</v>
      </c>
      <c r="B258" t="s">
        <v>2998</v>
      </c>
      <c r="C258" t="s">
        <v>1680</v>
      </c>
      <c r="D258" t="s">
        <v>2999</v>
      </c>
      <c r="E258" t="s">
        <v>3000</v>
      </c>
      <c r="F258" t="s">
        <v>3001</v>
      </c>
      <c r="G258" t="s">
        <v>3002</v>
      </c>
      <c r="H258" t="s">
        <v>3003</v>
      </c>
    </row>
    <row r="259" spans="1:13" hidden="1" x14ac:dyDescent="0.2">
      <c r="A259" s="235" t="s">
        <v>2997</v>
      </c>
      <c r="B259" t="s">
        <v>2998</v>
      </c>
      <c r="C259" t="s">
        <v>1802</v>
      </c>
      <c r="D259" t="s">
        <v>3004</v>
      </c>
      <c r="E259" t="s">
        <v>3005</v>
      </c>
      <c r="F259" t="s">
        <v>3006</v>
      </c>
      <c r="G259" t="s">
        <v>3007</v>
      </c>
      <c r="H259" t="s">
        <v>3008</v>
      </c>
    </row>
    <row r="260" spans="1:13" hidden="1" x14ac:dyDescent="0.2">
      <c r="A260" s="235" t="s">
        <v>2997</v>
      </c>
      <c r="B260" t="s">
        <v>2998</v>
      </c>
      <c r="C260" t="s">
        <v>1736</v>
      </c>
    </row>
    <row r="261" spans="1:13" hidden="1" x14ac:dyDescent="0.2">
      <c r="A261" s="235" t="s">
        <v>3009</v>
      </c>
      <c r="B261" t="s">
        <v>3010</v>
      </c>
    </row>
    <row r="262" spans="1:13" hidden="1" x14ac:dyDescent="0.2">
      <c r="A262" s="235" t="s">
        <v>3011</v>
      </c>
      <c r="B262" t="s">
        <v>3012</v>
      </c>
      <c r="C262" t="s">
        <v>1680</v>
      </c>
      <c r="D262" t="s">
        <v>3013</v>
      </c>
      <c r="E262" t="s">
        <v>3014</v>
      </c>
      <c r="F262" t="s">
        <v>3015</v>
      </c>
      <c r="G262" t="s">
        <v>3016</v>
      </c>
      <c r="I262" t="s">
        <v>2300</v>
      </c>
      <c r="J262" t="s">
        <v>3017</v>
      </c>
      <c r="K262" t="s">
        <v>3018</v>
      </c>
      <c r="L262" t="s">
        <v>3019</v>
      </c>
      <c r="M262" t="s">
        <v>3020</v>
      </c>
    </row>
    <row r="263" spans="1:13" hidden="1" x14ac:dyDescent="0.2">
      <c r="A263" s="235" t="s">
        <v>3021</v>
      </c>
      <c r="B263" t="s">
        <v>3022</v>
      </c>
      <c r="C263" t="s">
        <v>1680</v>
      </c>
      <c r="D263" t="s">
        <v>3023</v>
      </c>
      <c r="E263" t="s">
        <v>3024</v>
      </c>
      <c r="F263" t="s">
        <v>3025</v>
      </c>
      <c r="G263" t="s">
        <v>3026</v>
      </c>
    </row>
    <row r="264" spans="1:13" hidden="1" x14ac:dyDescent="0.2">
      <c r="A264" s="235" t="s">
        <v>3027</v>
      </c>
      <c r="B264" t="s">
        <v>3028</v>
      </c>
    </row>
    <row r="265" spans="1:13" hidden="1" x14ac:dyDescent="0.2">
      <c r="A265" s="235" t="s">
        <v>3029</v>
      </c>
      <c r="B265" t="s">
        <v>3030</v>
      </c>
    </row>
    <row r="266" spans="1:13" hidden="1" x14ac:dyDescent="0.2">
      <c r="A266" s="235" t="s">
        <v>3031</v>
      </c>
      <c r="B266" t="s">
        <v>3032</v>
      </c>
      <c r="D266" t="s">
        <v>3033</v>
      </c>
      <c r="E266" t="s">
        <v>3034</v>
      </c>
      <c r="F266" t="s">
        <v>3035</v>
      </c>
      <c r="G266" t="s">
        <v>3036</v>
      </c>
      <c r="J266" t="s">
        <v>3037</v>
      </c>
      <c r="K266" t="s">
        <v>3038</v>
      </c>
    </row>
    <row r="267" spans="1:13" hidden="1" x14ac:dyDescent="0.2">
      <c r="A267" s="235" t="s">
        <v>64</v>
      </c>
      <c r="B267" t="s">
        <v>2973</v>
      </c>
      <c r="C267" t="s">
        <v>3039</v>
      </c>
      <c r="D267" t="s">
        <v>3040</v>
      </c>
      <c r="E267" t="s">
        <v>3041</v>
      </c>
      <c r="F267" t="s">
        <v>3042</v>
      </c>
      <c r="G267" t="s">
        <v>3043</v>
      </c>
      <c r="H267" t="s">
        <v>3044</v>
      </c>
      <c r="J267" t="s">
        <v>3045</v>
      </c>
      <c r="K267" t="s">
        <v>3046</v>
      </c>
      <c r="L267" t="s">
        <v>3047</v>
      </c>
    </row>
    <row r="268" spans="1:13" hidden="1" x14ac:dyDescent="0.2">
      <c r="A268" s="235" t="s">
        <v>64</v>
      </c>
      <c r="B268" t="s">
        <v>2973</v>
      </c>
      <c r="C268" t="s">
        <v>3048</v>
      </c>
      <c r="D268" t="s">
        <v>3049</v>
      </c>
      <c r="E268" t="s">
        <v>3050</v>
      </c>
      <c r="F268" t="s">
        <v>3051</v>
      </c>
      <c r="G268" t="s">
        <v>3052</v>
      </c>
      <c r="H268" t="s">
        <v>3053</v>
      </c>
      <c r="J268" t="s">
        <v>1644</v>
      </c>
      <c r="K268" t="s">
        <v>3054</v>
      </c>
      <c r="L268" t="s">
        <v>3055</v>
      </c>
    </row>
    <row r="269" spans="1:13" hidden="1" x14ac:dyDescent="0.2">
      <c r="A269" s="235" t="s">
        <v>64</v>
      </c>
      <c r="B269" t="s">
        <v>2973</v>
      </c>
      <c r="C269" t="s">
        <v>3056</v>
      </c>
      <c r="D269" t="s">
        <v>3057</v>
      </c>
      <c r="E269" t="s">
        <v>3058</v>
      </c>
      <c r="F269" t="s">
        <v>1644</v>
      </c>
      <c r="G269" t="s">
        <v>3054</v>
      </c>
      <c r="H269" t="s">
        <v>3053</v>
      </c>
      <c r="J269" t="s">
        <v>3059</v>
      </c>
      <c r="K269" t="s">
        <v>3060</v>
      </c>
      <c r="L269" t="s">
        <v>3061</v>
      </c>
    </row>
    <row r="270" spans="1:13" hidden="1" x14ac:dyDescent="0.2">
      <c r="A270" s="235" t="s">
        <v>64</v>
      </c>
      <c r="B270" t="s">
        <v>2973</v>
      </c>
      <c r="C270" t="s">
        <v>3062</v>
      </c>
      <c r="D270" t="s">
        <v>3063</v>
      </c>
      <c r="E270" t="s">
        <v>3064</v>
      </c>
      <c r="F270" t="s">
        <v>1644</v>
      </c>
      <c r="G270" t="s">
        <v>3054</v>
      </c>
      <c r="H270" t="s">
        <v>3053</v>
      </c>
      <c r="J270" t="s">
        <v>3059</v>
      </c>
      <c r="K270" t="s">
        <v>3060</v>
      </c>
      <c r="L270" t="s">
        <v>3061</v>
      </c>
    </row>
    <row r="271" spans="1:13" hidden="1" x14ac:dyDescent="0.2">
      <c r="A271" s="235" t="s">
        <v>64</v>
      </c>
      <c r="B271" t="s">
        <v>2973</v>
      </c>
      <c r="C271" t="s">
        <v>3065</v>
      </c>
      <c r="D271" t="s">
        <v>3066</v>
      </c>
      <c r="E271" t="s">
        <v>3067</v>
      </c>
      <c r="F271" t="s">
        <v>3059</v>
      </c>
      <c r="G271" t="s">
        <v>3060</v>
      </c>
      <c r="H271" t="s">
        <v>3061</v>
      </c>
      <c r="J271" t="s">
        <v>1644</v>
      </c>
      <c r="K271" t="s">
        <v>3054</v>
      </c>
      <c r="L271" t="s">
        <v>3055</v>
      </c>
    </row>
    <row r="272" spans="1:13" hidden="1" x14ac:dyDescent="0.2">
      <c r="A272" s="235" t="s">
        <v>64</v>
      </c>
      <c r="B272" t="s">
        <v>2973</v>
      </c>
      <c r="C272" t="s">
        <v>3068</v>
      </c>
      <c r="D272" t="s">
        <v>3069</v>
      </c>
      <c r="E272" t="s">
        <v>2975</v>
      </c>
      <c r="F272" t="s">
        <v>3070</v>
      </c>
      <c r="G272" t="s">
        <v>3071</v>
      </c>
      <c r="J272" t="s">
        <v>2976</v>
      </c>
      <c r="K272" t="s">
        <v>2977</v>
      </c>
    </row>
    <row r="273" spans="1:8" hidden="1" x14ac:dyDescent="0.2">
      <c r="A273" s="235" t="s">
        <v>3072</v>
      </c>
      <c r="B273" t="s">
        <v>3073</v>
      </c>
    </row>
    <row r="274" spans="1:8" hidden="1" x14ac:dyDescent="0.2">
      <c r="A274" s="235" t="s">
        <v>3074</v>
      </c>
      <c r="B274" t="s">
        <v>3075</v>
      </c>
      <c r="F274" t="s">
        <v>3076</v>
      </c>
      <c r="G274" t="s">
        <v>3077</v>
      </c>
      <c r="H274" t="s">
        <v>3078</v>
      </c>
    </row>
    <row r="275" spans="1:8" hidden="1" x14ac:dyDescent="0.2">
      <c r="A275" s="235" t="s">
        <v>3079</v>
      </c>
      <c r="B275" t="s">
        <v>3080</v>
      </c>
    </row>
    <row r="276" spans="1:8" hidden="1" x14ac:dyDescent="0.2">
      <c r="A276" s="235" t="s">
        <v>3081</v>
      </c>
      <c r="B276" t="s">
        <v>3082</v>
      </c>
    </row>
    <row r="277" spans="1:8" hidden="1" x14ac:dyDescent="0.2">
      <c r="A277" s="235" t="s">
        <v>3081</v>
      </c>
      <c r="B277" t="s">
        <v>3083</v>
      </c>
    </row>
    <row r="278" spans="1:8" hidden="1" x14ac:dyDescent="0.2">
      <c r="A278" s="235" t="s">
        <v>3084</v>
      </c>
      <c r="B278" t="s">
        <v>3085</v>
      </c>
      <c r="C278" t="s">
        <v>1680</v>
      </c>
      <c r="D278" t="s">
        <v>3086</v>
      </c>
      <c r="E278" t="s">
        <v>3087</v>
      </c>
      <c r="F278" t="s">
        <v>3088</v>
      </c>
      <c r="G278" t="s">
        <v>3089</v>
      </c>
      <c r="H278" t="s">
        <v>3090</v>
      </c>
    </row>
    <row r="279" spans="1:8" hidden="1" x14ac:dyDescent="0.2">
      <c r="A279" s="235" t="s">
        <v>3091</v>
      </c>
      <c r="B279" t="s">
        <v>3092</v>
      </c>
      <c r="C279" t="s">
        <v>1736</v>
      </c>
      <c r="D279" t="s">
        <v>3093</v>
      </c>
      <c r="E279" t="s">
        <v>3094</v>
      </c>
      <c r="F279" t="s">
        <v>3095</v>
      </c>
      <c r="G279" t="s">
        <v>3096</v>
      </c>
    </row>
    <row r="280" spans="1:8" hidden="1" x14ac:dyDescent="0.2">
      <c r="A280" s="235" t="s">
        <v>3097</v>
      </c>
      <c r="B280" t="s">
        <v>3098</v>
      </c>
    </row>
    <row r="281" spans="1:8" hidden="1" x14ac:dyDescent="0.2">
      <c r="A281" s="235" t="s">
        <v>3099</v>
      </c>
      <c r="B281" t="s">
        <v>3100</v>
      </c>
      <c r="C281" t="s">
        <v>1680</v>
      </c>
      <c r="D281" t="s">
        <v>3101</v>
      </c>
      <c r="E281" t="s">
        <v>3102</v>
      </c>
      <c r="F281" t="s">
        <v>3103</v>
      </c>
      <c r="G281" t="s">
        <v>3104</v>
      </c>
      <c r="H281" t="s">
        <v>3105</v>
      </c>
    </row>
    <row r="282" spans="1:8" hidden="1" x14ac:dyDescent="0.2">
      <c r="A282" s="235" t="s">
        <v>3106</v>
      </c>
      <c r="B282" t="s">
        <v>3107</v>
      </c>
      <c r="D282" t="s">
        <v>2181</v>
      </c>
      <c r="E282" t="s">
        <v>3108</v>
      </c>
      <c r="F282" t="s">
        <v>3109</v>
      </c>
      <c r="G282" t="s">
        <v>3110</v>
      </c>
    </row>
    <row r="283" spans="1:8" hidden="1" x14ac:dyDescent="0.2">
      <c r="A283" s="235" t="s">
        <v>3106</v>
      </c>
      <c r="B283" t="s">
        <v>3111</v>
      </c>
      <c r="C283" t="s">
        <v>1680</v>
      </c>
      <c r="D283" t="s">
        <v>2181</v>
      </c>
      <c r="F283" t="s">
        <v>3109</v>
      </c>
      <c r="G283" t="s">
        <v>3110</v>
      </c>
      <c r="H283" t="s">
        <v>3108</v>
      </c>
    </row>
    <row r="284" spans="1:8" hidden="1" x14ac:dyDescent="0.2">
      <c r="A284" s="235" t="s">
        <v>3112</v>
      </c>
      <c r="B284" t="s">
        <v>3113</v>
      </c>
      <c r="D284">
        <v>0</v>
      </c>
      <c r="E284">
        <v>0</v>
      </c>
      <c r="F284" t="s">
        <v>3114</v>
      </c>
      <c r="G284" t="s">
        <v>3115</v>
      </c>
    </row>
    <row r="285" spans="1:8" hidden="1" x14ac:dyDescent="0.2">
      <c r="A285" s="235" t="s">
        <v>3112</v>
      </c>
      <c r="B285" t="s">
        <v>3116</v>
      </c>
      <c r="D285" t="s">
        <v>3117</v>
      </c>
      <c r="E285" t="s">
        <v>3118</v>
      </c>
      <c r="F285" t="s">
        <v>3119</v>
      </c>
      <c r="G285" t="s">
        <v>3120</v>
      </c>
    </row>
    <row r="286" spans="1:8" hidden="1" x14ac:dyDescent="0.2">
      <c r="A286" s="235">
        <v>120076</v>
      </c>
      <c r="B286" t="s">
        <v>3121</v>
      </c>
      <c r="C286" t="s">
        <v>2796</v>
      </c>
      <c r="D286" t="s">
        <v>3122</v>
      </c>
      <c r="E286" t="s">
        <v>3123</v>
      </c>
      <c r="F286" t="s">
        <v>3124</v>
      </c>
      <c r="G286" t="s">
        <v>3125</v>
      </c>
      <c r="H286" t="s">
        <v>3126</v>
      </c>
    </row>
    <row r="287" spans="1:8" hidden="1" x14ac:dyDescent="0.2">
      <c r="A287" s="235">
        <v>120076</v>
      </c>
      <c r="B287" t="s">
        <v>3121</v>
      </c>
      <c r="C287" t="s">
        <v>2741</v>
      </c>
      <c r="D287" t="s">
        <v>3127</v>
      </c>
      <c r="E287" t="s">
        <v>3128</v>
      </c>
      <c r="F287" t="s">
        <v>3129</v>
      </c>
      <c r="G287" t="s">
        <v>3130</v>
      </c>
    </row>
    <row r="288" spans="1:8" hidden="1" x14ac:dyDescent="0.2">
      <c r="A288" s="235" t="s">
        <v>3131</v>
      </c>
      <c r="B288" t="s">
        <v>3132</v>
      </c>
      <c r="D288" t="s">
        <v>3133</v>
      </c>
      <c r="E288" t="s">
        <v>3134</v>
      </c>
      <c r="F288" t="s">
        <v>3135</v>
      </c>
      <c r="G288" t="s">
        <v>3136</v>
      </c>
    </row>
    <row r="289" spans="1:13" hidden="1" x14ac:dyDescent="0.2">
      <c r="A289" s="235" t="s">
        <v>3137</v>
      </c>
      <c r="B289" t="s">
        <v>3138</v>
      </c>
      <c r="C289" t="s">
        <v>1680</v>
      </c>
      <c r="D289" t="s">
        <v>3139</v>
      </c>
      <c r="E289" t="s">
        <v>3140</v>
      </c>
      <c r="F289" t="s">
        <v>3141</v>
      </c>
      <c r="G289" t="s">
        <v>3142</v>
      </c>
      <c r="H289" t="s">
        <v>3143</v>
      </c>
      <c r="I289" t="s">
        <v>3144</v>
      </c>
      <c r="J289" t="s">
        <v>3145</v>
      </c>
      <c r="K289" t="s">
        <v>3146</v>
      </c>
      <c r="L289" t="s">
        <v>3147</v>
      </c>
      <c r="M289" t="s">
        <v>3148</v>
      </c>
    </row>
    <row r="290" spans="1:13" hidden="1" x14ac:dyDescent="0.2">
      <c r="A290" s="235" t="s">
        <v>3149</v>
      </c>
      <c r="B290" t="s">
        <v>3150</v>
      </c>
    </row>
    <row r="291" spans="1:13" hidden="1" x14ac:dyDescent="0.2">
      <c r="A291" s="235" t="s">
        <v>3151</v>
      </c>
      <c r="B291" t="s">
        <v>3152</v>
      </c>
      <c r="C291" t="s">
        <v>1680</v>
      </c>
      <c r="D291" t="s">
        <v>3153</v>
      </c>
      <c r="E291" t="s">
        <v>3154</v>
      </c>
      <c r="F291" t="s">
        <v>3155</v>
      </c>
      <c r="G291" t="s">
        <v>3156</v>
      </c>
    </row>
    <row r="292" spans="1:13" hidden="1" x14ac:dyDescent="0.2">
      <c r="A292" s="235" t="s">
        <v>3157</v>
      </c>
      <c r="B292" t="s">
        <v>3158</v>
      </c>
      <c r="D292" t="s">
        <v>3159</v>
      </c>
      <c r="E292" t="s">
        <v>3160</v>
      </c>
      <c r="F292" t="s">
        <v>3161</v>
      </c>
      <c r="G292" t="s">
        <v>3162</v>
      </c>
    </row>
    <row r="293" spans="1:13" hidden="1" x14ac:dyDescent="0.2">
      <c r="A293" s="235" t="s">
        <v>3163</v>
      </c>
      <c r="B293" t="s">
        <v>3164</v>
      </c>
      <c r="C293" t="s">
        <v>1680</v>
      </c>
      <c r="D293" t="s">
        <v>3165</v>
      </c>
      <c r="E293" t="s">
        <v>3166</v>
      </c>
      <c r="F293" t="s">
        <v>3167</v>
      </c>
      <c r="G293" t="s">
        <v>3168</v>
      </c>
      <c r="H293" t="s">
        <v>3169</v>
      </c>
      <c r="J293" t="s">
        <v>3170</v>
      </c>
      <c r="K293" t="s">
        <v>3171</v>
      </c>
      <c r="L293" t="s">
        <v>3172</v>
      </c>
    </row>
    <row r="294" spans="1:13" hidden="1" x14ac:dyDescent="0.2">
      <c r="A294" s="235" t="s">
        <v>3173</v>
      </c>
      <c r="B294" t="s">
        <v>3174</v>
      </c>
      <c r="D294" t="s">
        <v>3175</v>
      </c>
      <c r="E294" t="s">
        <v>3176</v>
      </c>
      <c r="F294" t="s">
        <v>3177</v>
      </c>
      <c r="G294" t="s">
        <v>3178</v>
      </c>
    </row>
    <row r="295" spans="1:13" hidden="1" x14ac:dyDescent="0.2">
      <c r="A295" s="235" t="s">
        <v>3179</v>
      </c>
      <c r="B295" t="s">
        <v>3180</v>
      </c>
    </row>
    <row r="296" spans="1:13" hidden="1" x14ac:dyDescent="0.2">
      <c r="A296" s="235" t="s">
        <v>3181</v>
      </c>
      <c r="B296" t="s">
        <v>3182</v>
      </c>
      <c r="C296" t="s">
        <v>1680</v>
      </c>
    </row>
    <row r="297" spans="1:13" hidden="1" x14ac:dyDescent="0.2">
      <c r="A297" s="235" t="s">
        <v>3183</v>
      </c>
      <c r="B297" t="s">
        <v>3184</v>
      </c>
      <c r="C297" t="s">
        <v>3185</v>
      </c>
      <c r="D297" t="s">
        <v>3186</v>
      </c>
      <c r="E297" t="s">
        <v>3187</v>
      </c>
    </row>
    <row r="298" spans="1:13" hidden="1" x14ac:dyDescent="0.2">
      <c r="A298" s="235" t="s">
        <v>3183</v>
      </c>
      <c r="B298" t="s">
        <v>3184</v>
      </c>
      <c r="C298" t="s">
        <v>3188</v>
      </c>
      <c r="D298" t="s">
        <v>3189</v>
      </c>
      <c r="E298" t="s">
        <v>3190</v>
      </c>
      <c r="F298" t="s">
        <v>3191</v>
      </c>
      <c r="G298" t="s">
        <v>3192</v>
      </c>
      <c r="H298" t="s">
        <v>3193</v>
      </c>
    </row>
    <row r="299" spans="1:13" hidden="1" x14ac:dyDescent="0.2">
      <c r="A299" s="235" t="s">
        <v>3194</v>
      </c>
      <c r="B299" t="s">
        <v>3195</v>
      </c>
    </row>
    <row r="300" spans="1:13" hidden="1" x14ac:dyDescent="0.2">
      <c r="A300" s="235" t="s">
        <v>3196</v>
      </c>
      <c r="B300" t="s">
        <v>3197</v>
      </c>
      <c r="C300" t="s">
        <v>1705</v>
      </c>
      <c r="D300" t="s">
        <v>3198</v>
      </c>
      <c r="E300" t="s">
        <v>3199</v>
      </c>
      <c r="F300" t="s">
        <v>3200</v>
      </c>
      <c r="G300" t="s">
        <v>3201</v>
      </c>
      <c r="H300" t="s">
        <v>3202</v>
      </c>
      <c r="I300" t="s">
        <v>3203</v>
      </c>
    </row>
    <row r="301" spans="1:13" hidden="1" x14ac:dyDescent="0.2">
      <c r="A301" s="235" t="s">
        <v>3204</v>
      </c>
      <c r="B301" t="s">
        <v>3205</v>
      </c>
    </row>
    <row r="302" spans="1:13" hidden="1" x14ac:dyDescent="0.2">
      <c r="A302" s="235" t="s">
        <v>64</v>
      </c>
      <c r="B302" t="s">
        <v>3206</v>
      </c>
      <c r="C302" t="s">
        <v>3207</v>
      </c>
      <c r="D302" t="s">
        <v>3208</v>
      </c>
      <c r="F302" t="s">
        <v>3209</v>
      </c>
      <c r="G302" t="s">
        <v>3210</v>
      </c>
      <c r="I302" t="s">
        <v>2071</v>
      </c>
      <c r="J302" t="s">
        <v>3211</v>
      </c>
      <c r="K302" t="s">
        <v>3212</v>
      </c>
      <c r="L302" t="s">
        <v>3213</v>
      </c>
      <c r="M302" t="s">
        <v>2084</v>
      </c>
    </row>
    <row r="303" spans="1:13" hidden="1" x14ac:dyDescent="0.2">
      <c r="A303" s="235" t="s">
        <v>3214</v>
      </c>
      <c r="B303" t="s">
        <v>3215</v>
      </c>
      <c r="C303" t="s">
        <v>1736</v>
      </c>
      <c r="D303" t="s">
        <v>3216</v>
      </c>
      <c r="E303" t="s">
        <v>3217</v>
      </c>
      <c r="F303" t="s">
        <v>3218</v>
      </c>
      <c r="G303" t="s">
        <v>3219</v>
      </c>
    </row>
    <row r="304" spans="1:13" hidden="1" x14ac:dyDescent="0.2">
      <c r="A304" s="235" t="s">
        <v>3220</v>
      </c>
      <c r="B304" t="s">
        <v>3221</v>
      </c>
      <c r="D304">
        <v>0</v>
      </c>
      <c r="E304">
        <v>0</v>
      </c>
      <c r="F304" t="s">
        <v>3222</v>
      </c>
      <c r="G304" t="s">
        <v>3223</v>
      </c>
    </row>
    <row r="305" spans="1:13" hidden="1" x14ac:dyDescent="0.2">
      <c r="A305" s="235" t="s">
        <v>3224</v>
      </c>
      <c r="B305" t="s">
        <v>3225</v>
      </c>
      <c r="C305" t="s">
        <v>1680</v>
      </c>
      <c r="D305" t="s">
        <v>3226</v>
      </c>
      <c r="E305" t="s">
        <v>3227</v>
      </c>
      <c r="F305" t="s">
        <v>3228</v>
      </c>
      <c r="G305" t="s">
        <v>3229</v>
      </c>
      <c r="J305" t="s">
        <v>3230</v>
      </c>
      <c r="K305" t="s">
        <v>3231</v>
      </c>
    </row>
    <row r="306" spans="1:13" hidden="1" x14ac:dyDescent="0.2">
      <c r="A306" s="235">
        <v>120566</v>
      </c>
      <c r="B306" t="s">
        <v>3225</v>
      </c>
      <c r="C306" t="s">
        <v>1736</v>
      </c>
      <c r="D306" t="s">
        <v>3232</v>
      </c>
      <c r="E306" t="s">
        <v>3233</v>
      </c>
      <c r="F306" t="s">
        <v>3234</v>
      </c>
      <c r="G306" t="s">
        <v>3235</v>
      </c>
    </row>
    <row r="307" spans="1:13" hidden="1" x14ac:dyDescent="0.2">
      <c r="A307" s="235" t="s">
        <v>3236</v>
      </c>
      <c r="B307" t="s">
        <v>3237</v>
      </c>
      <c r="F307" t="s">
        <v>3238</v>
      </c>
      <c r="G307" t="s">
        <v>3239</v>
      </c>
      <c r="H307" t="s">
        <v>3240</v>
      </c>
    </row>
    <row r="308" spans="1:13" hidden="1" x14ac:dyDescent="0.2">
      <c r="A308" s="235" t="s">
        <v>3241</v>
      </c>
      <c r="B308" t="s">
        <v>3242</v>
      </c>
      <c r="D308" t="s">
        <v>3243</v>
      </c>
      <c r="E308" t="s">
        <v>3244</v>
      </c>
      <c r="F308" t="s">
        <v>2221</v>
      </c>
      <c r="G308" t="s">
        <v>2222</v>
      </c>
    </row>
    <row r="309" spans="1:13" hidden="1" x14ac:dyDescent="0.2">
      <c r="A309" s="235" t="s">
        <v>3241</v>
      </c>
      <c r="B309" t="s">
        <v>3242</v>
      </c>
      <c r="D309" t="s">
        <v>3245</v>
      </c>
      <c r="E309" t="s">
        <v>3246</v>
      </c>
      <c r="F309" t="s">
        <v>2221</v>
      </c>
      <c r="G309" t="s">
        <v>2222</v>
      </c>
    </row>
    <row r="310" spans="1:13" hidden="1" x14ac:dyDescent="0.2">
      <c r="A310" s="235" t="s">
        <v>3247</v>
      </c>
      <c r="B310" t="s">
        <v>3248</v>
      </c>
      <c r="C310" t="s">
        <v>1680</v>
      </c>
      <c r="D310" t="s">
        <v>3249</v>
      </c>
      <c r="E310" t="s">
        <v>3250</v>
      </c>
      <c r="F310" t="s">
        <v>3251</v>
      </c>
      <c r="G310" t="s">
        <v>3252</v>
      </c>
      <c r="J310" t="s">
        <v>3253</v>
      </c>
      <c r="K310" t="s">
        <v>3254</v>
      </c>
      <c r="L310" t="s">
        <v>3255</v>
      </c>
      <c r="M310" t="s">
        <v>3256</v>
      </c>
    </row>
    <row r="311" spans="1:13" hidden="1" x14ac:dyDescent="0.2">
      <c r="A311" s="235" t="s">
        <v>64</v>
      </c>
      <c r="B311" t="s">
        <v>3257</v>
      </c>
      <c r="D311" t="s">
        <v>3258</v>
      </c>
      <c r="E311">
        <v>0</v>
      </c>
      <c r="F311" t="s">
        <v>3259</v>
      </c>
      <c r="G311" t="s">
        <v>3260</v>
      </c>
    </row>
    <row r="312" spans="1:13" hidden="1" x14ac:dyDescent="0.2">
      <c r="A312" s="235" t="s">
        <v>3261</v>
      </c>
      <c r="B312" t="s">
        <v>3262</v>
      </c>
      <c r="C312" t="s">
        <v>1680</v>
      </c>
      <c r="D312" t="s">
        <v>3263</v>
      </c>
      <c r="E312" t="s">
        <v>3264</v>
      </c>
      <c r="F312" t="s">
        <v>3265</v>
      </c>
      <c r="G312" t="s">
        <v>3266</v>
      </c>
    </row>
    <row r="313" spans="1:13" hidden="1" x14ac:dyDescent="0.2">
      <c r="A313" s="235" t="s">
        <v>3267</v>
      </c>
      <c r="B313" t="s">
        <v>3268</v>
      </c>
    </row>
    <row r="314" spans="1:13" hidden="1" x14ac:dyDescent="0.2">
      <c r="A314" s="235" t="s">
        <v>3269</v>
      </c>
      <c r="B314" t="s">
        <v>3270</v>
      </c>
      <c r="C314" t="s">
        <v>1680</v>
      </c>
      <c r="D314" t="s">
        <v>3271</v>
      </c>
      <c r="E314" t="s">
        <v>3272</v>
      </c>
      <c r="F314" t="s">
        <v>3273</v>
      </c>
      <c r="G314" t="s">
        <v>3274</v>
      </c>
      <c r="H314" t="s">
        <v>3275</v>
      </c>
    </row>
    <row r="315" spans="1:13" hidden="1" x14ac:dyDescent="0.2">
      <c r="A315" s="235" t="s">
        <v>3276</v>
      </c>
      <c r="B315" t="s">
        <v>3277</v>
      </c>
      <c r="C315" t="s">
        <v>1680</v>
      </c>
      <c r="D315" t="s">
        <v>3278</v>
      </c>
      <c r="E315" t="s">
        <v>3279</v>
      </c>
      <c r="F315" t="s">
        <v>3280</v>
      </c>
      <c r="G315" t="s">
        <v>3281</v>
      </c>
      <c r="H315" t="s">
        <v>3282</v>
      </c>
      <c r="I315" t="s">
        <v>3283</v>
      </c>
    </row>
    <row r="316" spans="1:13" hidden="1" x14ac:dyDescent="0.2">
      <c r="A316" s="235" t="s">
        <v>3284</v>
      </c>
      <c r="B316" t="s">
        <v>3285</v>
      </c>
      <c r="F316" t="s">
        <v>3286</v>
      </c>
      <c r="G316" t="s">
        <v>3287</v>
      </c>
    </row>
    <row r="317" spans="1:13" hidden="1" x14ac:dyDescent="0.2">
      <c r="A317" s="235" t="s">
        <v>3288</v>
      </c>
      <c r="B317" t="s">
        <v>3289</v>
      </c>
    </row>
    <row r="318" spans="1:13" hidden="1" x14ac:dyDescent="0.2">
      <c r="A318" s="235" t="s">
        <v>3290</v>
      </c>
      <c r="B318" t="s">
        <v>3291</v>
      </c>
      <c r="C318" t="s">
        <v>1680</v>
      </c>
      <c r="D318" t="s">
        <v>2984</v>
      </c>
      <c r="F318" t="s">
        <v>3292</v>
      </c>
      <c r="G318" t="s">
        <v>3293</v>
      </c>
    </row>
    <row r="319" spans="1:13" hidden="1" x14ac:dyDescent="0.2">
      <c r="A319" s="235" t="s">
        <v>64</v>
      </c>
      <c r="B319" t="s">
        <v>3294</v>
      </c>
      <c r="D319" t="s">
        <v>3295</v>
      </c>
    </row>
    <row r="320" spans="1:13" hidden="1" x14ac:dyDescent="0.2">
      <c r="A320" s="235" t="s">
        <v>3296</v>
      </c>
      <c r="B320" t="s">
        <v>3297</v>
      </c>
      <c r="C320" t="s">
        <v>1736</v>
      </c>
      <c r="D320" t="s">
        <v>3298</v>
      </c>
      <c r="E320" t="s">
        <v>3299</v>
      </c>
      <c r="F320" t="s">
        <v>3300</v>
      </c>
      <c r="G320" t="s">
        <v>3301</v>
      </c>
      <c r="H320" t="s">
        <v>3302</v>
      </c>
      <c r="I320" t="s">
        <v>2071</v>
      </c>
      <c r="J320" t="s">
        <v>3303</v>
      </c>
      <c r="K320" t="s">
        <v>3304</v>
      </c>
    </row>
    <row r="321" spans="1:12" hidden="1" x14ac:dyDescent="0.2">
      <c r="A321" s="235" t="s">
        <v>3305</v>
      </c>
      <c r="B321" t="s">
        <v>3306</v>
      </c>
      <c r="C321" t="s">
        <v>1872</v>
      </c>
      <c r="D321" t="s">
        <v>3307</v>
      </c>
      <c r="E321" t="s">
        <v>3308</v>
      </c>
      <c r="F321" t="s">
        <v>3309</v>
      </c>
      <c r="G321" t="s">
        <v>3310</v>
      </c>
      <c r="J321" t="s">
        <v>3311</v>
      </c>
      <c r="K321" t="s">
        <v>3312</v>
      </c>
    </row>
    <row r="322" spans="1:12" hidden="1" x14ac:dyDescent="0.2">
      <c r="A322" s="235" t="s">
        <v>3313</v>
      </c>
      <c r="B322" t="s">
        <v>3314</v>
      </c>
      <c r="D322">
        <v>0</v>
      </c>
      <c r="E322">
        <v>0</v>
      </c>
      <c r="F322">
        <v>0</v>
      </c>
      <c r="G322" t="s">
        <v>1750</v>
      </c>
    </row>
    <row r="323" spans="1:12" hidden="1" x14ac:dyDescent="0.2">
      <c r="A323" s="235" t="s">
        <v>3315</v>
      </c>
      <c r="B323" t="s">
        <v>3316</v>
      </c>
      <c r="C323" t="s">
        <v>1802</v>
      </c>
      <c r="D323" t="s">
        <v>3317</v>
      </c>
      <c r="F323" t="s">
        <v>3318</v>
      </c>
      <c r="G323" t="s">
        <v>3319</v>
      </c>
      <c r="H323" t="s">
        <v>3320</v>
      </c>
    </row>
    <row r="324" spans="1:12" hidden="1" x14ac:dyDescent="0.2">
      <c r="A324" s="235" t="s">
        <v>3321</v>
      </c>
      <c r="B324" t="s">
        <v>3322</v>
      </c>
      <c r="C324" t="s">
        <v>1736</v>
      </c>
      <c r="D324" t="s">
        <v>3323</v>
      </c>
      <c r="E324" t="s">
        <v>3324</v>
      </c>
      <c r="F324" t="s">
        <v>3325</v>
      </c>
      <c r="G324" t="s">
        <v>3326</v>
      </c>
      <c r="H324" t="s">
        <v>3327</v>
      </c>
    </row>
    <row r="325" spans="1:12" hidden="1" x14ac:dyDescent="0.2">
      <c r="A325" s="235" t="s">
        <v>64</v>
      </c>
      <c r="B325" t="s">
        <v>3328</v>
      </c>
      <c r="D325" t="s">
        <v>1736</v>
      </c>
    </row>
    <row r="326" spans="1:12" hidden="1" x14ac:dyDescent="0.2">
      <c r="A326" s="235" t="s">
        <v>3329</v>
      </c>
      <c r="B326" t="s">
        <v>3330</v>
      </c>
    </row>
    <row r="327" spans="1:12" hidden="1" x14ac:dyDescent="0.2">
      <c r="A327" s="235" t="s">
        <v>3331</v>
      </c>
      <c r="B327" t="s">
        <v>3332</v>
      </c>
      <c r="C327" t="s">
        <v>1680</v>
      </c>
      <c r="F327" t="s">
        <v>3333</v>
      </c>
      <c r="G327" t="s">
        <v>3334</v>
      </c>
      <c r="H327" t="s">
        <v>3335</v>
      </c>
      <c r="I327" t="s">
        <v>3336</v>
      </c>
    </row>
    <row r="328" spans="1:12" hidden="1" x14ac:dyDescent="0.2">
      <c r="A328" s="235" t="s">
        <v>3337</v>
      </c>
      <c r="B328" t="s">
        <v>3338</v>
      </c>
      <c r="C328" t="s">
        <v>1680</v>
      </c>
    </row>
    <row r="329" spans="1:12" hidden="1" x14ac:dyDescent="0.2">
      <c r="A329" s="235" t="s">
        <v>64</v>
      </c>
      <c r="B329" t="s">
        <v>3339</v>
      </c>
      <c r="D329" t="s">
        <v>3340</v>
      </c>
      <c r="E329" t="s">
        <v>3341</v>
      </c>
      <c r="F329" t="s">
        <v>3342</v>
      </c>
      <c r="G329" t="s">
        <v>3343</v>
      </c>
    </row>
    <row r="330" spans="1:12" hidden="1" x14ac:dyDescent="0.2">
      <c r="A330" s="235" t="s">
        <v>3344</v>
      </c>
      <c r="B330" t="s">
        <v>3345</v>
      </c>
      <c r="C330" t="s">
        <v>1680</v>
      </c>
      <c r="D330" t="s">
        <v>3346</v>
      </c>
      <c r="E330" t="s">
        <v>3347</v>
      </c>
      <c r="F330" t="s">
        <v>3348</v>
      </c>
      <c r="G330" t="s">
        <v>3349</v>
      </c>
      <c r="H330" t="s">
        <v>3350</v>
      </c>
    </row>
    <row r="331" spans="1:12" hidden="1" x14ac:dyDescent="0.2">
      <c r="A331" s="235" t="s">
        <v>3351</v>
      </c>
      <c r="B331" t="s">
        <v>3352</v>
      </c>
    </row>
    <row r="332" spans="1:12" hidden="1" x14ac:dyDescent="0.2">
      <c r="A332" s="235" t="s">
        <v>3353</v>
      </c>
      <c r="B332" t="s">
        <v>3354</v>
      </c>
    </row>
    <row r="333" spans="1:12" hidden="1" x14ac:dyDescent="0.2">
      <c r="A333" s="235" t="s">
        <v>3355</v>
      </c>
      <c r="B333" t="s">
        <v>3356</v>
      </c>
      <c r="D333" t="s">
        <v>3357</v>
      </c>
      <c r="E333" t="s">
        <v>3358</v>
      </c>
      <c r="F333" t="s">
        <v>3359</v>
      </c>
      <c r="G333" t="s">
        <v>3360</v>
      </c>
    </row>
    <row r="334" spans="1:12" hidden="1" x14ac:dyDescent="0.2">
      <c r="A334" s="235" t="s">
        <v>3361</v>
      </c>
      <c r="B334" t="s">
        <v>3362</v>
      </c>
      <c r="D334" t="s">
        <v>3363</v>
      </c>
      <c r="E334" t="s">
        <v>3364</v>
      </c>
      <c r="F334" t="s">
        <v>3365</v>
      </c>
      <c r="G334" t="s">
        <v>3366</v>
      </c>
    </row>
    <row r="335" spans="1:12" hidden="1" x14ac:dyDescent="0.2">
      <c r="A335" s="235" t="s">
        <v>3367</v>
      </c>
      <c r="B335" t="s">
        <v>3368</v>
      </c>
      <c r="C335" t="s">
        <v>1680</v>
      </c>
      <c r="D335" t="s">
        <v>3369</v>
      </c>
      <c r="E335" t="s">
        <v>3370</v>
      </c>
      <c r="F335" t="s">
        <v>3371</v>
      </c>
      <c r="G335" t="s">
        <v>3372</v>
      </c>
      <c r="J335" t="s">
        <v>3373</v>
      </c>
      <c r="K335" t="s">
        <v>3374</v>
      </c>
    </row>
    <row r="336" spans="1:12" hidden="1" x14ac:dyDescent="0.2">
      <c r="A336" s="235" t="s">
        <v>3375</v>
      </c>
      <c r="B336" t="s">
        <v>3376</v>
      </c>
      <c r="C336" t="s">
        <v>3377</v>
      </c>
      <c r="D336" t="s">
        <v>3378</v>
      </c>
      <c r="E336" t="s">
        <v>3379</v>
      </c>
      <c r="F336" t="s">
        <v>3380</v>
      </c>
      <c r="G336" t="s">
        <v>3381</v>
      </c>
      <c r="H336" t="s">
        <v>3382</v>
      </c>
      <c r="J336" t="s">
        <v>3383</v>
      </c>
      <c r="K336" t="s">
        <v>3384</v>
      </c>
      <c r="L336" t="s">
        <v>3385</v>
      </c>
    </row>
    <row r="337" spans="1:11" hidden="1" x14ac:dyDescent="0.2">
      <c r="A337" s="235" t="s">
        <v>3375</v>
      </c>
      <c r="B337" t="s">
        <v>3376</v>
      </c>
      <c r="C337" t="s">
        <v>2128</v>
      </c>
      <c r="D337" t="s">
        <v>3369</v>
      </c>
      <c r="E337" t="s">
        <v>3370</v>
      </c>
      <c r="F337" t="s">
        <v>3371</v>
      </c>
      <c r="G337" t="s">
        <v>3372</v>
      </c>
      <c r="J337" t="s">
        <v>3373</v>
      </c>
      <c r="K337" t="s">
        <v>3374</v>
      </c>
    </row>
    <row r="338" spans="1:11" hidden="1" x14ac:dyDescent="0.2">
      <c r="A338" s="235" t="s">
        <v>3386</v>
      </c>
      <c r="B338" t="s">
        <v>3387</v>
      </c>
      <c r="C338" t="s">
        <v>1680</v>
      </c>
    </row>
    <row r="339" spans="1:11" hidden="1" x14ac:dyDescent="0.2">
      <c r="A339" s="235" t="s">
        <v>3388</v>
      </c>
      <c r="B339" t="s">
        <v>3389</v>
      </c>
      <c r="C339" t="s">
        <v>1680</v>
      </c>
    </row>
    <row r="340" spans="1:11" hidden="1" x14ac:dyDescent="0.2">
      <c r="A340" s="235" t="s">
        <v>3390</v>
      </c>
      <c r="B340" t="s">
        <v>3391</v>
      </c>
    </row>
    <row r="341" spans="1:11" hidden="1" x14ac:dyDescent="0.2">
      <c r="A341" s="235" t="s">
        <v>3392</v>
      </c>
      <c r="B341" t="s">
        <v>3393</v>
      </c>
    </row>
    <row r="342" spans="1:11" hidden="1" x14ac:dyDescent="0.2">
      <c r="A342" s="235" t="s">
        <v>3394</v>
      </c>
      <c r="B342" t="s">
        <v>3395</v>
      </c>
      <c r="D342" t="s">
        <v>3396</v>
      </c>
      <c r="E342">
        <v>0</v>
      </c>
      <c r="F342" t="s">
        <v>3397</v>
      </c>
      <c r="G342" t="s">
        <v>3398</v>
      </c>
    </row>
    <row r="343" spans="1:11" hidden="1" x14ac:dyDescent="0.2">
      <c r="A343" s="235" t="s">
        <v>3399</v>
      </c>
      <c r="B343" t="s">
        <v>3400</v>
      </c>
      <c r="C343" t="s">
        <v>1680</v>
      </c>
      <c r="D343" t="s">
        <v>3401</v>
      </c>
      <c r="E343" t="s">
        <v>3402</v>
      </c>
      <c r="F343" t="s">
        <v>3403</v>
      </c>
      <c r="G343" t="s">
        <v>3404</v>
      </c>
      <c r="H343" t="s">
        <v>3405</v>
      </c>
    </row>
    <row r="344" spans="1:11" hidden="1" x14ac:dyDescent="0.2">
      <c r="A344" s="235" t="s">
        <v>3406</v>
      </c>
      <c r="B344" t="s">
        <v>3407</v>
      </c>
      <c r="D344">
        <v>0</v>
      </c>
      <c r="E344" t="s">
        <v>3408</v>
      </c>
      <c r="F344" t="s">
        <v>3409</v>
      </c>
      <c r="G344" t="s">
        <v>3410</v>
      </c>
    </row>
    <row r="345" spans="1:11" hidden="1" x14ac:dyDescent="0.2">
      <c r="A345" s="235" t="s">
        <v>3411</v>
      </c>
      <c r="B345" t="s">
        <v>3412</v>
      </c>
      <c r="C345" t="s">
        <v>1680</v>
      </c>
      <c r="F345" t="s">
        <v>3413</v>
      </c>
      <c r="G345" t="s">
        <v>3414</v>
      </c>
      <c r="H345" t="s">
        <v>3415</v>
      </c>
    </row>
    <row r="346" spans="1:11" hidden="1" x14ac:dyDescent="0.2">
      <c r="A346" s="235" t="s">
        <v>3416</v>
      </c>
      <c r="B346" t="s">
        <v>3417</v>
      </c>
    </row>
    <row r="347" spans="1:11" hidden="1" x14ac:dyDescent="0.2">
      <c r="A347" s="235" t="s">
        <v>3418</v>
      </c>
      <c r="B347" t="s">
        <v>3419</v>
      </c>
      <c r="C347" t="s">
        <v>1802</v>
      </c>
      <c r="D347" t="s">
        <v>3420</v>
      </c>
      <c r="F347" t="s">
        <v>3421</v>
      </c>
      <c r="G347" t="s">
        <v>3422</v>
      </c>
      <c r="J347" t="s">
        <v>3423</v>
      </c>
      <c r="K347" t="s">
        <v>3424</v>
      </c>
    </row>
    <row r="348" spans="1:11" hidden="1" x14ac:dyDescent="0.2">
      <c r="A348" s="235" t="s">
        <v>3418</v>
      </c>
      <c r="B348" t="s">
        <v>3419</v>
      </c>
      <c r="C348" t="s">
        <v>3425</v>
      </c>
      <c r="D348" t="s">
        <v>3426</v>
      </c>
      <c r="F348" t="s">
        <v>3421</v>
      </c>
      <c r="G348" t="s">
        <v>3422</v>
      </c>
    </row>
    <row r="349" spans="1:11" hidden="1" x14ac:dyDescent="0.2">
      <c r="A349" s="235" t="s">
        <v>3427</v>
      </c>
      <c r="B349" t="s">
        <v>3428</v>
      </c>
      <c r="D349">
        <v>0</v>
      </c>
      <c r="E349">
        <v>0</v>
      </c>
      <c r="F349">
        <v>0</v>
      </c>
      <c r="G349" t="s">
        <v>1750</v>
      </c>
    </row>
    <row r="350" spans="1:11" hidden="1" x14ac:dyDescent="0.2">
      <c r="A350" s="235" t="s">
        <v>3429</v>
      </c>
      <c r="B350" t="s">
        <v>3430</v>
      </c>
      <c r="C350" t="s">
        <v>1680</v>
      </c>
      <c r="D350" t="s">
        <v>3431</v>
      </c>
      <c r="E350" t="s">
        <v>3432</v>
      </c>
      <c r="F350" t="s">
        <v>3433</v>
      </c>
      <c r="G350" t="s">
        <v>3434</v>
      </c>
      <c r="H350" t="s">
        <v>3435</v>
      </c>
    </row>
    <row r="351" spans="1:11" hidden="1" x14ac:dyDescent="0.2">
      <c r="A351" s="235">
        <v>121165</v>
      </c>
      <c r="B351" t="s">
        <v>3436</v>
      </c>
    </row>
    <row r="352" spans="1:11" hidden="1" x14ac:dyDescent="0.2">
      <c r="A352" s="235">
        <v>121165</v>
      </c>
      <c r="B352" t="s">
        <v>3437</v>
      </c>
      <c r="D352" t="s">
        <v>3438</v>
      </c>
      <c r="E352" t="s">
        <v>3439</v>
      </c>
      <c r="F352" t="s">
        <v>3440</v>
      </c>
      <c r="G352" t="s">
        <v>3441</v>
      </c>
    </row>
    <row r="353" spans="1:12" hidden="1" x14ac:dyDescent="0.2">
      <c r="A353" s="235" t="s">
        <v>3442</v>
      </c>
      <c r="B353" t="s">
        <v>3443</v>
      </c>
      <c r="D353" t="s">
        <v>1872</v>
      </c>
      <c r="E353" t="s">
        <v>3444</v>
      </c>
      <c r="F353" t="s">
        <v>3445</v>
      </c>
      <c r="G353" t="s">
        <v>3446</v>
      </c>
    </row>
    <row r="354" spans="1:12" hidden="1" x14ac:dyDescent="0.2">
      <c r="A354" s="235" t="s">
        <v>3447</v>
      </c>
      <c r="B354" t="s">
        <v>3448</v>
      </c>
      <c r="D354" t="s">
        <v>3449</v>
      </c>
      <c r="E354" t="s">
        <v>3450</v>
      </c>
      <c r="F354" t="s">
        <v>3451</v>
      </c>
      <c r="G354" t="s">
        <v>3452</v>
      </c>
      <c r="J354" t="s">
        <v>3453</v>
      </c>
      <c r="K354" t="s">
        <v>3454</v>
      </c>
    </row>
    <row r="355" spans="1:12" hidden="1" x14ac:dyDescent="0.2">
      <c r="A355" s="235" t="s">
        <v>3447</v>
      </c>
      <c r="B355" t="s">
        <v>3455</v>
      </c>
    </row>
    <row r="356" spans="1:12" hidden="1" x14ac:dyDescent="0.2">
      <c r="A356" s="235" t="s">
        <v>3456</v>
      </c>
      <c r="B356" t="s">
        <v>3457</v>
      </c>
    </row>
    <row r="357" spans="1:12" hidden="1" x14ac:dyDescent="0.2">
      <c r="A357" s="235" t="s">
        <v>3458</v>
      </c>
      <c r="B357" t="s">
        <v>3459</v>
      </c>
      <c r="C357" t="s">
        <v>1680</v>
      </c>
      <c r="D357" t="s">
        <v>3460</v>
      </c>
      <c r="E357" t="s">
        <v>3461</v>
      </c>
      <c r="F357" t="s">
        <v>3462</v>
      </c>
      <c r="G357" t="s">
        <v>3463</v>
      </c>
      <c r="H357" t="s">
        <v>3464</v>
      </c>
    </row>
    <row r="358" spans="1:12" hidden="1" x14ac:dyDescent="0.2">
      <c r="A358" s="235" t="s">
        <v>3465</v>
      </c>
      <c r="B358" t="s">
        <v>3466</v>
      </c>
      <c r="C358" t="s">
        <v>1680</v>
      </c>
      <c r="D358" t="s">
        <v>3467</v>
      </c>
      <c r="E358" t="s">
        <v>3468</v>
      </c>
      <c r="F358" t="s">
        <v>3469</v>
      </c>
      <c r="G358" t="s">
        <v>3470</v>
      </c>
      <c r="H358" t="s">
        <v>3471</v>
      </c>
      <c r="J358" t="s">
        <v>3472</v>
      </c>
      <c r="K358" t="s">
        <v>3473</v>
      </c>
      <c r="L358" t="s">
        <v>3474</v>
      </c>
    </row>
    <row r="359" spans="1:12" hidden="1" x14ac:dyDescent="0.2">
      <c r="A359" s="235" t="s">
        <v>3475</v>
      </c>
      <c r="B359" t="s">
        <v>3476</v>
      </c>
      <c r="D359" t="s">
        <v>3477</v>
      </c>
      <c r="E359" t="s">
        <v>3478</v>
      </c>
      <c r="F359" t="s">
        <v>3479</v>
      </c>
      <c r="G359" t="s">
        <v>3480</v>
      </c>
    </row>
    <row r="360" spans="1:12" hidden="1" x14ac:dyDescent="0.2">
      <c r="A360" s="235">
        <v>120905</v>
      </c>
      <c r="B360" t="s">
        <v>3481</v>
      </c>
      <c r="D360" t="s">
        <v>3482</v>
      </c>
      <c r="E360" t="s">
        <v>3483</v>
      </c>
    </row>
    <row r="361" spans="1:12" hidden="1" x14ac:dyDescent="0.2">
      <c r="A361" s="235" t="s">
        <v>3484</v>
      </c>
      <c r="B361" t="s">
        <v>3485</v>
      </c>
      <c r="D361" t="s">
        <v>3486</v>
      </c>
      <c r="E361" t="s">
        <v>3487</v>
      </c>
      <c r="F361" t="s">
        <v>3488</v>
      </c>
      <c r="G361" t="s">
        <v>3489</v>
      </c>
    </row>
    <row r="362" spans="1:12" hidden="1" x14ac:dyDescent="0.2">
      <c r="A362" s="235" t="s">
        <v>3490</v>
      </c>
      <c r="B362" t="s">
        <v>1605</v>
      </c>
      <c r="C362" t="s">
        <v>1736</v>
      </c>
      <c r="D362" t="s">
        <v>3491</v>
      </c>
      <c r="E362" t="s">
        <v>3492</v>
      </c>
      <c r="F362" t="s">
        <v>3493</v>
      </c>
      <c r="G362" t="s">
        <v>3494</v>
      </c>
      <c r="H362" t="s">
        <v>3495</v>
      </c>
    </row>
    <row r="363" spans="1:12" hidden="1" x14ac:dyDescent="0.2">
      <c r="A363" s="235" t="s">
        <v>3496</v>
      </c>
      <c r="B363" t="s">
        <v>3497</v>
      </c>
    </row>
    <row r="364" spans="1:12" hidden="1" x14ac:dyDescent="0.2">
      <c r="A364" s="235" t="s">
        <v>3498</v>
      </c>
      <c r="B364" t="s">
        <v>3499</v>
      </c>
      <c r="D364" t="s">
        <v>3500</v>
      </c>
      <c r="E364" t="s">
        <v>3501</v>
      </c>
      <c r="F364" t="s">
        <v>3502</v>
      </c>
      <c r="G364" t="s">
        <v>3503</v>
      </c>
    </row>
    <row r="365" spans="1:12" hidden="1" x14ac:dyDescent="0.2">
      <c r="A365" s="235" t="s">
        <v>3504</v>
      </c>
      <c r="B365" t="s">
        <v>3505</v>
      </c>
      <c r="C365" t="s">
        <v>1680</v>
      </c>
      <c r="F365" t="s">
        <v>3506</v>
      </c>
      <c r="G365" t="s">
        <v>3507</v>
      </c>
      <c r="H365" t="s">
        <v>3508</v>
      </c>
    </row>
    <row r="366" spans="1:12" hidden="1" x14ac:dyDescent="0.2">
      <c r="A366" s="235" t="s">
        <v>64</v>
      </c>
      <c r="B366" t="s">
        <v>3509</v>
      </c>
      <c r="D366" t="s">
        <v>3510</v>
      </c>
      <c r="E366">
        <v>0</v>
      </c>
      <c r="F366" t="s">
        <v>3511</v>
      </c>
      <c r="G366" t="s">
        <v>3507</v>
      </c>
    </row>
    <row r="367" spans="1:12" hidden="1" x14ac:dyDescent="0.2">
      <c r="A367" s="235" t="s">
        <v>3512</v>
      </c>
      <c r="B367" t="s">
        <v>3513</v>
      </c>
      <c r="C367" t="s">
        <v>1680</v>
      </c>
      <c r="D367" t="s">
        <v>1731</v>
      </c>
      <c r="E367" t="s">
        <v>3514</v>
      </c>
      <c r="F367" t="s">
        <v>3515</v>
      </c>
      <c r="G367" t="s">
        <v>3516</v>
      </c>
      <c r="H367" t="s">
        <v>3517</v>
      </c>
      <c r="I367" t="s">
        <v>2300</v>
      </c>
    </row>
    <row r="368" spans="1:12" hidden="1" x14ac:dyDescent="0.2">
      <c r="A368" s="235" t="s">
        <v>3518</v>
      </c>
      <c r="B368" t="s">
        <v>3519</v>
      </c>
      <c r="C368" t="s">
        <v>1680</v>
      </c>
      <c r="D368" t="s">
        <v>3520</v>
      </c>
      <c r="E368" t="s">
        <v>3521</v>
      </c>
      <c r="F368" t="s">
        <v>3522</v>
      </c>
      <c r="G368" t="s">
        <v>3523</v>
      </c>
    </row>
    <row r="369" spans="1:12" hidden="1" x14ac:dyDescent="0.2">
      <c r="A369" s="235" t="s">
        <v>3524</v>
      </c>
      <c r="B369" t="s">
        <v>3525</v>
      </c>
      <c r="C369" t="s">
        <v>1802</v>
      </c>
      <c r="D369" t="s">
        <v>3526</v>
      </c>
      <c r="E369" t="s">
        <v>3527</v>
      </c>
      <c r="F369" t="s">
        <v>3528</v>
      </c>
      <c r="G369" t="s">
        <v>3529</v>
      </c>
      <c r="H369" t="s">
        <v>3530</v>
      </c>
    </row>
    <row r="370" spans="1:12" hidden="1" x14ac:dyDescent="0.2">
      <c r="A370" s="235" t="s">
        <v>3531</v>
      </c>
      <c r="B370" t="s">
        <v>3532</v>
      </c>
      <c r="C370" t="s">
        <v>1680</v>
      </c>
      <c r="F370" t="s">
        <v>3533</v>
      </c>
      <c r="G370" t="s">
        <v>3534</v>
      </c>
      <c r="H370" t="s">
        <v>3535</v>
      </c>
      <c r="J370" t="s">
        <v>3536</v>
      </c>
      <c r="K370" t="s">
        <v>3537</v>
      </c>
      <c r="L370" t="s">
        <v>3538</v>
      </c>
    </row>
    <row r="371" spans="1:12" hidden="1" x14ac:dyDescent="0.2">
      <c r="A371" s="235" t="s">
        <v>3539</v>
      </c>
      <c r="B371" t="s">
        <v>3540</v>
      </c>
      <c r="D371" t="s">
        <v>3541</v>
      </c>
      <c r="E371" t="s">
        <v>3542</v>
      </c>
      <c r="F371" t="s">
        <v>3543</v>
      </c>
      <c r="G371" t="s">
        <v>3544</v>
      </c>
      <c r="J371" t="s">
        <v>3545</v>
      </c>
      <c r="K371" t="s">
        <v>3546</v>
      </c>
    </row>
    <row r="372" spans="1:12" hidden="1" x14ac:dyDescent="0.2">
      <c r="A372" s="235" t="s">
        <v>3547</v>
      </c>
      <c r="B372" t="s">
        <v>3548</v>
      </c>
      <c r="C372" t="s">
        <v>1680</v>
      </c>
      <c r="D372" t="s">
        <v>3549</v>
      </c>
      <c r="E372" t="s">
        <v>3550</v>
      </c>
      <c r="F372" t="s">
        <v>3551</v>
      </c>
      <c r="G372" t="s">
        <v>3552</v>
      </c>
      <c r="H372" t="s">
        <v>3553</v>
      </c>
    </row>
    <row r="373" spans="1:12" hidden="1" x14ac:dyDescent="0.2">
      <c r="A373" s="235" t="s">
        <v>3547</v>
      </c>
      <c r="B373" t="s">
        <v>3554</v>
      </c>
      <c r="C373" t="s">
        <v>1736</v>
      </c>
      <c r="D373" t="s">
        <v>3555</v>
      </c>
      <c r="F373" t="s">
        <v>3556</v>
      </c>
      <c r="G373" t="s">
        <v>3557</v>
      </c>
    </row>
    <row r="374" spans="1:12" hidden="1" x14ac:dyDescent="0.2">
      <c r="A374" s="235" t="s">
        <v>64</v>
      </c>
      <c r="B374" t="s">
        <v>3558</v>
      </c>
      <c r="C374" t="s">
        <v>1680</v>
      </c>
      <c r="D374" t="s">
        <v>2181</v>
      </c>
      <c r="F374" t="s">
        <v>3559</v>
      </c>
      <c r="G374" t="s">
        <v>3560</v>
      </c>
    </row>
    <row r="375" spans="1:12" hidden="1" x14ac:dyDescent="0.2">
      <c r="A375" s="235" t="s">
        <v>3561</v>
      </c>
      <c r="B375" t="s">
        <v>3562</v>
      </c>
      <c r="C375" t="s">
        <v>1736</v>
      </c>
      <c r="D375" t="s">
        <v>3563</v>
      </c>
      <c r="E375" t="s">
        <v>3564</v>
      </c>
      <c r="F375" t="s">
        <v>3565</v>
      </c>
      <c r="G375" t="s">
        <v>3566</v>
      </c>
      <c r="H375" t="s">
        <v>3567</v>
      </c>
    </row>
    <row r="376" spans="1:12" hidden="1" x14ac:dyDescent="0.2">
      <c r="A376" s="235" t="s">
        <v>3561</v>
      </c>
      <c r="B376" t="s">
        <v>3562</v>
      </c>
      <c r="C376" t="s">
        <v>1680</v>
      </c>
      <c r="D376" t="s">
        <v>3467</v>
      </c>
      <c r="E376" t="s">
        <v>3468</v>
      </c>
      <c r="F376" t="s">
        <v>3469</v>
      </c>
      <c r="G376" t="s">
        <v>3470</v>
      </c>
      <c r="H376" t="s">
        <v>3471</v>
      </c>
      <c r="J376" t="s">
        <v>3472</v>
      </c>
      <c r="K376" t="s">
        <v>3473</v>
      </c>
      <c r="L376" t="s">
        <v>3474</v>
      </c>
    </row>
    <row r="377" spans="1:12" hidden="1" x14ac:dyDescent="0.2">
      <c r="A377" s="235" t="s">
        <v>3561</v>
      </c>
      <c r="B377" t="s">
        <v>3562</v>
      </c>
      <c r="C377" t="s">
        <v>1802</v>
      </c>
    </row>
    <row r="378" spans="1:12" hidden="1" x14ac:dyDescent="0.2">
      <c r="A378" s="235" t="s">
        <v>64</v>
      </c>
      <c r="B378" t="s">
        <v>3568</v>
      </c>
      <c r="D378" t="s">
        <v>1736</v>
      </c>
    </row>
    <row r="379" spans="1:12" hidden="1" x14ac:dyDescent="0.2">
      <c r="A379" s="235" t="s">
        <v>3569</v>
      </c>
      <c r="B379" t="s">
        <v>3570</v>
      </c>
      <c r="C379" t="s">
        <v>1680</v>
      </c>
      <c r="D379" t="s">
        <v>3571</v>
      </c>
      <c r="E379" t="s">
        <v>3572</v>
      </c>
      <c r="F379" t="s">
        <v>3573</v>
      </c>
      <c r="G379" t="s">
        <v>3574</v>
      </c>
      <c r="H379" t="s">
        <v>3575</v>
      </c>
    </row>
    <row r="380" spans="1:12" hidden="1" x14ac:dyDescent="0.2">
      <c r="A380" s="235" t="s">
        <v>3576</v>
      </c>
      <c r="B380" t="s">
        <v>3577</v>
      </c>
    </row>
    <row r="381" spans="1:12" hidden="1" x14ac:dyDescent="0.2">
      <c r="A381" s="235" t="s">
        <v>3578</v>
      </c>
      <c r="B381" t="s">
        <v>3579</v>
      </c>
      <c r="C381" t="s">
        <v>1680</v>
      </c>
      <c r="D381" t="s">
        <v>1790</v>
      </c>
      <c r="E381" t="s">
        <v>1791</v>
      </c>
      <c r="F381" t="s">
        <v>1792</v>
      </c>
      <c r="G381" t="s">
        <v>1793</v>
      </c>
      <c r="J381" t="s">
        <v>1794</v>
      </c>
      <c r="K381" t="s">
        <v>1795</v>
      </c>
    </row>
    <row r="382" spans="1:12" hidden="1" x14ac:dyDescent="0.2">
      <c r="A382" s="235" t="s">
        <v>3580</v>
      </c>
      <c r="B382" t="s">
        <v>3581</v>
      </c>
      <c r="C382" t="s">
        <v>2741</v>
      </c>
      <c r="D382" t="s">
        <v>1632</v>
      </c>
      <c r="E382" t="s">
        <v>3582</v>
      </c>
      <c r="F382" t="s">
        <v>3583</v>
      </c>
      <c r="G382" t="s">
        <v>3584</v>
      </c>
    </row>
    <row r="383" spans="1:12" hidden="1" x14ac:dyDescent="0.2">
      <c r="A383" s="235" t="s">
        <v>3580</v>
      </c>
      <c r="B383" t="s">
        <v>3581</v>
      </c>
      <c r="C383" t="s">
        <v>1705</v>
      </c>
      <c r="D383" t="s">
        <v>3585</v>
      </c>
      <c r="E383" t="s">
        <v>3586</v>
      </c>
      <c r="F383" t="s">
        <v>3587</v>
      </c>
      <c r="G383" t="s">
        <v>3588</v>
      </c>
      <c r="H383" t="s">
        <v>3589</v>
      </c>
      <c r="I383" t="s">
        <v>2504</v>
      </c>
      <c r="J383" t="s">
        <v>3590</v>
      </c>
      <c r="K383" t="s">
        <v>3591</v>
      </c>
      <c r="L383" t="s">
        <v>3592</v>
      </c>
    </row>
    <row r="384" spans="1:12" hidden="1" x14ac:dyDescent="0.2">
      <c r="A384" s="235" t="s">
        <v>3593</v>
      </c>
      <c r="B384" t="s">
        <v>3594</v>
      </c>
      <c r="C384" t="s">
        <v>1680</v>
      </c>
      <c r="D384" t="s">
        <v>3460</v>
      </c>
      <c r="E384" t="s">
        <v>3595</v>
      </c>
      <c r="F384">
        <v>0</v>
      </c>
      <c r="G384" t="s">
        <v>3596</v>
      </c>
      <c r="H384" t="s">
        <v>3597</v>
      </c>
      <c r="J384" t="s">
        <v>3598</v>
      </c>
      <c r="K384" t="s">
        <v>3599</v>
      </c>
    </row>
    <row r="385" spans="1:13" hidden="1" x14ac:dyDescent="0.2">
      <c r="A385" s="235" t="s">
        <v>3600</v>
      </c>
      <c r="B385" t="s">
        <v>3601</v>
      </c>
      <c r="C385" t="s">
        <v>1680</v>
      </c>
      <c r="D385" t="s">
        <v>3602</v>
      </c>
      <c r="E385" t="s">
        <v>3603</v>
      </c>
    </row>
    <row r="386" spans="1:13" hidden="1" x14ac:dyDescent="0.2">
      <c r="A386" s="235" t="s">
        <v>3604</v>
      </c>
      <c r="B386" t="s">
        <v>3605</v>
      </c>
      <c r="C386" t="s">
        <v>1680</v>
      </c>
      <c r="F386" t="s">
        <v>3606</v>
      </c>
      <c r="G386" t="s">
        <v>3607</v>
      </c>
      <c r="H386" t="s">
        <v>3608</v>
      </c>
    </row>
    <row r="387" spans="1:13" hidden="1" x14ac:dyDescent="0.2">
      <c r="A387" s="235" t="s">
        <v>3609</v>
      </c>
      <c r="B387" t="s">
        <v>3610</v>
      </c>
    </row>
    <row r="388" spans="1:13" hidden="1" x14ac:dyDescent="0.2">
      <c r="A388" s="235" t="s">
        <v>3611</v>
      </c>
      <c r="B388" t="s">
        <v>3612</v>
      </c>
    </row>
    <row r="389" spans="1:13" hidden="1" x14ac:dyDescent="0.2">
      <c r="A389" s="235" t="s">
        <v>3613</v>
      </c>
      <c r="B389" t="s">
        <v>3614</v>
      </c>
      <c r="D389" t="s">
        <v>3615</v>
      </c>
      <c r="E389" t="s">
        <v>3616</v>
      </c>
      <c r="F389" t="s">
        <v>3617</v>
      </c>
      <c r="G389" t="s">
        <v>3618</v>
      </c>
      <c r="J389" t="s">
        <v>3619</v>
      </c>
      <c r="K389" t="s">
        <v>3620</v>
      </c>
    </row>
    <row r="390" spans="1:13" hidden="1" x14ac:dyDescent="0.2">
      <c r="A390" s="235" t="s">
        <v>3621</v>
      </c>
      <c r="B390" t="s">
        <v>3622</v>
      </c>
      <c r="C390" t="s">
        <v>1680</v>
      </c>
      <c r="D390" t="s">
        <v>2181</v>
      </c>
      <c r="E390" t="s">
        <v>3623</v>
      </c>
      <c r="F390" t="s">
        <v>3624</v>
      </c>
      <c r="G390" t="s">
        <v>3625</v>
      </c>
      <c r="H390" t="s">
        <v>3626</v>
      </c>
      <c r="I390" t="s">
        <v>3627</v>
      </c>
      <c r="J390" t="s">
        <v>3017</v>
      </c>
      <c r="K390" t="s">
        <v>3018</v>
      </c>
      <c r="L390" t="s">
        <v>3628</v>
      </c>
      <c r="M390" t="s">
        <v>3629</v>
      </c>
    </row>
    <row r="391" spans="1:13" hidden="1" x14ac:dyDescent="0.2">
      <c r="A391" s="235" t="s">
        <v>3630</v>
      </c>
      <c r="B391" t="s">
        <v>3631</v>
      </c>
    </row>
    <row r="392" spans="1:13" hidden="1" x14ac:dyDescent="0.2">
      <c r="A392" s="235" t="s">
        <v>3632</v>
      </c>
      <c r="B392" t="s">
        <v>3633</v>
      </c>
    </row>
    <row r="393" spans="1:13" hidden="1" x14ac:dyDescent="0.2">
      <c r="A393" s="235" t="s">
        <v>3634</v>
      </c>
      <c r="B393" t="s">
        <v>3635</v>
      </c>
    </row>
    <row r="394" spans="1:13" hidden="1" x14ac:dyDescent="0.2">
      <c r="A394" s="235" t="s">
        <v>64</v>
      </c>
      <c r="B394" t="s">
        <v>3636</v>
      </c>
      <c r="D394" t="s">
        <v>1736</v>
      </c>
    </row>
    <row r="395" spans="1:13" hidden="1" x14ac:dyDescent="0.2">
      <c r="A395" s="235" t="s">
        <v>3637</v>
      </c>
      <c r="B395" t="s">
        <v>3638</v>
      </c>
      <c r="D395" t="s">
        <v>3639</v>
      </c>
      <c r="E395" t="s">
        <v>3640</v>
      </c>
      <c r="F395" t="s">
        <v>3641</v>
      </c>
      <c r="G395" t="s">
        <v>3642</v>
      </c>
    </row>
    <row r="396" spans="1:13" hidden="1" x14ac:dyDescent="0.2">
      <c r="A396" s="235" t="s">
        <v>3643</v>
      </c>
      <c r="B396" t="s">
        <v>3644</v>
      </c>
    </row>
    <row r="397" spans="1:13" hidden="1" x14ac:dyDescent="0.2">
      <c r="A397" s="235" t="s">
        <v>3645</v>
      </c>
      <c r="B397" t="s">
        <v>3646</v>
      </c>
    </row>
    <row r="398" spans="1:13" hidden="1" x14ac:dyDescent="0.2">
      <c r="A398" s="235" t="s">
        <v>3647</v>
      </c>
      <c r="B398" t="s">
        <v>3648</v>
      </c>
      <c r="D398" t="s">
        <v>3649</v>
      </c>
      <c r="E398" t="s">
        <v>3650</v>
      </c>
      <c r="G398" t="s">
        <v>3651</v>
      </c>
      <c r="J398" t="s">
        <v>3652</v>
      </c>
      <c r="K398" t="s">
        <v>3653</v>
      </c>
    </row>
    <row r="399" spans="1:13" hidden="1" x14ac:dyDescent="0.2">
      <c r="A399" s="235" t="s">
        <v>3654</v>
      </c>
      <c r="B399" t="s">
        <v>3655</v>
      </c>
      <c r="C399" t="s">
        <v>2062</v>
      </c>
      <c r="D399" t="s">
        <v>3656</v>
      </c>
      <c r="E399" t="s">
        <v>3657</v>
      </c>
      <c r="F399" t="s">
        <v>3658</v>
      </c>
      <c r="G399" t="s">
        <v>3659</v>
      </c>
      <c r="J399" t="s">
        <v>3660</v>
      </c>
      <c r="K399" t="s">
        <v>3661</v>
      </c>
      <c r="L399" t="s">
        <v>3662</v>
      </c>
    </row>
    <row r="400" spans="1:13" hidden="1" x14ac:dyDescent="0.2">
      <c r="A400" s="235" t="s">
        <v>3663</v>
      </c>
      <c r="B400" t="s">
        <v>3664</v>
      </c>
      <c r="C400" t="s">
        <v>1872</v>
      </c>
    </row>
    <row r="401" spans="1:13" hidden="1" x14ac:dyDescent="0.2">
      <c r="A401" s="235" t="s">
        <v>3665</v>
      </c>
      <c r="B401" t="s">
        <v>3666</v>
      </c>
    </row>
    <row r="402" spans="1:13" hidden="1" x14ac:dyDescent="0.2">
      <c r="A402" s="235" t="s">
        <v>3667</v>
      </c>
      <c r="B402" t="s">
        <v>3668</v>
      </c>
      <c r="C402" t="s">
        <v>1680</v>
      </c>
      <c r="D402" t="s">
        <v>3669</v>
      </c>
      <c r="E402" t="s">
        <v>3670</v>
      </c>
      <c r="F402" t="s">
        <v>3671</v>
      </c>
      <c r="G402" t="s">
        <v>3672</v>
      </c>
      <c r="H402" t="s">
        <v>3673</v>
      </c>
      <c r="J402" t="s">
        <v>3674</v>
      </c>
      <c r="K402" t="s">
        <v>3675</v>
      </c>
      <c r="L402" t="s">
        <v>3676</v>
      </c>
    </row>
    <row r="403" spans="1:13" hidden="1" x14ac:dyDescent="0.2">
      <c r="A403" s="235" t="s">
        <v>64</v>
      </c>
      <c r="B403" t="s">
        <v>3677</v>
      </c>
      <c r="D403" t="s">
        <v>3678</v>
      </c>
      <c r="E403" t="s">
        <v>3679</v>
      </c>
      <c r="F403" t="s">
        <v>3680</v>
      </c>
      <c r="G403" t="s">
        <v>3681</v>
      </c>
    </row>
    <row r="404" spans="1:13" hidden="1" x14ac:dyDescent="0.2">
      <c r="A404" s="235" t="s">
        <v>3682</v>
      </c>
      <c r="B404" t="s">
        <v>3683</v>
      </c>
      <c r="C404" t="s">
        <v>1705</v>
      </c>
      <c r="D404" t="s">
        <v>3684</v>
      </c>
      <c r="E404" t="s">
        <v>3685</v>
      </c>
      <c r="F404" t="s">
        <v>3686</v>
      </c>
      <c r="G404" t="s">
        <v>3687</v>
      </c>
      <c r="H404" t="s">
        <v>3688</v>
      </c>
      <c r="I404" t="s">
        <v>3689</v>
      </c>
    </row>
    <row r="405" spans="1:13" hidden="1" x14ac:dyDescent="0.2">
      <c r="A405" s="235" t="s">
        <v>3682</v>
      </c>
      <c r="B405" t="s">
        <v>3683</v>
      </c>
      <c r="C405" t="s">
        <v>2741</v>
      </c>
      <c r="D405" t="s">
        <v>3690</v>
      </c>
      <c r="E405" t="s">
        <v>3691</v>
      </c>
      <c r="F405" t="s">
        <v>3686</v>
      </c>
      <c r="G405" t="s">
        <v>3687</v>
      </c>
      <c r="H405" t="s">
        <v>3688</v>
      </c>
      <c r="I405" t="s">
        <v>3689</v>
      </c>
      <c r="J405" t="s">
        <v>3692</v>
      </c>
      <c r="K405" t="s">
        <v>3693</v>
      </c>
      <c r="M405" t="s">
        <v>2582</v>
      </c>
    </row>
    <row r="406" spans="1:13" hidden="1" x14ac:dyDescent="0.2">
      <c r="A406" s="235" t="s">
        <v>3694</v>
      </c>
      <c r="B406" t="s">
        <v>3695</v>
      </c>
      <c r="C406" t="s">
        <v>1680</v>
      </c>
      <c r="D406" t="s">
        <v>3696</v>
      </c>
      <c r="E406" t="s">
        <v>3697</v>
      </c>
      <c r="F406" t="s">
        <v>3698</v>
      </c>
      <c r="G406" t="s">
        <v>3699</v>
      </c>
      <c r="H406" t="s">
        <v>3700</v>
      </c>
      <c r="J406" t="s">
        <v>3701</v>
      </c>
      <c r="K406" t="s">
        <v>3702</v>
      </c>
      <c r="L406" t="s">
        <v>3703</v>
      </c>
    </row>
    <row r="407" spans="1:13" hidden="1" x14ac:dyDescent="0.2">
      <c r="A407" s="235" t="s">
        <v>3704</v>
      </c>
      <c r="B407" t="s">
        <v>3705</v>
      </c>
      <c r="D407" t="s">
        <v>3706</v>
      </c>
      <c r="E407" t="s">
        <v>3707</v>
      </c>
      <c r="F407" t="s">
        <v>3708</v>
      </c>
      <c r="G407" t="s">
        <v>3709</v>
      </c>
    </row>
    <row r="408" spans="1:13" hidden="1" x14ac:dyDescent="0.2">
      <c r="A408" s="235" t="s">
        <v>3710</v>
      </c>
      <c r="B408" t="s">
        <v>3711</v>
      </c>
    </row>
    <row r="409" spans="1:13" hidden="1" x14ac:dyDescent="0.2">
      <c r="A409" s="235" t="s">
        <v>3712</v>
      </c>
      <c r="B409" t="s">
        <v>3713</v>
      </c>
    </row>
    <row r="410" spans="1:13" hidden="1" x14ac:dyDescent="0.2">
      <c r="A410" s="235" t="s">
        <v>3714</v>
      </c>
      <c r="B410" t="s">
        <v>3715</v>
      </c>
      <c r="F410" t="s">
        <v>3716</v>
      </c>
      <c r="G410" t="s">
        <v>3717</v>
      </c>
    </row>
    <row r="411" spans="1:13" hidden="1" x14ac:dyDescent="0.2">
      <c r="A411" s="235" t="s">
        <v>3718</v>
      </c>
      <c r="B411" t="s">
        <v>3719</v>
      </c>
      <c r="C411" t="s">
        <v>1736</v>
      </c>
      <c r="D411" t="s">
        <v>3720</v>
      </c>
      <c r="E411" t="s">
        <v>3721</v>
      </c>
      <c r="F411" t="s">
        <v>3722</v>
      </c>
      <c r="G411" t="s">
        <v>3723</v>
      </c>
      <c r="J411" t="s">
        <v>3724</v>
      </c>
      <c r="K411" t="s">
        <v>3725</v>
      </c>
    </row>
    <row r="412" spans="1:13" hidden="1" x14ac:dyDescent="0.2">
      <c r="A412" s="235" t="s">
        <v>3726</v>
      </c>
      <c r="B412" t="s">
        <v>3727</v>
      </c>
      <c r="D412" t="s">
        <v>2646</v>
      </c>
      <c r="E412" t="s">
        <v>3728</v>
      </c>
      <c r="F412" t="s">
        <v>3729</v>
      </c>
      <c r="G412" t="s">
        <v>3730</v>
      </c>
    </row>
    <row r="413" spans="1:13" hidden="1" x14ac:dyDescent="0.2">
      <c r="A413" s="235" t="s">
        <v>3731</v>
      </c>
      <c r="B413" t="s">
        <v>3732</v>
      </c>
      <c r="C413" t="s">
        <v>1736</v>
      </c>
      <c r="D413" t="s">
        <v>3733</v>
      </c>
      <c r="F413" t="s">
        <v>3734</v>
      </c>
      <c r="G413" t="s">
        <v>3735</v>
      </c>
    </row>
    <row r="414" spans="1:13" hidden="1" x14ac:dyDescent="0.2">
      <c r="A414" s="235" t="s">
        <v>3736</v>
      </c>
      <c r="B414" t="s">
        <v>3737</v>
      </c>
      <c r="C414" t="s">
        <v>3738</v>
      </c>
      <c r="D414" t="s">
        <v>3739</v>
      </c>
      <c r="E414" t="s">
        <v>3740</v>
      </c>
      <c r="F414" t="s">
        <v>3741</v>
      </c>
      <c r="G414" t="s">
        <v>3742</v>
      </c>
      <c r="H414" t="s">
        <v>3743</v>
      </c>
    </row>
    <row r="415" spans="1:13" hidden="1" x14ac:dyDescent="0.2">
      <c r="A415" s="235" t="s">
        <v>3736</v>
      </c>
      <c r="B415" t="s">
        <v>3737</v>
      </c>
      <c r="C415" t="s">
        <v>2741</v>
      </c>
      <c r="D415" t="s">
        <v>3744</v>
      </c>
      <c r="E415" t="s">
        <v>3745</v>
      </c>
      <c r="F415" t="s">
        <v>3741</v>
      </c>
      <c r="G415" t="s">
        <v>3742</v>
      </c>
      <c r="H415" t="s">
        <v>3743</v>
      </c>
      <c r="J415" t="s">
        <v>3746</v>
      </c>
      <c r="K415" t="s">
        <v>3747</v>
      </c>
      <c r="M415" t="s">
        <v>2582</v>
      </c>
    </row>
    <row r="416" spans="1:13" hidden="1" x14ac:dyDescent="0.2">
      <c r="A416" s="235" t="s">
        <v>3736</v>
      </c>
      <c r="B416" t="s">
        <v>3737</v>
      </c>
      <c r="C416" t="s">
        <v>1802</v>
      </c>
      <c r="D416" t="s">
        <v>3748</v>
      </c>
      <c r="E416" t="s">
        <v>3749</v>
      </c>
      <c r="F416" t="s">
        <v>3750</v>
      </c>
      <c r="G416" t="s">
        <v>3751</v>
      </c>
      <c r="H416" t="s">
        <v>3752</v>
      </c>
      <c r="J416" t="s">
        <v>3753</v>
      </c>
      <c r="K416" t="s">
        <v>3754</v>
      </c>
      <c r="L416" t="s">
        <v>3755</v>
      </c>
    </row>
    <row r="417" spans="1:12" hidden="1" x14ac:dyDescent="0.2">
      <c r="A417" s="235" t="s">
        <v>3736</v>
      </c>
      <c r="B417" t="s">
        <v>3737</v>
      </c>
      <c r="C417" t="s">
        <v>3756</v>
      </c>
      <c r="D417" t="s">
        <v>3757</v>
      </c>
      <c r="E417" t="s">
        <v>3758</v>
      </c>
      <c r="F417" t="s">
        <v>3759</v>
      </c>
      <c r="G417" t="s">
        <v>3760</v>
      </c>
      <c r="H417" t="s">
        <v>3761</v>
      </c>
      <c r="J417" t="s">
        <v>3762</v>
      </c>
      <c r="K417" t="s">
        <v>3763</v>
      </c>
      <c r="L417" t="s">
        <v>3764</v>
      </c>
    </row>
    <row r="418" spans="1:12" hidden="1" x14ac:dyDescent="0.2">
      <c r="A418" s="235" t="s">
        <v>3736</v>
      </c>
      <c r="B418" t="s">
        <v>3737</v>
      </c>
      <c r="C418" t="s">
        <v>1736</v>
      </c>
      <c r="D418" t="s">
        <v>3765</v>
      </c>
      <c r="F418" t="s">
        <v>3766</v>
      </c>
      <c r="G418" t="s">
        <v>3767</v>
      </c>
      <c r="H418" t="s">
        <v>3768</v>
      </c>
    </row>
    <row r="419" spans="1:12" hidden="1" x14ac:dyDescent="0.2">
      <c r="A419" s="235" t="s">
        <v>3769</v>
      </c>
      <c r="B419" t="s">
        <v>3770</v>
      </c>
      <c r="D419" t="s">
        <v>3771</v>
      </c>
      <c r="E419" t="s">
        <v>3772</v>
      </c>
      <c r="F419" t="s">
        <v>3773</v>
      </c>
      <c r="G419" t="s">
        <v>3774</v>
      </c>
    </row>
    <row r="420" spans="1:12" hidden="1" x14ac:dyDescent="0.2">
      <c r="A420" s="235" t="s">
        <v>3775</v>
      </c>
      <c r="B420" t="s">
        <v>3776</v>
      </c>
      <c r="C420" t="s">
        <v>1680</v>
      </c>
      <c r="D420" t="s">
        <v>2984</v>
      </c>
      <c r="E420" t="s">
        <v>3777</v>
      </c>
      <c r="F420" t="s">
        <v>3778</v>
      </c>
      <c r="G420" t="s">
        <v>3779</v>
      </c>
    </row>
    <row r="421" spans="1:12" hidden="1" x14ac:dyDescent="0.2">
      <c r="A421" s="235" t="s">
        <v>3780</v>
      </c>
      <c r="B421" t="s">
        <v>3781</v>
      </c>
      <c r="C421" t="s">
        <v>1680</v>
      </c>
      <c r="D421" t="s">
        <v>2984</v>
      </c>
      <c r="E421" t="s">
        <v>3782</v>
      </c>
      <c r="F421" t="s">
        <v>3783</v>
      </c>
      <c r="G421" t="s">
        <v>3784</v>
      </c>
      <c r="H421" t="s">
        <v>3785</v>
      </c>
      <c r="J421" t="s">
        <v>3786</v>
      </c>
      <c r="K421" t="s">
        <v>3787</v>
      </c>
      <c r="L421" t="s">
        <v>3788</v>
      </c>
    </row>
    <row r="422" spans="1:12" hidden="1" x14ac:dyDescent="0.2">
      <c r="A422" s="235" t="s">
        <v>3789</v>
      </c>
      <c r="B422" t="s">
        <v>3790</v>
      </c>
      <c r="D422" t="s">
        <v>3791</v>
      </c>
      <c r="E422" t="s">
        <v>3792</v>
      </c>
      <c r="F422" t="s">
        <v>3793</v>
      </c>
      <c r="G422" t="s">
        <v>3794</v>
      </c>
    </row>
    <row r="423" spans="1:12" hidden="1" x14ac:dyDescent="0.2">
      <c r="A423" s="235" t="s">
        <v>3795</v>
      </c>
      <c r="B423" t="s">
        <v>3796</v>
      </c>
      <c r="D423" t="s">
        <v>3797</v>
      </c>
      <c r="E423" t="s">
        <v>3798</v>
      </c>
      <c r="F423" t="s">
        <v>3799</v>
      </c>
      <c r="G423" t="s">
        <v>3800</v>
      </c>
    </row>
    <row r="424" spans="1:12" hidden="1" x14ac:dyDescent="0.2">
      <c r="A424" s="235" t="s">
        <v>3795</v>
      </c>
      <c r="B424" t="s">
        <v>3801</v>
      </c>
      <c r="C424" t="s">
        <v>1802</v>
      </c>
      <c r="D424" t="s">
        <v>3802</v>
      </c>
      <c r="E424" t="s">
        <v>3803</v>
      </c>
      <c r="F424" t="s">
        <v>3804</v>
      </c>
      <c r="G424" t="s">
        <v>3805</v>
      </c>
    </row>
    <row r="425" spans="1:12" hidden="1" x14ac:dyDescent="0.2">
      <c r="A425" s="235" t="s">
        <v>3806</v>
      </c>
      <c r="B425" t="s">
        <v>3807</v>
      </c>
      <c r="D425" t="s">
        <v>3808</v>
      </c>
      <c r="E425" t="s">
        <v>3809</v>
      </c>
      <c r="F425" t="s">
        <v>3810</v>
      </c>
      <c r="G425" t="s">
        <v>3811</v>
      </c>
    </row>
    <row r="426" spans="1:12" hidden="1" x14ac:dyDescent="0.2">
      <c r="A426" s="235" t="s">
        <v>3806</v>
      </c>
      <c r="B426" t="s">
        <v>3812</v>
      </c>
      <c r="C426" t="s">
        <v>1680</v>
      </c>
      <c r="D426" t="s">
        <v>3813</v>
      </c>
      <c r="E426" t="s">
        <v>3814</v>
      </c>
      <c r="F426" t="s">
        <v>3815</v>
      </c>
      <c r="G426" t="s">
        <v>3816</v>
      </c>
      <c r="H426" t="s">
        <v>3817</v>
      </c>
      <c r="J426" t="s">
        <v>3818</v>
      </c>
      <c r="K426" t="s">
        <v>3819</v>
      </c>
      <c r="L426" t="s">
        <v>3820</v>
      </c>
    </row>
    <row r="427" spans="1:12" hidden="1" x14ac:dyDescent="0.2">
      <c r="A427" s="235">
        <v>120533</v>
      </c>
      <c r="B427" t="s">
        <v>3821</v>
      </c>
      <c r="C427" t="s">
        <v>1680</v>
      </c>
      <c r="D427" t="s">
        <v>2984</v>
      </c>
      <c r="E427" t="s">
        <v>3822</v>
      </c>
      <c r="F427" t="s">
        <v>3823</v>
      </c>
      <c r="G427" t="s">
        <v>3824</v>
      </c>
      <c r="J427" t="s">
        <v>3825</v>
      </c>
      <c r="K427" t="s">
        <v>3826</v>
      </c>
    </row>
    <row r="428" spans="1:12" hidden="1" x14ac:dyDescent="0.2">
      <c r="A428" s="235" t="s">
        <v>3827</v>
      </c>
      <c r="B428" t="s">
        <v>3828</v>
      </c>
    </row>
    <row r="429" spans="1:12" hidden="1" x14ac:dyDescent="0.2">
      <c r="A429" s="235" t="s">
        <v>3829</v>
      </c>
      <c r="B429" t="s">
        <v>3830</v>
      </c>
      <c r="C429" t="s">
        <v>1680</v>
      </c>
      <c r="D429" t="s">
        <v>3831</v>
      </c>
      <c r="E429" t="s">
        <v>3832</v>
      </c>
      <c r="F429" t="s">
        <v>3833</v>
      </c>
      <c r="G429" t="s">
        <v>3834</v>
      </c>
      <c r="H429" t="s">
        <v>3835</v>
      </c>
      <c r="J429" t="s">
        <v>3836</v>
      </c>
      <c r="K429" t="s">
        <v>3837</v>
      </c>
      <c r="L429" t="s">
        <v>3838</v>
      </c>
    </row>
    <row r="430" spans="1:12" hidden="1" x14ac:dyDescent="0.2">
      <c r="A430" s="235" t="s">
        <v>3829</v>
      </c>
      <c r="B430" t="s">
        <v>3830</v>
      </c>
      <c r="C430" t="s">
        <v>1802</v>
      </c>
      <c r="D430" t="s">
        <v>3839</v>
      </c>
      <c r="E430" t="s">
        <v>3840</v>
      </c>
      <c r="F430" t="s">
        <v>3841</v>
      </c>
      <c r="G430" t="s">
        <v>3842</v>
      </c>
      <c r="H430" t="s">
        <v>3843</v>
      </c>
      <c r="J430" t="s">
        <v>3844</v>
      </c>
      <c r="K430" t="s">
        <v>3845</v>
      </c>
      <c r="L430" t="s">
        <v>3846</v>
      </c>
    </row>
    <row r="431" spans="1:12" hidden="1" x14ac:dyDescent="0.2">
      <c r="A431" s="235" t="s">
        <v>3847</v>
      </c>
      <c r="B431" t="s">
        <v>3848</v>
      </c>
    </row>
    <row r="432" spans="1:12" hidden="1" x14ac:dyDescent="0.2">
      <c r="A432" s="235" t="s">
        <v>3849</v>
      </c>
      <c r="B432" t="s">
        <v>3850</v>
      </c>
    </row>
    <row r="433" spans="1:13" hidden="1" x14ac:dyDescent="0.2">
      <c r="A433" s="235" t="s">
        <v>3851</v>
      </c>
      <c r="B433" t="s">
        <v>3852</v>
      </c>
      <c r="F433" t="s">
        <v>3853</v>
      </c>
      <c r="G433" t="s">
        <v>3854</v>
      </c>
      <c r="J433" t="s">
        <v>3855</v>
      </c>
      <c r="K433" t="s">
        <v>3856</v>
      </c>
    </row>
    <row r="434" spans="1:13" hidden="1" x14ac:dyDescent="0.2">
      <c r="A434" s="235" t="s">
        <v>3857</v>
      </c>
      <c r="B434" t="s">
        <v>3858</v>
      </c>
      <c r="C434" t="s">
        <v>1680</v>
      </c>
      <c r="G434" t="s">
        <v>3859</v>
      </c>
      <c r="H434" t="s">
        <v>3860</v>
      </c>
      <c r="I434" t="s">
        <v>3861</v>
      </c>
      <c r="J434" t="s">
        <v>3862</v>
      </c>
      <c r="K434" t="s">
        <v>3863</v>
      </c>
      <c r="L434" t="s">
        <v>3864</v>
      </c>
      <c r="M434" t="s">
        <v>3865</v>
      </c>
    </row>
    <row r="435" spans="1:13" hidden="1" x14ac:dyDescent="0.2">
      <c r="A435" s="235" t="s">
        <v>3866</v>
      </c>
      <c r="B435" t="s">
        <v>3867</v>
      </c>
      <c r="C435" t="s">
        <v>3868</v>
      </c>
      <c r="D435" t="s">
        <v>3869</v>
      </c>
      <c r="E435" t="s">
        <v>3870</v>
      </c>
      <c r="F435" t="s">
        <v>3871</v>
      </c>
      <c r="G435" t="s">
        <v>3872</v>
      </c>
      <c r="H435" t="s">
        <v>3873</v>
      </c>
    </row>
    <row r="436" spans="1:13" hidden="1" x14ac:dyDescent="0.2">
      <c r="A436" s="235" t="s">
        <v>3874</v>
      </c>
      <c r="B436" t="s">
        <v>3875</v>
      </c>
      <c r="C436" t="s">
        <v>1802</v>
      </c>
      <c r="D436" t="s">
        <v>3876</v>
      </c>
      <c r="F436" t="s">
        <v>3877</v>
      </c>
      <c r="G436" t="s">
        <v>3878</v>
      </c>
      <c r="H436" t="s">
        <v>3879</v>
      </c>
    </row>
    <row r="437" spans="1:13" hidden="1" x14ac:dyDescent="0.2">
      <c r="A437" s="235" t="s">
        <v>3880</v>
      </c>
      <c r="B437" t="s">
        <v>3881</v>
      </c>
      <c r="D437" t="s">
        <v>3500</v>
      </c>
      <c r="E437" t="s">
        <v>3882</v>
      </c>
      <c r="F437" t="s">
        <v>3883</v>
      </c>
      <c r="G437" t="s">
        <v>3884</v>
      </c>
    </row>
    <row r="438" spans="1:13" hidden="1" x14ac:dyDescent="0.2">
      <c r="A438" s="235" t="s">
        <v>3885</v>
      </c>
      <c r="B438" t="s">
        <v>3886</v>
      </c>
      <c r="D438" t="s">
        <v>3887</v>
      </c>
      <c r="E438" t="s">
        <v>3888</v>
      </c>
      <c r="F438" t="s">
        <v>3889</v>
      </c>
      <c r="G438" t="s">
        <v>3890</v>
      </c>
    </row>
    <row r="439" spans="1:13" hidden="1" x14ac:dyDescent="0.2">
      <c r="A439" s="235" t="s">
        <v>3891</v>
      </c>
      <c r="B439" t="s">
        <v>3892</v>
      </c>
    </row>
    <row r="440" spans="1:13" hidden="1" x14ac:dyDescent="0.2">
      <c r="A440" s="235" t="s">
        <v>3893</v>
      </c>
      <c r="B440" t="s">
        <v>3894</v>
      </c>
      <c r="C440" t="s">
        <v>1736</v>
      </c>
      <c r="D440" t="s">
        <v>3895</v>
      </c>
      <c r="E440" t="s">
        <v>3896</v>
      </c>
      <c r="F440" t="s">
        <v>3897</v>
      </c>
      <c r="G440" t="s">
        <v>3898</v>
      </c>
      <c r="H440" t="s">
        <v>3899</v>
      </c>
      <c r="J440" t="s">
        <v>3900</v>
      </c>
      <c r="K440" t="s">
        <v>3901</v>
      </c>
      <c r="L440" t="s">
        <v>3902</v>
      </c>
    </row>
    <row r="441" spans="1:13" hidden="1" x14ac:dyDescent="0.2">
      <c r="A441" s="235" t="s">
        <v>3903</v>
      </c>
      <c r="B441" t="s">
        <v>3904</v>
      </c>
    </row>
    <row r="442" spans="1:13" hidden="1" x14ac:dyDescent="0.2">
      <c r="A442" s="235">
        <v>121338</v>
      </c>
      <c r="B442" t="s">
        <v>3905</v>
      </c>
      <c r="D442" t="s">
        <v>3906</v>
      </c>
      <c r="E442" t="s">
        <v>3907</v>
      </c>
      <c r="F442" t="s">
        <v>3908</v>
      </c>
      <c r="G442" t="s">
        <v>3909</v>
      </c>
    </row>
    <row r="443" spans="1:13" hidden="1" x14ac:dyDescent="0.2">
      <c r="A443" s="235" t="s">
        <v>3910</v>
      </c>
      <c r="B443" t="s">
        <v>3911</v>
      </c>
      <c r="D443" t="s">
        <v>3912</v>
      </c>
      <c r="E443" t="s">
        <v>3913</v>
      </c>
      <c r="F443" t="s">
        <v>3914</v>
      </c>
      <c r="G443" t="s">
        <v>3915</v>
      </c>
    </row>
    <row r="444" spans="1:13" hidden="1" x14ac:dyDescent="0.2">
      <c r="A444" s="235" t="s">
        <v>3916</v>
      </c>
      <c r="B444" t="s">
        <v>3917</v>
      </c>
      <c r="C444" t="s">
        <v>1680</v>
      </c>
      <c r="D444" t="s">
        <v>3918</v>
      </c>
      <c r="E444" t="s">
        <v>3919</v>
      </c>
      <c r="F444" t="s">
        <v>3920</v>
      </c>
      <c r="G444" t="s">
        <v>3921</v>
      </c>
      <c r="H444" t="s">
        <v>3922</v>
      </c>
    </row>
    <row r="445" spans="1:13" hidden="1" x14ac:dyDescent="0.2">
      <c r="A445" s="235" t="s">
        <v>3923</v>
      </c>
      <c r="B445" t="s">
        <v>3924</v>
      </c>
      <c r="C445" t="s">
        <v>1680</v>
      </c>
      <c r="D445" t="s">
        <v>3925</v>
      </c>
      <c r="E445" t="s">
        <v>3926</v>
      </c>
      <c r="F445" t="s">
        <v>3927</v>
      </c>
      <c r="G445" t="s">
        <v>3928</v>
      </c>
    </row>
    <row r="446" spans="1:13" hidden="1" x14ac:dyDescent="0.2">
      <c r="A446" s="235">
        <v>121127</v>
      </c>
      <c r="B446" t="s">
        <v>3929</v>
      </c>
      <c r="D446">
        <v>0</v>
      </c>
      <c r="E446">
        <v>0</v>
      </c>
      <c r="F446" t="s">
        <v>3930</v>
      </c>
      <c r="G446" t="s">
        <v>3931</v>
      </c>
    </row>
    <row r="447" spans="1:13" hidden="1" x14ac:dyDescent="0.2">
      <c r="A447" s="235" t="s">
        <v>3932</v>
      </c>
      <c r="B447" t="s">
        <v>3933</v>
      </c>
      <c r="D447">
        <v>0</v>
      </c>
      <c r="E447">
        <v>0</v>
      </c>
      <c r="F447">
        <v>0</v>
      </c>
      <c r="G447" t="s">
        <v>1750</v>
      </c>
    </row>
    <row r="448" spans="1:13" hidden="1" x14ac:dyDescent="0.2">
      <c r="A448" s="235" t="s">
        <v>3934</v>
      </c>
      <c r="B448" t="s">
        <v>3935</v>
      </c>
      <c r="C448" t="s">
        <v>3936</v>
      </c>
      <c r="D448" t="s">
        <v>3937</v>
      </c>
      <c r="E448" t="s">
        <v>3938</v>
      </c>
      <c r="F448" t="s">
        <v>3939</v>
      </c>
      <c r="G448" t="s">
        <v>3940</v>
      </c>
      <c r="J448" t="s">
        <v>3941</v>
      </c>
      <c r="K448" t="s">
        <v>3942</v>
      </c>
    </row>
    <row r="449" spans="1:8" hidden="1" x14ac:dyDescent="0.2">
      <c r="A449" s="235" t="s">
        <v>3943</v>
      </c>
      <c r="B449" t="s">
        <v>3944</v>
      </c>
    </row>
    <row r="450" spans="1:8" hidden="1" x14ac:dyDescent="0.2">
      <c r="A450" s="235" t="s">
        <v>3945</v>
      </c>
      <c r="B450" t="s">
        <v>3946</v>
      </c>
      <c r="D450">
        <v>0</v>
      </c>
      <c r="E450">
        <v>0</v>
      </c>
      <c r="F450" t="s">
        <v>3947</v>
      </c>
      <c r="G450" t="s">
        <v>3948</v>
      </c>
    </row>
    <row r="451" spans="1:8" hidden="1" x14ac:dyDescent="0.2">
      <c r="A451" s="235" t="s">
        <v>3949</v>
      </c>
      <c r="B451" t="s">
        <v>3950</v>
      </c>
    </row>
    <row r="452" spans="1:8" hidden="1" x14ac:dyDescent="0.2">
      <c r="A452" s="235" t="s">
        <v>3951</v>
      </c>
      <c r="B452" t="s">
        <v>3952</v>
      </c>
      <c r="D452" t="s">
        <v>3425</v>
      </c>
      <c r="E452">
        <v>0</v>
      </c>
      <c r="F452" t="s">
        <v>3953</v>
      </c>
      <c r="G452" t="s">
        <v>3954</v>
      </c>
    </row>
    <row r="453" spans="1:8" hidden="1" x14ac:dyDescent="0.2">
      <c r="A453" s="235" t="s">
        <v>3955</v>
      </c>
      <c r="B453" t="s">
        <v>3956</v>
      </c>
      <c r="D453">
        <v>0</v>
      </c>
      <c r="E453">
        <v>0</v>
      </c>
      <c r="F453" t="s">
        <v>3957</v>
      </c>
      <c r="G453" t="s">
        <v>3958</v>
      </c>
    </row>
    <row r="454" spans="1:8" hidden="1" x14ac:dyDescent="0.2">
      <c r="A454" s="235" t="s">
        <v>3955</v>
      </c>
      <c r="B454" t="s">
        <v>3959</v>
      </c>
      <c r="C454" t="s">
        <v>1680</v>
      </c>
      <c r="D454" t="s">
        <v>3960</v>
      </c>
      <c r="E454" t="s">
        <v>3961</v>
      </c>
      <c r="F454" t="s">
        <v>3962</v>
      </c>
      <c r="G454" t="s">
        <v>3963</v>
      </c>
    </row>
    <row r="455" spans="1:8" hidden="1" x14ac:dyDescent="0.2">
      <c r="A455" s="235" t="s">
        <v>3964</v>
      </c>
      <c r="B455" t="s">
        <v>3965</v>
      </c>
      <c r="C455" t="s">
        <v>1680</v>
      </c>
      <c r="F455" t="s">
        <v>3966</v>
      </c>
      <c r="G455" t="s">
        <v>3967</v>
      </c>
      <c r="H455" t="s">
        <v>3968</v>
      </c>
    </row>
    <row r="456" spans="1:8" hidden="1" x14ac:dyDescent="0.2">
      <c r="A456" s="235" t="s">
        <v>3969</v>
      </c>
      <c r="B456" t="s">
        <v>3970</v>
      </c>
    </row>
    <row r="457" spans="1:8" hidden="1" x14ac:dyDescent="0.2">
      <c r="A457" s="235" t="s">
        <v>3971</v>
      </c>
      <c r="B457" t="s">
        <v>3972</v>
      </c>
      <c r="D457">
        <v>0</v>
      </c>
      <c r="E457">
        <v>0</v>
      </c>
      <c r="F457" t="s">
        <v>3973</v>
      </c>
      <c r="G457" t="s">
        <v>3974</v>
      </c>
    </row>
    <row r="458" spans="1:8" hidden="1" x14ac:dyDescent="0.2">
      <c r="A458" s="235">
        <v>121121</v>
      </c>
      <c r="B458" t="s">
        <v>3975</v>
      </c>
      <c r="D458" t="s">
        <v>3976</v>
      </c>
      <c r="E458" t="s">
        <v>3977</v>
      </c>
    </row>
    <row r="459" spans="1:8" hidden="1" x14ac:dyDescent="0.2">
      <c r="A459" s="235" t="s">
        <v>3978</v>
      </c>
      <c r="B459" t="s">
        <v>3979</v>
      </c>
    </row>
    <row r="460" spans="1:8" hidden="1" x14ac:dyDescent="0.2">
      <c r="A460" s="235" t="s">
        <v>3980</v>
      </c>
      <c r="B460" t="s">
        <v>3981</v>
      </c>
      <c r="D460" t="s">
        <v>3982</v>
      </c>
      <c r="E460" t="s">
        <v>3983</v>
      </c>
      <c r="F460">
        <v>0</v>
      </c>
      <c r="G460" t="s">
        <v>1750</v>
      </c>
    </row>
    <row r="461" spans="1:8" hidden="1" x14ac:dyDescent="0.2">
      <c r="A461" s="235" t="s">
        <v>3984</v>
      </c>
      <c r="B461" t="s">
        <v>3985</v>
      </c>
    </row>
    <row r="462" spans="1:8" hidden="1" x14ac:dyDescent="0.2">
      <c r="A462" s="235" t="s">
        <v>3984</v>
      </c>
      <c r="B462" t="s">
        <v>3986</v>
      </c>
      <c r="D462" t="s">
        <v>3987</v>
      </c>
      <c r="E462" t="s">
        <v>3988</v>
      </c>
      <c r="F462" t="s">
        <v>3989</v>
      </c>
      <c r="G462" t="s">
        <v>3990</v>
      </c>
    </row>
    <row r="463" spans="1:8" hidden="1" x14ac:dyDescent="0.2">
      <c r="A463" s="235" t="s">
        <v>3991</v>
      </c>
      <c r="B463" t="s">
        <v>3992</v>
      </c>
      <c r="D463" t="s">
        <v>3993</v>
      </c>
      <c r="E463" t="s">
        <v>3994</v>
      </c>
      <c r="F463" t="s">
        <v>3995</v>
      </c>
      <c r="G463" t="s">
        <v>3996</v>
      </c>
    </row>
    <row r="464" spans="1:8" hidden="1" x14ac:dyDescent="0.2">
      <c r="A464" s="235" t="s">
        <v>3997</v>
      </c>
      <c r="B464" t="s">
        <v>3998</v>
      </c>
      <c r="C464" t="s">
        <v>1680</v>
      </c>
      <c r="D464" t="s">
        <v>3999</v>
      </c>
      <c r="E464" t="s">
        <v>4000</v>
      </c>
      <c r="F464" t="s">
        <v>4001</v>
      </c>
      <c r="G464" t="s">
        <v>4002</v>
      </c>
      <c r="H464" t="s">
        <v>4003</v>
      </c>
    </row>
    <row r="465" spans="1:13" hidden="1" x14ac:dyDescent="0.2">
      <c r="A465" s="235" t="s">
        <v>4004</v>
      </c>
      <c r="B465" t="s">
        <v>4005</v>
      </c>
    </row>
    <row r="466" spans="1:13" hidden="1" x14ac:dyDescent="0.2">
      <c r="A466" s="235" t="s">
        <v>4006</v>
      </c>
      <c r="B466" t="s">
        <v>4007</v>
      </c>
      <c r="C466" t="s">
        <v>1680</v>
      </c>
      <c r="D466" t="s">
        <v>4008</v>
      </c>
      <c r="E466" t="s">
        <v>4009</v>
      </c>
      <c r="F466" t="s">
        <v>4010</v>
      </c>
      <c r="G466" t="s">
        <v>4011</v>
      </c>
      <c r="H466" t="s">
        <v>4012</v>
      </c>
      <c r="J466" t="s">
        <v>4013</v>
      </c>
      <c r="K466" t="s">
        <v>4014</v>
      </c>
      <c r="L466" t="s">
        <v>4015</v>
      </c>
      <c r="M466" t="s">
        <v>2075</v>
      </c>
    </row>
    <row r="467" spans="1:13" hidden="1" x14ac:dyDescent="0.2">
      <c r="A467" s="235" t="s">
        <v>4016</v>
      </c>
      <c r="B467" t="s">
        <v>4017</v>
      </c>
      <c r="C467" t="s">
        <v>1680</v>
      </c>
      <c r="D467" t="s">
        <v>2386</v>
      </c>
      <c r="E467" t="s">
        <v>2387</v>
      </c>
      <c r="F467" t="s">
        <v>2388</v>
      </c>
      <c r="G467" t="s">
        <v>2389</v>
      </c>
      <c r="J467" t="s">
        <v>2390</v>
      </c>
      <c r="K467" t="s">
        <v>2391</v>
      </c>
    </row>
    <row r="468" spans="1:13" hidden="1" x14ac:dyDescent="0.2">
      <c r="A468" s="235" t="s">
        <v>4018</v>
      </c>
      <c r="B468" t="s">
        <v>4019</v>
      </c>
    </row>
    <row r="469" spans="1:13" hidden="1" x14ac:dyDescent="0.2">
      <c r="A469" s="235" t="s">
        <v>4020</v>
      </c>
      <c r="B469" t="s">
        <v>4021</v>
      </c>
      <c r="D469" t="s">
        <v>4022</v>
      </c>
      <c r="E469" t="s">
        <v>4023</v>
      </c>
      <c r="F469" t="s">
        <v>4024</v>
      </c>
      <c r="G469" t="s">
        <v>4025</v>
      </c>
    </row>
    <row r="470" spans="1:13" hidden="1" x14ac:dyDescent="0.2">
      <c r="A470" s="235" t="s">
        <v>4020</v>
      </c>
      <c r="B470" t="s">
        <v>4026</v>
      </c>
    </row>
    <row r="471" spans="1:13" hidden="1" x14ac:dyDescent="0.2">
      <c r="A471" s="235" t="s">
        <v>64</v>
      </c>
      <c r="B471" t="s">
        <v>4027</v>
      </c>
      <c r="D471" t="s">
        <v>4028</v>
      </c>
      <c r="E471" t="s">
        <v>4029</v>
      </c>
      <c r="F471" t="s">
        <v>4030</v>
      </c>
      <c r="G471" t="s">
        <v>4031</v>
      </c>
    </row>
    <row r="472" spans="1:13" hidden="1" x14ac:dyDescent="0.2">
      <c r="A472" s="235" t="s">
        <v>4032</v>
      </c>
      <c r="B472" t="s">
        <v>4033</v>
      </c>
      <c r="C472" t="s">
        <v>3425</v>
      </c>
      <c r="D472" t="s">
        <v>4034</v>
      </c>
      <c r="F472" t="s">
        <v>4035</v>
      </c>
      <c r="G472" t="s">
        <v>4036</v>
      </c>
      <c r="J472" t="s">
        <v>4037</v>
      </c>
      <c r="K472" t="s">
        <v>4038</v>
      </c>
    </row>
    <row r="473" spans="1:13" hidden="1" x14ac:dyDescent="0.2">
      <c r="A473" s="235" t="s">
        <v>4039</v>
      </c>
      <c r="B473" t="s">
        <v>4040</v>
      </c>
      <c r="D473" t="s">
        <v>4041</v>
      </c>
      <c r="E473" t="s">
        <v>4042</v>
      </c>
      <c r="F473" t="s">
        <v>4043</v>
      </c>
      <c r="G473" t="s">
        <v>4044</v>
      </c>
    </row>
    <row r="474" spans="1:13" hidden="1" x14ac:dyDescent="0.2">
      <c r="A474" s="235" t="s">
        <v>64</v>
      </c>
      <c r="B474" t="s">
        <v>4045</v>
      </c>
      <c r="D474" t="s">
        <v>4046</v>
      </c>
    </row>
    <row r="475" spans="1:13" hidden="1" x14ac:dyDescent="0.2">
      <c r="A475" s="235" t="s">
        <v>4047</v>
      </c>
      <c r="B475" t="s">
        <v>4048</v>
      </c>
    </row>
    <row r="476" spans="1:13" hidden="1" x14ac:dyDescent="0.2">
      <c r="A476" s="235" t="s">
        <v>4049</v>
      </c>
      <c r="B476" t="s">
        <v>4050</v>
      </c>
    </row>
    <row r="477" spans="1:13" hidden="1" x14ac:dyDescent="0.2">
      <c r="A477" s="235" t="s">
        <v>4051</v>
      </c>
      <c r="B477" t="s">
        <v>4052</v>
      </c>
      <c r="D477" t="s">
        <v>4053</v>
      </c>
      <c r="E477" t="s">
        <v>4054</v>
      </c>
      <c r="F477" t="s">
        <v>4055</v>
      </c>
      <c r="G477" t="s">
        <v>4056</v>
      </c>
    </row>
    <row r="478" spans="1:13" hidden="1" x14ac:dyDescent="0.2">
      <c r="A478" s="235" t="s">
        <v>4057</v>
      </c>
      <c r="B478" t="s">
        <v>4058</v>
      </c>
      <c r="D478" t="s">
        <v>4059</v>
      </c>
      <c r="E478" t="s">
        <v>4060</v>
      </c>
      <c r="F478" t="s">
        <v>4061</v>
      </c>
      <c r="G478" t="s">
        <v>4062</v>
      </c>
    </row>
    <row r="479" spans="1:13" hidden="1" x14ac:dyDescent="0.2">
      <c r="A479" s="235" t="s">
        <v>4063</v>
      </c>
      <c r="B479" t="s">
        <v>4064</v>
      </c>
    </row>
    <row r="480" spans="1:13" hidden="1" x14ac:dyDescent="0.2">
      <c r="A480" s="235" t="s">
        <v>4065</v>
      </c>
      <c r="B480" t="s">
        <v>4066</v>
      </c>
    </row>
    <row r="481" spans="1:13" hidden="1" x14ac:dyDescent="0.2">
      <c r="A481" s="235" t="s">
        <v>4067</v>
      </c>
      <c r="B481" t="s">
        <v>4068</v>
      </c>
      <c r="C481" t="s">
        <v>1680</v>
      </c>
      <c r="D481" t="s">
        <v>2667</v>
      </c>
      <c r="E481" t="s">
        <v>2668</v>
      </c>
      <c r="F481" t="s">
        <v>2672</v>
      </c>
      <c r="G481" t="s">
        <v>4069</v>
      </c>
      <c r="J481" t="s">
        <v>2669</v>
      </c>
      <c r="K481" t="s">
        <v>2670</v>
      </c>
      <c r="L481" t="s">
        <v>2671</v>
      </c>
    </row>
    <row r="482" spans="1:13" hidden="1" x14ac:dyDescent="0.2">
      <c r="A482" s="235" t="s">
        <v>4070</v>
      </c>
      <c r="B482" t="s">
        <v>1611</v>
      </c>
      <c r="C482" t="s">
        <v>1680</v>
      </c>
      <c r="D482" t="s">
        <v>1612</v>
      </c>
      <c r="E482" t="s">
        <v>1613</v>
      </c>
      <c r="F482" t="s">
        <v>4071</v>
      </c>
      <c r="G482" t="s">
        <v>4072</v>
      </c>
      <c r="H482" t="s">
        <v>4073</v>
      </c>
      <c r="J482" t="s">
        <v>4074</v>
      </c>
      <c r="K482" t="s">
        <v>4075</v>
      </c>
      <c r="L482" t="s">
        <v>4076</v>
      </c>
    </row>
    <row r="483" spans="1:13" hidden="1" x14ac:dyDescent="0.2">
      <c r="A483" s="235" t="s">
        <v>4077</v>
      </c>
      <c r="B483" t="s">
        <v>4078</v>
      </c>
    </row>
    <row r="484" spans="1:13" hidden="1" x14ac:dyDescent="0.2">
      <c r="A484" s="235" t="s">
        <v>4079</v>
      </c>
      <c r="B484" t="s">
        <v>4080</v>
      </c>
      <c r="C484" t="s">
        <v>1680</v>
      </c>
      <c r="D484" t="s">
        <v>1731</v>
      </c>
      <c r="E484" t="s">
        <v>4081</v>
      </c>
      <c r="F484" t="s">
        <v>4082</v>
      </c>
      <c r="G484" t="s">
        <v>4083</v>
      </c>
    </row>
    <row r="485" spans="1:13" hidden="1" x14ac:dyDescent="0.2">
      <c r="A485" s="235" t="s">
        <v>4079</v>
      </c>
      <c r="B485" t="s">
        <v>4080</v>
      </c>
      <c r="C485" t="s">
        <v>1736</v>
      </c>
      <c r="D485" t="s">
        <v>4084</v>
      </c>
      <c r="E485" t="s">
        <v>4085</v>
      </c>
      <c r="F485" t="s">
        <v>4086</v>
      </c>
      <c r="G485" t="s">
        <v>4087</v>
      </c>
      <c r="H485" t="s">
        <v>4088</v>
      </c>
    </row>
    <row r="486" spans="1:13" hidden="1" x14ac:dyDescent="0.2">
      <c r="A486" s="235" t="s">
        <v>4089</v>
      </c>
      <c r="B486" t="s">
        <v>4090</v>
      </c>
      <c r="C486" t="s">
        <v>1680</v>
      </c>
      <c r="D486" t="s">
        <v>4091</v>
      </c>
      <c r="E486" t="s">
        <v>4092</v>
      </c>
      <c r="F486" t="s">
        <v>4093</v>
      </c>
      <c r="G486" t="s">
        <v>4094</v>
      </c>
      <c r="H486" t="s">
        <v>4095</v>
      </c>
      <c r="J486" t="s">
        <v>4096</v>
      </c>
      <c r="K486" t="s">
        <v>4097</v>
      </c>
      <c r="L486" t="s">
        <v>4098</v>
      </c>
    </row>
    <row r="487" spans="1:13" hidden="1" x14ac:dyDescent="0.2">
      <c r="A487" s="235" t="s">
        <v>64</v>
      </c>
      <c r="B487" t="s">
        <v>4099</v>
      </c>
      <c r="D487" t="s">
        <v>4100</v>
      </c>
      <c r="E487" t="s">
        <v>4101</v>
      </c>
      <c r="F487" t="s">
        <v>4102</v>
      </c>
      <c r="G487" t="s">
        <v>4103</v>
      </c>
    </row>
    <row r="488" spans="1:13" hidden="1" x14ac:dyDescent="0.2">
      <c r="A488" s="235" t="s">
        <v>4104</v>
      </c>
      <c r="B488" t="s">
        <v>4105</v>
      </c>
    </row>
    <row r="489" spans="1:13" hidden="1" x14ac:dyDescent="0.2">
      <c r="A489" s="235" t="s">
        <v>4106</v>
      </c>
      <c r="B489" t="s">
        <v>4107</v>
      </c>
      <c r="C489" t="s">
        <v>1680</v>
      </c>
      <c r="D489" t="s">
        <v>4108</v>
      </c>
      <c r="E489" t="s">
        <v>4109</v>
      </c>
      <c r="F489" t="s">
        <v>4110</v>
      </c>
      <c r="G489" t="s">
        <v>4111</v>
      </c>
      <c r="H489" t="s">
        <v>4112</v>
      </c>
    </row>
    <row r="490" spans="1:13" hidden="1" x14ac:dyDescent="0.2">
      <c r="A490" s="235" t="s">
        <v>4113</v>
      </c>
      <c r="B490" t="s">
        <v>4114</v>
      </c>
    </row>
    <row r="491" spans="1:13" hidden="1" x14ac:dyDescent="0.2">
      <c r="A491" s="235" t="s">
        <v>4115</v>
      </c>
      <c r="B491" t="s">
        <v>4116</v>
      </c>
      <c r="D491" t="s">
        <v>3243</v>
      </c>
      <c r="E491" t="s">
        <v>4117</v>
      </c>
      <c r="F491" t="s">
        <v>4118</v>
      </c>
      <c r="G491" t="s">
        <v>4119</v>
      </c>
    </row>
    <row r="492" spans="1:13" hidden="1" x14ac:dyDescent="0.2">
      <c r="A492" s="235" t="s">
        <v>4120</v>
      </c>
      <c r="B492" t="s">
        <v>4121</v>
      </c>
      <c r="D492">
        <v>0</v>
      </c>
      <c r="E492">
        <v>0</v>
      </c>
      <c r="F492" t="s">
        <v>4122</v>
      </c>
      <c r="G492" t="s">
        <v>4123</v>
      </c>
    </row>
    <row r="493" spans="1:13" hidden="1" x14ac:dyDescent="0.2">
      <c r="A493" s="235" t="s">
        <v>4124</v>
      </c>
      <c r="B493" t="s">
        <v>4125</v>
      </c>
      <c r="C493" t="s">
        <v>1680</v>
      </c>
      <c r="D493" t="s">
        <v>4126</v>
      </c>
      <c r="E493" t="s">
        <v>4127</v>
      </c>
      <c r="F493" t="s">
        <v>4128</v>
      </c>
      <c r="G493" t="s">
        <v>4129</v>
      </c>
      <c r="H493" t="s">
        <v>4130</v>
      </c>
      <c r="I493" t="s">
        <v>2582</v>
      </c>
      <c r="J493" t="s">
        <v>4131</v>
      </c>
      <c r="K493" t="s">
        <v>4132</v>
      </c>
      <c r="L493" t="s">
        <v>4133</v>
      </c>
      <c r="M493" t="s">
        <v>4134</v>
      </c>
    </row>
    <row r="494" spans="1:13" hidden="1" x14ac:dyDescent="0.2">
      <c r="A494" s="235" t="s">
        <v>4135</v>
      </c>
      <c r="B494" t="s">
        <v>4136</v>
      </c>
    </row>
    <row r="495" spans="1:13" hidden="1" x14ac:dyDescent="0.2">
      <c r="A495" s="235" t="s">
        <v>4137</v>
      </c>
      <c r="B495" t="s">
        <v>4138</v>
      </c>
    </row>
    <row r="496" spans="1:13" hidden="1" x14ac:dyDescent="0.2">
      <c r="A496" s="235" t="s">
        <v>4139</v>
      </c>
      <c r="B496" t="s">
        <v>4140</v>
      </c>
      <c r="D496" t="s">
        <v>4141</v>
      </c>
      <c r="E496" t="s">
        <v>4142</v>
      </c>
      <c r="F496" t="s">
        <v>4143</v>
      </c>
      <c r="G496" t="s">
        <v>4144</v>
      </c>
    </row>
    <row r="497" spans="1:12" hidden="1" x14ac:dyDescent="0.2">
      <c r="A497" s="235" t="s">
        <v>64</v>
      </c>
      <c r="B497" t="s">
        <v>4145</v>
      </c>
      <c r="C497" t="s">
        <v>1680</v>
      </c>
      <c r="D497" t="s">
        <v>4146</v>
      </c>
      <c r="E497" t="s">
        <v>4147</v>
      </c>
      <c r="F497" t="s">
        <v>4148</v>
      </c>
      <c r="G497" t="s">
        <v>4149</v>
      </c>
      <c r="H497" t="s">
        <v>4150</v>
      </c>
      <c r="J497" t="s">
        <v>4151</v>
      </c>
      <c r="K497" t="s">
        <v>4152</v>
      </c>
      <c r="L497" t="s">
        <v>4153</v>
      </c>
    </row>
    <row r="498" spans="1:12" hidden="1" x14ac:dyDescent="0.2">
      <c r="A498" s="235" t="s">
        <v>4154</v>
      </c>
      <c r="B498" t="s">
        <v>4155</v>
      </c>
      <c r="D498" t="s">
        <v>4156</v>
      </c>
      <c r="E498" t="s">
        <v>4157</v>
      </c>
      <c r="F498" t="s">
        <v>4158</v>
      </c>
      <c r="G498" t="s">
        <v>4159</v>
      </c>
    </row>
    <row r="499" spans="1:12" hidden="1" x14ac:dyDescent="0.2">
      <c r="A499" s="235" t="s">
        <v>4160</v>
      </c>
      <c r="B499" t="s">
        <v>4161</v>
      </c>
      <c r="C499" t="s">
        <v>1680</v>
      </c>
      <c r="D499" t="s">
        <v>4162</v>
      </c>
      <c r="E499" t="s">
        <v>4163</v>
      </c>
      <c r="F499" t="s">
        <v>4164</v>
      </c>
      <c r="G499" t="s">
        <v>4165</v>
      </c>
      <c r="H499" t="s">
        <v>4166</v>
      </c>
      <c r="J499" t="s">
        <v>4167</v>
      </c>
      <c r="K499" t="s">
        <v>4168</v>
      </c>
      <c r="L499" t="s">
        <v>4169</v>
      </c>
    </row>
    <row r="500" spans="1:12" hidden="1" x14ac:dyDescent="0.2">
      <c r="A500" s="235" t="s">
        <v>4170</v>
      </c>
      <c r="B500" t="s">
        <v>4171</v>
      </c>
      <c r="D500" t="s">
        <v>4172</v>
      </c>
      <c r="E500" t="s">
        <v>4173</v>
      </c>
    </row>
    <row r="501" spans="1:12" hidden="1" x14ac:dyDescent="0.2">
      <c r="A501" s="235" t="s">
        <v>4174</v>
      </c>
      <c r="B501" t="s">
        <v>4175</v>
      </c>
      <c r="D501" t="s">
        <v>4176</v>
      </c>
      <c r="E501" t="s">
        <v>4177</v>
      </c>
      <c r="F501" t="s">
        <v>4178</v>
      </c>
      <c r="G501" t="s">
        <v>4179</v>
      </c>
    </row>
    <row r="502" spans="1:12" hidden="1" x14ac:dyDescent="0.2">
      <c r="A502" s="235" t="s">
        <v>4180</v>
      </c>
      <c r="B502" t="s">
        <v>4181</v>
      </c>
    </row>
    <row r="503" spans="1:12" hidden="1" x14ac:dyDescent="0.2">
      <c r="A503" s="235" t="s">
        <v>4182</v>
      </c>
      <c r="B503" t="s">
        <v>4183</v>
      </c>
      <c r="D503">
        <v>0</v>
      </c>
      <c r="E503">
        <v>0</v>
      </c>
      <c r="F503" t="s">
        <v>4184</v>
      </c>
      <c r="G503" t="s">
        <v>4185</v>
      </c>
    </row>
    <row r="504" spans="1:12" hidden="1" x14ac:dyDescent="0.2">
      <c r="A504" s="235" t="s">
        <v>4186</v>
      </c>
      <c r="B504" t="s">
        <v>4187</v>
      </c>
      <c r="D504" t="s">
        <v>4188</v>
      </c>
      <c r="E504">
        <v>0</v>
      </c>
      <c r="F504" t="s">
        <v>4189</v>
      </c>
      <c r="G504" t="s">
        <v>4190</v>
      </c>
    </row>
    <row r="505" spans="1:12" hidden="1" x14ac:dyDescent="0.2">
      <c r="A505" s="235" t="s">
        <v>4191</v>
      </c>
      <c r="B505" t="s">
        <v>4192</v>
      </c>
      <c r="D505" t="s">
        <v>4193</v>
      </c>
      <c r="E505">
        <v>0</v>
      </c>
      <c r="F505" t="s">
        <v>4194</v>
      </c>
      <c r="G505" t="s">
        <v>4195</v>
      </c>
    </row>
    <row r="506" spans="1:12" hidden="1" x14ac:dyDescent="0.2">
      <c r="A506" s="235" t="s">
        <v>4196</v>
      </c>
      <c r="B506" t="s">
        <v>4197</v>
      </c>
    </row>
    <row r="507" spans="1:12" hidden="1" x14ac:dyDescent="0.2">
      <c r="A507" s="235" t="s">
        <v>4198</v>
      </c>
      <c r="B507" t="s">
        <v>4199</v>
      </c>
      <c r="D507" t="s">
        <v>4200</v>
      </c>
      <c r="E507" t="s">
        <v>4201</v>
      </c>
      <c r="F507" t="s">
        <v>4202</v>
      </c>
      <c r="G507" t="s">
        <v>4203</v>
      </c>
      <c r="J507" t="s">
        <v>4204</v>
      </c>
      <c r="K507" t="s">
        <v>2761</v>
      </c>
    </row>
    <row r="508" spans="1:12" hidden="1" x14ac:dyDescent="0.2">
      <c r="A508" s="235" t="s">
        <v>4205</v>
      </c>
      <c r="B508" t="s">
        <v>4206</v>
      </c>
      <c r="D508">
        <v>0</v>
      </c>
      <c r="E508">
        <v>0</v>
      </c>
      <c r="F508">
        <v>0</v>
      </c>
      <c r="G508" t="s">
        <v>1750</v>
      </c>
    </row>
    <row r="509" spans="1:12" hidden="1" x14ac:dyDescent="0.2">
      <c r="A509" s="235" t="s">
        <v>4207</v>
      </c>
      <c r="B509" t="s">
        <v>4208</v>
      </c>
      <c r="D509" t="s">
        <v>4209</v>
      </c>
      <c r="E509" t="s">
        <v>4210</v>
      </c>
      <c r="F509" t="s">
        <v>4211</v>
      </c>
      <c r="G509" t="s">
        <v>4212</v>
      </c>
    </row>
    <row r="510" spans="1:12" hidden="1" x14ac:dyDescent="0.2">
      <c r="A510" s="235" t="s">
        <v>4213</v>
      </c>
      <c r="B510" t="s">
        <v>4214</v>
      </c>
    </row>
    <row r="511" spans="1:12" hidden="1" x14ac:dyDescent="0.2">
      <c r="A511" s="235" t="s">
        <v>4215</v>
      </c>
      <c r="B511" t="s">
        <v>4216</v>
      </c>
    </row>
    <row r="512" spans="1:12" hidden="1" x14ac:dyDescent="0.2">
      <c r="A512" s="235" t="s">
        <v>4217</v>
      </c>
      <c r="B512" t="s">
        <v>4218</v>
      </c>
      <c r="D512" t="s">
        <v>2380</v>
      </c>
      <c r="E512" t="s">
        <v>4219</v>
      </c>
      <c r="F512" t="s">
        <v>4220</v>
      </c>
      <c r="G512" t="s">
        <v>4221</v>
      </c>
      <c r="J512" t="s">
        <v>4222</v>
      </c>
      <c r="K512" t="s">
        <v>4223</v>
      </c>
    </row>
    <row r="513" spans="1:11" hidden="1" x14ac:dyDescent="0.2">
      <c r="A513" s="235" t="s">
        <v>4224</v>
      </c>
      <c r="B513" t="s">
        <v>4225</v>
      </c>
      <c r="C513" t="s">
        <v>4226</v>
      </c>
      <c r="D513" t="s">
        <v>4227</v>
      </c>
      <c r="E513" t="s">
        <v>4228</v>
      </c>
      <c r="F513" t="s">
        <v>4229</v>
      </c>
      <c r="G513" t="s">
        <v>4230</v>
      </c>
    </row>
    <row r="514" spans="1:11" hidden="1" x14ac:dyDescent="0.2">
      <c r="A514" s="235" t="s">
        <v>4231</v>
      </c>
      <c r="B514" t="s">
        <v>4232</v>
      </c>
      <c r="C514" t="s">
        <v>1680</v>
      </c>
      <c r="D514" t="s">
        <v>4053</v>
      </c>
      <c r="E514" t="s">
        <v>4233</v>
      </c>
      <c r="F514" t="s">
        <v>4234</v>
      </c>
      <c r="G514" t="s">
        <v>4235</v>
      </c>
    </row>
    <row r="515" spans="1:11" hidden="1" x14ac:dyDescent="0.2">
      <c r="A515" s="235" t="s">
        <v>4236</v>
      </c>
      <c r="B515" t="s">
        <v>4237</v>
      </c>
    </row>
    <row r="516" spans="1:11" hidden="1" x14ac:dyDescent="0.2">
      <c r="A516" s="235" t="s">
        <v>4238</v>
      </c>
      <c r="B516" t="s">
        <v>4239</v>
      </c>
    </row>
    <row r="517" spans="1:11" hidden="1" x14ac:dyDescent="0.2">
      <c r="A517" s="235" t="s">
        <v>4240</v>
      </c>
      <c r="B517" t="s">
        <v>4241</v>
      </c>
      <c r="D517" t="s">
        <v>4242</v>
      </c>
      <c r="E517" t="s">
        <v>4243</v>
      </c>
      <c r="F517" t="s">
        <v>4244</v>
      </c>
      <c r="G517" t="s">
        <v>4245</v>
      </c>
      <c r="J517" t="s">
        <v>4246</v>
      </c>
      <c r="K517" t="s">
        <v>4247</v>
      </c>
    </row>
    <row r="518" spans="1:11" hidden="1" x14ac:dyDescent="0.2">
      <c r="A518" s="235" t="s">
        <v>64</v>
      </c>
      <c r="B518" t="s">
        <v>4248</v>
      </c>
      <c r="C518" t="s">
        <v>1680</v>
      </c>
      <c r="D518" t="s">
        <v>2181</v>
      </c>
      <c r="E518" t="s">
        <v>4249</v>
      </c>
      <c r="F518" t="s">
        <v>4250</v>
      </c>
      <c r="G518" t="s">
        <v>4251</v>
      </c>
      <c r="H518" t="s">
        <v>4252</v>
      </c>
    </row>
    <row r="519" spans="1:11" hidden="1" x14ac:dyDescent="0.2">
      <c r="A519" s="235" t="s">
        <v>4253</v>
      </c>
      <c r="B519" t="s">
        <v>4254</v>
      </c>
      <c r="D519" t="s">
        <v>1981</v>
      </c>
      <c r="E519" t="s">
        <v>2685</v>
      </c>
      <c r="F519" t="s">
        <v>1983</v>
      </c>
      <c r="G519" t="s">
        <v>4255</v>
      </c>
      <c r="J519" t="s">
        <v>1985</v>
      </c>
      <c r="K519" t="s">
        <v>1986</v>
      </c>
    </row>
    <row r="520" spans="1:11" hidden="1" x14ac:dyDescent="0.2">
      <c r="A520" s="235" t="s">
        <v>4256</v>
      </c>
      <c r="B520" t="s">
        <v>4257</v>
      </c>
    </row>
    <row r="521" spans="1:11" hidden="1" x14ac:dyDescent="0.2">
      <c r="A521" s="235" t="s">
        <v>4258</v>
      </c>
      <c r="B521" t="s">
        <v>4259</v>
      </c>
      <c r="D521" t="s">
        <v>4260</v>
      </c>
      <c r="E521" t="s">
        <v>4261</v>
      </c>
      <c r="F521" t="s">
        <v>4262</v>
      </c>
      <c r="G521" t="s">
        <v>4263</v>
      </c>
      <c r="J521" t="s">
        <v>4264</v>
      </c>
      <c r="K521" t="s">
        <v>4265</v>
      </c>
    </row>
    <row r="522" spans="1:11" hidden="1" x14ac:dyDescent="0.2">
      <c r="A522" s="235" t="s">
        <v>4258</v>
      </c>
      <c r="B522" t="s">
        <v>4266</v>
      </c>
      <c r="C522" t="s">
        <v>2062</v>
      </c>
      <c r="D522" t="s">
        <v>4260</v>
      </c>
      <c r="E522" t="s">
        <v>4267</v>
      </c>
      <c r="F522" t="s">
        <v>4262</v>
      </c>
      <c r="G522" t="s">
        <v>4263</v>
      </c>
      <c r="I522" t="s">
        <v>2071</v>
      </c>
    </row>
    <row r="523" spans="1:11" hidden="1" x14ac:dyDescent="0.2">
      <c r="A523" s="235" t="s">
        <v>4258</v>
      </c>
      <c r="B523" t="s">
        <v>4266</v>
      </c>
      <c r="C523" t="s">
        <v>1705</v>
      </c>
      <c r="D523" t="s">
        <v>3263</v>
      </c>
      <c r="E523" t="s">
        <v>3264</v>
      </c>
      <c r="F523" t="s">
        <v>4268</v>
      </c>
      <c r="G523" t="s">
        <v>4265</v>
      </c>
      <c r="I523" t="s">
        <v>4269</v>
      </c>
    </row>
    <row r="524" spans="1:11" hidden="1" x14ac:dyDescent="0.2">
      <c r="A524" s="235" t="s">
        <v>4270</v>
      </c>
      <c r="B524" t="s">
        <v>4271</v>
      </c>
      <c r="C524" t="s">
        <v>1680</v>
      </c>
      <c r="D524" t="s">
        <v>4272</v>
      </c>
      <c r="E524" t="s">
        <v>4273</v>
      </c>
      <c r="F524" t="s">
        <v>4274</v>
      </c>
      <c r="G524" t="s">
        <v>4275</v>
      </c>
      <c r="H524" t="s">
        <v>4276</v>
      </c>
      <c r="J524" t="s">
        <v>4277</v>
      </c>
      <c r="K524" t="s">
        <v>4278</v>
      </c>
    </row>
    <row r="525" spans="1:11" hidden="1" x14ac:dyDescent="0.2">
      <c r="A525" s="235" t="s">
        <v>4279</v>
      </c>
      <c r="B525" t="s">
        <v>4280</v>
      </c>
      <c r="D525" t="s">
        <v>4281</v>
      </c>
      <c r="E525">
        <v>0</v>
      </c>
      <c r="F525" t="s">
        <v>4282</v>
      </c>
      <c r="G525" t="s">
        <v>4283</v>
      </c>
    </row>
    <row r="526" spans="1:11" hidden="1" x14ac:dyDescent="0.2">
      <c r="A526" s="235" t="s">
        <v>4284</v>
      </c>
      <c r="B526" t="s">
        <v>4285</v>
      </c>
      <c r="C526" t="s">
        <v>1680</v>
      </c>
      <c r="D526" t="s">
        <v>3023</v>
      </c>
      <c r="E526" t="s">
        <v>4286</v>
      </c>
      <c r="F526" t="s">
        <v>4287</v>
      </c>
      <c r="G526" t="s">
        <v>4288</v>
      </c>
      <c r="H526" t="s">
        <v>4289</v>
      </c>
    </row>
    <row r="527" spans="1:11" hidden="1" x14ac:dyDescent="0.2">
      <c r="A527" s="235" t="s">
        <v>4290</v>
      </c>
      <c r="B527" t="s">
        <v>4291</v>
      </c>
      <c r="C527" t="s">
        <v>1680</v>
      </c>
      <c r="D527" t="s">
        <v>4292</v>
      </c>
      <c r="E527" t="s">
        <v>4293</v>
      </c>
      <c r="F527" t="s">
        <v>4294</v>
      </c>
      <c r="G527" t="s">
        <v>4295</v>
      </c>
      <c r="H527" t="s">
        <v>4296</v>
      </c>
    </row>
    <row r="528" spans="1:11" hidden="1" x14ac:dyDescent="0.2">
      <c r="A528" s="235" t="s">
        <v>4297</v>
      </c>
      <c r="B528" t="s">
        <v>4298</v>
      </c>
      <c r="D528" t="s">
        <v>3243</v>
      </c>
      <c r="E528" t="s">
        <v>4299</v>
      </c>
      <c r="F528" t="s">
        <v>4300</v>
      </c>
      <c r="G528" t="s">
        <v>4301</v>
      </c>
    </row>
    <row r="529" spans="1:12" hidden="1" x14ac:dyDescent="0.2">
      <c r="A529" s="235" t="s">
        <v>64</v>
      </c>
      <c r="B529" t="s">
        <v>4302</v>
      </c>
      <c r="C529" t="s">
        <v>1680</v>
      </c>
      <c r="D529" t="s">
        <v>4303</v>
      </c>
      <c r="E529" t="s">
        <v>4304</v>
      </c>
      <c r="F529" t="s">
        <v>4305</v>
      </c>
      <c r="G529" t="s">
        <v>4306</v>
      </c>
      <c r="H529" t="s">
        <v>4307</v>
      </c>
      <c r="I529" t="s">
        <v>4308</v>
      </c>
    </row>
    <row r="530" spans="1:12" hidden="1" x14ac:dyDescent="0.2">
      <c r="A530" s="235">
        <v>121071</v>
      </c>
      <c r="B530" t="s">
        <v>4309</v>
      </c>
    </row>
    <row r="531" spans="1:12" hidden="1" x14ac:dyDescent="0.2">
      <c r="A531" s="235" t="s">
        <v>4310</v>
      </c>
      <c r="B531" t="s">
        <v>4311</v>
      </c>
      <c r="C531" t="s">
        <v>1680</v>
      </c>
    </row>
    <row r="532" spans="1:12" hidden="1" x14ac:dyDescent="0.2">
      <c r="A532" s="235" t="s">
        <v>4312</v>
      </c>
      <c r="B532" t="s">
        <v>4313</v>
      </c>
      <c r="D532" t="s">
        <v>4314</v>
      </c>
      <c r="E532">
        <v>0</v>
      </c>
      <c r="F532" t="s">
        <v>4315</v>
      </c>
      <c r="G532" t="s">
        <v>4316</v>
      </c>
    </row>
    <row r="533" spans="1:12" hidden="1" x14ac:dyDescent="0.2">
      <c r="A533" s="235" t="s">
        <v>4317</v>
      </c>
      <c r="B533" t="s">
        <v>4318</v>
      </c>
      <c r="C533" t="s">
        <v>1680</v>
      </c>
      <c r="D533" t="s">
        <v>2181</v>
      </c>
      <c r="F533" t="s">
        <v>4305</v>
      </c>
      <c r="G533" t="s">
        <v>4306</v>
      </c>
      <c r="H533" t="s">
        <v>4307</v>
      </c>
    </row>
    <row r="534" spans="1:12" hidden="1" x14ac:dyDescent="0.2">
      <c r="A534" s="235" t="s">
        <v>4319</v>
      </c>
      <c r="B534" t="s">
        <v>4320</v>
      </c>
      <c r="D534" t="s">
        <v>4321</v>
      </c>
      <c r="E534" t="s">
        <v>4322</v>
      </c>
      <c r="F534" t="s">
        <v>4323</v>
      </c>
      <c r="G534" t="s">
        <v>4324</v>
      </c>
    </row>
    <row r="535" spans="1:12" hidden="1" x14ac:dyDescent="0.2">
      <c r="A535" s="235" t="s">
        <v>4325</v>
      </c>
      <c r="B535" t="s">
        <v>4326</v>
      </c>
      <c r="D535">
        <v>0</v>
      </c>
      <c r="E535">
        <v>0</v>
      </c>
      <c r="F535" t="s">
        <v>4327</v>
      </c>
      <c r="G535" t="s">
        <v>4328</v>
      </c>
    </row>
    <row r="536" spans="1:12" hidden="1" x14ac:dyDescent="0.2">
      <c r="A536" s="235">
        <v>120923</v>
      </c>
      <c r="B536" t="s">
        <v>4329</v>
      </c>
      <c r="C536" t="s">
        <v>1759</v>
      </c>
      <c r="D536" t="s">
        <v>2313</v>
      </c>
      <c r="E536" t="s">
        <v>4330</v>
      </c>
      <c r="F536" t="s">
        <v>4262</v>
      </c>
      <c r="G536" t="s">
        <v>4263</v>
      </c>
      <c r="J536" t="s">
        <v>4331</v>
      </c>
      <c r="K536" t="s">
        <v>4332</v>
      </c>
      <c r="L536" t="s">
        <v>4333</v>
      </c>
    </row>
    <row r="537" spans="1:12" hidden="1" x14ac:dyDescent="0.2">
      <c r="A537" s="235">
        <v>120923</v>
      </c>
      <c r="B537" t="s">
        <v>4329</v>
      </c>
      <c r="C537" t="s">
        <v>3738</v>
      </c>
      <c r="D537" t="s">
        <v>2181</v>
      </c>
      <c r="E537" t="s">
        <v>4334</v>
      </c>
      <c r="F537" t="s">
        <v>4331</v>
      </c>
      <c r="G537" t="s">
        <v>4332</v>
      </c>
      <c r="H537" t="s">
        <v>4333</v>
      </c>
      <c r="J537" t="s">
        <v>4335</v>
      </c>
      <c r="K537" t="s">
        <v>4336</v>
      </c>
    </row>
    <row r="538" spans="1:12" hidden="1" x14ac:dyDescent="0.2">
      <c r="A538" s="235" t="s">
        <v>4337</v>
      </c>
      <c r="B538" t="s">
        <v>4338</v>
      </c>
      <c r="F538" t="s">
        <v>4339</v>
      </c>
      <c r="G538" t="s">
        <v>4340</v>
      </c>
      <c r="H538" t="s">
        <v>4341</v>
      </c>
    </row>
    <row r="539" spans="1:12" hidden="1" x14ac:dyDescent="0.2">
      <c r="A539" s="235" t="s">
        <v>4342</v>
      </c>
      <c r="B539" t="s">
        <v>4343</v>
      </c>
    </row>
    <row r="540" spans="1:12" hidden="1" x14ac:dyDescent="0.2">
      <c r="A540" s="235" t="s">
        <v>64</v>
      </c>
      <c r="B540" t="s">
        <v>4344</v>
      </c>
      <c r="C540" t="s">
        <v>1680</v>
      </c>
      <c r="D540" t="s">
        <v>4345</v>
      </c>
      <c r="E540" t="s">
        <v>4346</v>
      </c>
      <c r="F540" t="s">
        <v>4347</v>
      </c>
      <c r="G540" t="s">
        <v>4348</v>
      </c>
      <c r="H540" t="s">
        <v>4349</v>
      </c>
      <c r="J540" t="s">
        <v>4350</v>
      </c>
      <c r="K540" t="s">
        <v>4351</v>
      </c>
      <c r="L540" t="s">
        <v>4352</v>
      </c>
    </row>
    <row r="541" spans="1:12" hidden="1" x14ac:dyDescent="0.2">
      <c r="A541" s="235" t="s">
        <v>4353</v>
      </c>
      <c r="B541" t="s">
        <v>4354</v>
      </c>
      <c r="C541" t="s">
        <v>1680</v>
      </c>
      <c r="D541" t="s">
        <v>4355</v>
      </c>
      <c r="E541" t="s">
        <v>4356</v>
      </c>
      <c r="F541" t="s">
        <v>4357</v>
      </c>
      <c r="G541" t="s">
        <v>4358</v>
      </c>
    </row>
    <row r="542" spans="1:12" hidden="1" x14ac:dyDescent="0.2">
      <c r="A542" s="235" t="s">
        <v>4359</v>
      </c>
      <c r="B542" t="s">
        <v>4360</v>
      </c>
    </row>
    <row r="543" spans="1:12" hidden="1" x14ac:dyDescent="0.2">
      <c r="A543" s="235" t="s">
        <v>4361</v>
      </c>
      <c r="B543" t="s">
        <v>4362</v>
      </c>
      <c r="C543" t="s">
        <v>1802</v>
      </c>
      <c r="D543" t="s">
        <v>4363</v>
      </c>
      <c r="E543" t="s">
        <v>1438</v>
      </c>
      <c r="F543" t="s">
        <v>4364</v>
      </c>
      <c r="G543" t="s">
        <v>4365</v>
      </c>
      <c r="H543" t="s">
        <v>4366</v>
      </c>
    </row>
    <row r="544" spans="1:12" hidden="1" x14ac:dyDescent="0.2">
      <c r="A544" s="235" t="s">
        <v>4367</v>
      </c>
      <c r="B544" t="s">
        <v>4368</v>
      </c>
      <c r="F544" t="s">
        <v>4369</v>
      </c>
      <c r="G544" t="s">
        <v>4370</v>
      </c>
      <c r="H544" t="s">
        <v>4371</v>
      </c>
    </row>
    <row r="545" spans="1:11" hidden="1" x14ac:dyDescent="0.2">
      <c r="A545" s="235" t="s">
        <v>4372</v>
      </c>
      <c r="B545" t="s">
        <v>4373</v>
      </c>
    </row>
    <row r="546" spans="1:11" hidden="1" x14ac:dyDescent="0.2">
      <c r="A546" s="235" t="s">
        <v>4374</v>
      </c>
      <c r="B546" t="s">
        <v>4375</v>
      </c>
    </row>
    <row r="547" spans="1:11" hidden="1" x14ac:dyDescent="0.2">
      <c r="A547" s="235" t="s">
        <v>4376</v>
      </c>
      <c r="B547" t="s">
        <v>4377</v>
      </c>
    </row>
    <row r="548" spans="1:11" hidden="1" x14ac:dyDescent="0.2">
      <c r="A548" s="235" t="s">
        <v>64</v>
      </c>
      <c r="B548" t="s">
        <v>4378</v>
      </c>
      <c r="C548" t="s">
        <v>1736</v>
      </c>
      <c r="D548" t="s">
        <v>4379</v>
      </c>
      <c r="E548" t="s">
        <v>4380</v>
      </c>
      <c r="F548" t="s">
        <v>4381</v>
      </c>
      <c r="G548" t="s">
        <v>4382</v>
      </c>
      <c r="H548" t="s">
        <v>4383</v>
      </c>
    </row>
    <row r="549" spans="1:11" hidden="1" x14ac:dyDescent="0.2">
      <c r="A549" s="235" t="s">
        <v>4384</v>
      </c>
      <c r="B549" t="s">
        <v>4385</v>
      </c>
    </row>
    <row r="550" spans="1:11" hidden="1" x14ac:dyDescent="0.2">
      <c r="A550" s="235" t="s">
        <v>4386</v>
      </c>
      <c r="B550" t="s">
        <v>4387</v>
      </c>
      <c r="D550" t="s">
        <v>4388</v>
      </c>
      <c r="E550" t="s">
        <v>4389</v>
      </c>
      <c r="F550" t="s">
        <v>4390</v>
      </c>
      <c r="G550" t="s">
        <v>4391</v>
      </c>
    </row>
    <row r="551" spans="1:11" hidden="1" x14ac:dyDescent="0.2">
      <c r="A551" s="235" t="s">
        <v>4392</v>
      </c>
      <c r="B551" t="s">
        <v>4393</v>
      </c>
      <c r="C551" t="s">
        <v>3868</v>
      </c>
      <c r="D551" t="s">
        <v>4394</v>
      </c>
      <c r="F551" t="s">
        <v>4395</v>
      </c>
      <c r="G551" t="s">
        <v>4396</v>
      </c>
      <c r="H551" t="s">
        <v>4397</v>
      </c>
    </row>
    <row r="552" spans="1:11" hidden="1" x14ac:dyDescent="0.2">
      <c r="A552" s="235" t="s">
        <v>64</v>
      </c>
      <c r="B552" t="s">
        <v>4398</v>
      </c>
      <c r="C552" t="s">
        <v>1680</v>
      </c>
      <c r="D552" t="s">
        <v>4399</v>
      </c>
      <c r="E552" t="s">
        <v>4400</v>
      </c>
      <c r="F552" t="s">
        <v>4401</v>
      </c>
      <c r="G552" t="s">
        <v>4402</v>
      </c>
    </row>
    <row r="553" spans="1:11" hidden="1" x14ac:dyDescent="0.2">
      <c r="A553" s="235" t="s">
        <v>4403</v>
      </c>
      <c r="B553" t="s">
        <v>4404</v>
      </c>
      <c r="D553" t="s">
        <v>4405</v>
      </c>
      <c r="E553" t="s">
        <v>4406</v>
      </c>
      <c r="F553" t="s">
        <v>4407</v>
      </c>
      <c r="G553" t="s">
        <v>4408</v>
      </c>
    </row>
    <row r="554" spans="1:11" hidden="1" x14ac:dyDescent="0.2">
      <c r="A554" s="235" t="s">
        <v>4403</v>
      </c>
      <c r="B554" t="s">
        <v>4409</v>
      </c>
    </row>
    <row r="555" spans="1:11" hidden="1" x14ac:dyDescent="0.2">
      <c r="A555" s="235" t="s">
        <v>4410</v>
      </c>
      <c r="B555" t="s">
        <v>4411</v>
      </c>
      <c r="C555" t="s">
        <v>1680</v>
      </c>
      <c r="D555" t="s">
        <v>4412</v>
      </c>
      <c r="E555" t="s">
        <v>4081</v>
      </c>
      <c r="F555" t="s">
        <v>4413</v>
      </c>
      <c r="G555" t="s">
        <v>4083</v>
      </c>
      <c r="H555" t="s">
        <v>4414</v>
      </c>
    </row>
    <row r="556" spans="1:11" hidden="1" x14ac:dyDescent="0.2">
      <c r="A556" s="235" t="s">
        <v>4415</v>
      </c>
      <c r="B556" t="s">
        <v>4416</v>
      </c>
      <c r="C556" t="s">
        <v>1680</v>
      </c>
      <c r="D556" t="s">
        <v>4417</v>
      </c>
      <c r="E556" t="s">
        <v>4418</v>
      </c>
      <c r="F556" t="s">
        <v>4419</v>
      </c>
      <c r="G556" t="s">
        <v>4420</v>
      </c>
      <c r="H556" t="s">
        <v>4421</v>
      </c>
      <c r="J556" t="s">
        <v>4422</v>
      </c>
      <c r="K556" t="s">
        <v>4423</v>
      </c>
    </row>
    <row r="557" spans="1:11" hidden="1" x14ac:dyDescent="0.2">
      <c r="A557" s="235" t="s">
        <v>4424</v>
      </c>
      <c r="B557" t="s">
        <v>4425</v>
      </c>
      <c r="F557" t="s">
        <v>4426</v>
      </c>
      <c r="G557" t="s">
        <v>4427</v>
      </c>
      <c r="H557" t="s">
        <v>4428</v>
      </c>
    </row>
    <row r="558" spans="1:11" hidden="1" x14ac:dyDescent="0.2">
      <c r="A558" s="235" t="s">
        <v>4429</v>
      </c>
      <c r="B558" t="s">
        <v>4430</v>
      </c>
      <c r="D558" t="s">
        <v>4431</v>
      </c>
      <c r="E558" t="s">
        <v>4432</v>
      </c>
      <c r="F558" t="s">
        <v>4433</v>
      </c>
      <c r="G558" t="s">
        <v>4434</v>
      </c>
    </row>
    <row r="559" spans="1:11" hidden="1" x14ac:dyDescent="0.2">
      <c r="A559" s="235" t="s">
        <v>4429</v>
      </c>
      <c r="B559" t="s">
        <v>4435</v>
      </c>
      <c r="C559" t="s">
        <v>1736</v>
      </c>
      <c r="D559" t="s">
        <v>4436</v>
      </c>
      <c r="E559" t="s">
        <v>4437</v>
      </c>
      <c r="F559" t="s">
        <v>4438</v>
      </c>
      <c r="G559" t="s">
        <v>4439</v>
      </c>
      <c r="H559" t="s">
        <v>4440</v>
      </c>
    </row>
    <row r="560" spans="1:11" hidden="1" x14ac:dyDescent="0.2">
      <c r="A560" s="235" t="s">
        <v>64</v>
      </c>
      <c r="B560" t="s">
        <v>4441</v>
      </c>
      <c r="D560" t="s">
        <v>1736</v>
      </c>
    </row>
    <row r="561" spans="1:12" hidden="1" x14ac:dyDescent="0.2">
      <c r="A561" s="235" t="s">
        <v>4442</v>
      </c>
      <c r="B561" t="s">
        <v>4443</v>
      </c>
    </row>
    <row r="562" spans="1:12" hidden="1" x14ac:dyDescent="0.2">
      <c r="A562" s="235" t="s">
        <v>4444</v>
      </c>
      <c r="B562" t="s">
        <v>4445</v>
      </c>
      <c r="C562" t="s">
        <v>1680</v>
      </c>
      <c r="D562" t="s">
        <v>4446</v>
      </c>
      <c r="E562" t="s">
        <v>4447</v>
      </c>
      <c r="F562" t="s">
        <v>4448</v>
      </c>
      <c r="G562" t="s">
        <v>4449</v>
      </c>
      <c r="H562" t="s">
        <v>4450</v>
      </c>
      <c r="I562" t="s">
        <v>4451</v>
      </c>
    </row>
    <row r="563" spans="1:12" hidden="1" x14ac:dyDescent="0.2">
      <c r="A563" s="235" t="s">
        <v>4452</v>
      </c>
      <c r="B563" t="s">
        <v>4453</v>
      </c>
      <c r="C563" t="s">
        <v>1680</v>
      </c>
      <c r="D563" t="s">
        <v>4454</v>
      </c>
      <c r="E563" t="s">
        <v>4455</v>
      </c>
      <c r="F563" t="s">
        <v>4456</v>
      </c>
      <c r="G563" t="s">
        <v>4457</v>
      </c>
      <c r="H563" t="s">
        <v>4458</v>
      </c>
    </row>
    <row r="564" spans="1:12" hidden="1" x14ac:dyDescent="0.2">
      <c r="A564" s="235" t="s">
        <v>4459</v>
      </c>
      <c r="B564" t="s">
        <v>4460</v>
      </c>
    </row>
    <row r="565" spans="1:12" hidden="1" x14ac:dyDescent="0.2">
      <c r="A565" s="235" t="s">
        <v>4461</v>
      </c>
      <c r="B565" t="s">
        <v>4462</v>
      </c>
      <c r="C565" t="s">
        <v>1680</v>
      </c>
      <c r="D565" t="s">
        <v>2181</v>
      </c>
      <c r="E565" t="s">
        <v>4463</v>
      </c>
      <c r="F565" t="s">
        <v>4464</v>
      </c>
      <c r="G565" t="s">
        <v>4465</v>
      </c>
      <c r="H565" t="s">
        <v>4466</v>
      </c>
      <c r="I565" t="s">
        <v>4467</v>
      </c>
      <c r="J565" t="s">
        <v>4468</v>
      </c>
      <c r="K565" t="s">
        <v>4469</v>
      </c>
    </row>
    <row r="566" spans="1:12" hidden="1" x14ac:dyDescent="0.2">
      <c r="A566" s="235" t="s">
        <v>4470</v>
      </c>
      <c r="B566" t="s">
        <v>4471</v>
      </c>
      <c r="D566" t="s">
        <v>4472</v>
      </c>
      <c r="E566">
        <v>0</v>
      </c>
      <c r="F566" t="s">
        <v>4473</v>
      </c>
      <c r="G566" t="s">
        <v>4474</v>
      </c>
    </row>
    <row r="567" spans="1:12" hidden="1" x14ac:dyDescent="0.2">
      <c r="A567" s="235">
        <v>121063</v>
      </c>
      <c r="B567" t="s">
        <v>4475</v>
      </c>
      <c r="D567" t="s">
        <v>4476</v>
      </c>
      <c r="E567" t="s">
        <v>4477</v>
      </c>
      <c r="F567" t="s">
        <v>4478</v>
      </c>
      <c r="G567" t="s">
        <v>4479</v>
      </c>
    </row>
    <row r="568" spans="1:12" hidden="1" x14ac:dyDescent="0.2">
      <c r="A568" s="235" t="s">
        <v>4480</v>
      </c>
      <c r="B568" t="s">
        <v>4481</v>
      </c>
    </row>
    <row r="569" spans="1:12" hidden="1" x14ac:dyDescent="0.2">
      <c r="A569" s="235" t="s">
        <v>4482</v>
      </c>
      <c r="B569" t="s">
        <v>4483</v>
      </c>
      <c r="C569" t="s">
        <v>1680</v>
      </c>
      <c r="D569" t="s">
        <v>4484</v>
      </c>
      <c r="E569" t="s">
        <v>4485</v>
      </c>
      <c r="F569" t="s">
        <v>4486</v>
      </c>
      <c r="G569" t="s">
        <v>4487</v>
      </c>
      <c r="H569" t="s">
        <v>4488</v>
      </c>
      <c r="J569" t="s">
        <v>4489</v>
      </c>
      <c r="K569" t="s">
        <v>4490</v>
      </c>
      <c r="L569" t="s">
        <v>4491</v>
      </c>
    </row>
    <row r="570" spans="1:12" hidden="1" x14ac:dyDescent="0.2">
      <c r="A570" s="235" t="s">
        <v>4492</v>
      </c>
      <c r="B570" t="s">
        <v>4493</v>
      </c>
      <c r="C570" t="s">
        <v>1680</v>
      </c>
    </row>
    <row r="571" spans="1:12" hidden="1" x14ac:dyDescent="0.2">
      <c r="A571" s="235" t="s">
        <v>4494</v>
      </c>
      <c r="B571" t="s">
        <v>4495</v>
      </c>
      <c r="D571" t="s">
        <v>4496</v>
      </c>
      <c r="E571" t="s">
        <v>4497</v>
      </c>
      <c r="F571" t="s">
        <v>4498</v>
      </c>
      <c r="G571" t="s">
        <v>4499</v>
      </c>
    </row>
    <row r="572" spans="1:12" hidden="1" x14ac:dyDescent="0.2">
      <c r="A572" s="235" t="s">
        <v>4494</v>
      </c>
      <c r="B572" t="s">
        <v>4500</v>
      </c>
      <c r="C572" t="s">
        <v>1680</v>
      </c>
      <c r="D572" t="s">
        <v>4496</v>
      </c>
      <c r="E572" t="s">
        <v>4501</v>
      </c>
      <c r="F572" t="s">
        <v>4498</v>
      </c>
      <c r="G572" t="s">
        <v>4499</v>
      </c>
      <c r="H572" t="s">
        <v>4502</v>
      </c>
      <c r="J572" t="s">
        <v>4503</v>
      </c>
      <c r="K572" t="s">
        <v>4504</v>
      </c>
      <c r="L572" t="s">
        <v>4505</v>
      </c>
    </row>
    <row r="573" spans="1:12" hidden="1" x14ac:dyDescent="0.2">
      <c r="A573" s="235" t="s">
        <v>4506</v>
      </c>
      <c r="B573" t="s">
        <v>4507</v>
      </c>
      <c r="D573" t="s">
        <v>4508</v>
      </c>
      <c r="E573" t="s">
        <v>4509</v>
      </c>
      <c r="F573" t="s">
        <v>4510</v>
      </c>
      <c r="G573" t="s">
        <v>4511</v>
      </c>
      <c r="H573" t="s">
        <v>4512</v>
      </c>
      <c r="I573" t="s">
        <v>4513</v>
      </c>
    </row>
    <row r="574" spans="1:12" hidden="1" x14ac:dyDescent="0.2">
      <c r="A574" s="235" t="s">
        <v>4514</v>
      </c>
      <c r="B574" t="s">
        <v>4515</v>
      </c>
      <c r="C574" t="s">
        <v>1736</v>
      </c>
      <c r="D574" t="s">
        <v>4516</v>
      </c>
      <c r="E574" t="s">
        <v>4517</v>
      </c>
      <c r="F574" t="s">
        <v>4518</v>
      </c>
      <c r="G574" t="s">
        <v>4519</v>
      </c>
    </row>
    <row r="575" spans="1:12" hidden="1" x14ac:dyDescent="0.2">
      <c r="A575" s="235" t="s">
        <v>4520</v>
      </c>
      <c r="B575" t="s">
        <v>4521</v>
      </c>
      <c r="C575" t="s">
        <v>1705</v>
      </c>
      <c r="D575" t="s">
        <v>4522</v>
      </c>
      <c r="E575" t="s">
        <v>4523</v>
      </c>
      <c r="F575" t="s">
        <v>4524</v>
      </c>
      <c r="G575" t="s">
        <v>4525</v>
      </c>
      <c r="H575" t="s">
        <v>4526</v>
      </c>
      <c r="J575" t="s">
        <v>4527</v>
      </c>
      <c r="K575" t="s">
        <v>4528</v>
      </c>
    </row>
    <row r="576" spans="1:12" hidden="1" x14ac:dyDescent="0.2">
      <c r="A576" s="235" t="s">
        <v>64</v>
      </c>
      <c r="B576" t="s">
        <v>4529</v>
      </c>
      <c r="D576" t="s">
        <v>4530</v>
      </c>
      <c r="E576" t="s">
        <v>4531</v>
      </c>
      <c r="F576" t="s">
        <v>1983</v>
      </c>
      <c r="G576" t="s">
        <v>1984</v>
      </c>
    </row>
    <row r="577" spans="1:11" hidden="1" x14ac:dyDescent="0.2">
      <c r="A577" s="235" t="s">
        <v>4532</v>
      </c>
      <c r="B577" t="s">
        <v>4533</v>
      </c>
      <c r="C577" t="s">
        <v>1680</v>
      </c>
    </row>
    <row r="578" spans="1:11" hidden="1" x14ac:dyDescent="0.2">
      <c r="A578" s="235" t="s">
        <v>4534</v>
      </c>
      <c r="B578" t="s">
        <v>4535</v>
      </c>
      <c r="F578" t="s">
        <v>4536</v>
      </c>
      <c r="G578" t="s">
        <v>4537</v>
      </c>
      <c r="H578" t="s">
        <v>4538</v>
      </c>
      <c r="J578" t="s">
        <v>4539</v>
      </c>
      <c r="K578" t="s">
        <v>4540</v>
      </c>
    </row>
    <row r="579" spans="1:11" hidden="1" x14ac:dyDescent="0.2">
      <c r="A579" s="235" t="s">
        <v>4541</v>
      </c>
      <c r="B579" t="s">
        <v>4542</v>
      </c>
      <c r="C579" t="s">
        <v>1736</v>
      </c>
    </row>
    <row r="580" spans="1:11" hidden="1" x14ac:dyDescent="0.2">
      <c r="A580" s="235" t="s">
        <v>4543</v>
      </c>
      <c r="B580" t="s">
        <v>4544</v>
      </c>
      <c r="C580" t="s">
        <v>1680</v>
      </c>
      <c r="D580" t="s">
        <v>4545</v>
      </c>
      <c r="E580" t="s">
        <v>4546</v>
      </c>
      <c r="F580" t="s">
        <v>4547</v>
      </c>
      <c r="G580" t="s">
        <v>4548</v>
      </c>
      <c r="J580" t="s">
        <v>4549</v>
      </c>
      <c r="K580" t="s">
        <v>4550</v>
      </c>
    </row>
    <row r="581" spans="1:11" hidden="1" x14ac:dyDescent="0.2">
      <c r="A581" s="235" t="s">
        <v>4551</v>
      </c>
      <c r="B581" t="s">
        <v>4552</v>
      </c>
      <c r="D581" t="s">
        <v>4553</v>
      </c>
      <c r="E581">
        <v>0</v>
      </c>
      <c r="F581" t="s">
        <v>4554</v>
      </c>
      <c r="G581" t="s">
        <v>4555</v>
      </c>
    </row>
    <row r="582" spans="1:11" hidden="1" x14ac:dyDescent="0.2">
      <c r="A582" s="235" t="s">
        <v>4556</v>
      </c>
      <c r="B582" t="s">
        <v>4557</v>
      </c>
      <c r="C582" t="s">
        <v>1680</v>
      </c>
      <c r="D582" t="s">
        <v>4558</v>
      </c>
      <c r="E582" t="s">
        <v>4559</v>
      </c>
      <c r="F582" t="s">
        <v>4560</v>
      </c>
      <c r="G582" t="s">
        <v>4561</v>
      </c>
      <c r="H582" t="s">
        <v>4562</v>
      </c>
    </row>
    <row r="583" spans="1:11" hidden="1" x14ac:dyDescent="0.2">
      <c r="A583" s="235" t="s">
        <v>4563</v>
      </c>
      <c r="B583" t="s">
        <v>4564</v>
      </c>
      <c r="C583" t="s">
        <v>1736</v>
      </c>
      <c r="D583" t="s">
        <v>4565</v>
      </c>
      <c r="E583" t="s">
        <v>4346</v>
      </c>
      <c r="F583" t="s">
        <v>4566</v>
      </c>
      <c r="G583" t="s">
        <v>4567</v>
      </c>
      <c r="H583" t="s">
        <v>4568</v>
      </c>
    </row>
    <row r="584" spans="1:11" hidden="1" x14ac:dyDescent="0.2">
      <c r="A584" s="235" t="s">
        <v>4569</v>
      </c>
      <c r="B584" t="s">
        <v>4570</v>
      </c>
      <c r="D584" t="s">
        <v>4571</v>
      </c>
      <c r="E584" t="s">
        <v>4572</v>
      </c>
      <c r="F584" t="s">
        <v>4573</v>
      </c>
      <c r="G584" t="s">
        <v>4574</v>
      </c>
    </row>
    <row r="585" spans="1:11" hidden="1" x14ac:dyDescent="0.2">
      <c r="A585" s="235" t="s">
        <v>4575</v>
      </c>
      <c r="B585" t="s">
        <v>4576</v>
      </c>
      <c r="C585" t="s">
        <v>1802</v>
      </c>
      <c r="E585" t="s">
        <v>4577</v>
      </c>
      <c r="F585" t="s">
        <v>4578</v>
      </c>
      <c r="G585" t="s">
        <v>4579</v>
      </c>
      <c r="H585" t="s">
        <v>4580</v>
      </c>
    </row>
    <row r="586" spans="1:11" hidden="1" x14ac:dyDescent="0.2">
      <c r="A586" s="235">
        <v>121304</v>
      </c>
      <c r="B586" t="s">
        <v>4581</v>
      </c>
      <c r="D586" t="s">
        <v>4582</v>
      </c>
      <c r="E586" t="s">
        <v>4583</v>
      </c>
      <c r="F586" t="s">
        <v>4584</v>
      </c>
      <c r="G586" t="s">
        <v>4585</v>
      </c>
    </row>
    <row r="587" spans="1:11" hidden="1" x14ac:dyDescent="0.2">
      <c r="A587" s="235" t="s">
        <v>4586</v>
      </c>
      <c r="B587" t="s">
        <v>4587</v>
      </c>
      <c r="D587">
        <v>0</v>
      </c>
      <c r="E587">
        <v>0</v>
      </c>
    </row>
    <row r="588" spans="1:11" hidden="1" x14ac:dyDescent="0.2">
      <c r="A588" s="235" t="s">
        <v>4588</v>
      </c>
      <c r="B588" t="s">
        <v>4589</v>
      </c>
    </row>
    <row r="589" spans="1:11" hidden="1" x14ac:dyDescent="0.2">
      <c r="A589" s="235" t="s">
        <v>4590</v>
      </c>
      <c r="B589" t="s">
        <v>4591</v>
      </c>
    </row>
    <row r="590" spans="1:11" hidden="1" x14ac:dyDescent="0.2">
      <c r="A590" s="235" t="s">
        <v>64</v>
      </c>
      <c r="B590" t="s">
        <v>4592</v>
      </c>
      <c r="D590" t="s">
        <v>4593</v>
      </c>
      <c r="E590" t="s">
        <v>4594</v>
      </c>
      <c r="F590" t="s">
        <v>4595</v>
      </c>
      <c r="G590" t="s">
        <v>4596</v>
      </c>
    </row>
    <row r="591" spans="1:11" hidden="1" x14ac:dyDescent="0.2">
      <c r="A591" s="235" t="s">
        <v>4597</v>
      </c>
      <c r="B591" t="s">
        <v>4598</v>
      </c>
      <c r="D591" t="s">
        <v>4599</v>
      </c>
      <c r="E591" t="s">
        <v>4600</v>
      </c>
      <c r="F591" t="s">
        <v>4601</v>
      </c>
      <c r="G591" t="s">
        <v>4602</v>
      </c>
    </row>
    <row r="592" spans="1:11" hidden="1" x14ac:dyDescent="0.2">
      <c r="A592" s="235" t="s">
        <v>4603</v>
      </c>
      <c r="B592" t="s">
        <v>4604</v>
      </c>
      <c r="C592" t="s">
        <v>1680</v>
      </c>
      <c r="D592" t="s">
        <v>4605</v>
      </c>
      <c r="E592" t="s">
        <v>4606</v>
      </c>
      <c r="F592" t="s">
        <v>4607</v>
      </c>
      <c r="G592" t="s">
        <v>4608</v>
      </c>
      <c r="H592" t="s">
        <v>4609</v>
      </c>
    </row>
    <row r="593" spans="1:12" hidden="1" x14ac:dyDescent="0.2">
      <c r="A593" s="235" t="s">
        <v>4610</v>
      </c>
      <c r="B593" t="s">
        <v>4611</v>
      </c>
      <c r="C593" t="s">
        <v>1802</v>
      </c>
    </row>
    <row r="594" spans="1:12" hidden="1" x14ac:dyDescent="0.2">
      <c r="A594" s="235">
        <v>120288</v>
      </c>
      <c r="B594" t="s">
        <v>4612</v>
      </c>
      <c r="C594" t="s">
        <v>1872</v>
      </c>
    </row>
    <row r="595" spans="1:12" hidden="1" x14ac:dyDescent="0.2">
      <c r="A595" s="235" t="s">
        <v>4613</v>
      </c>
      <c r="B595" t="s">
        <v>4614</v>
      </c>
      <c r="D595" t="s">
        <v>4615</v>
      </c>
      <c r="E595" t="s">
        <v>4616</v>
      </c>
      <c r="F595" t="s">
        <v>4617</v>
      </c>
      <c r="G595" t="s">
        <v>4618</v>
      </c>
    </row>
    <row r="596" spans="1:12" hidden="1" x14ac:dyDescent="0.2">
      <c r="A596" s="235" t="s">
        <v>4613</v>
      </c>
      <c r="B596" t="s">
        <v>4619</v>
      </c>
      <c r="C596" t="s">
        <v>1680</v>
      </c>
      <c r="D596" t="s">
        <v>4615</v>
      </c>
      <c r="E596" t="s">
        <v>4616</v>
      </c>
      <c r="F596" t="s">
        <v>4620</v>
      </c>
      <c r="G596" t="s">
        <v>4618</v>
      </c>
      <c r="H596" t="s">
        <v>4621</v>
      </c>
    </row>
    <row r="597" spans="1:12" hidden="1" x14ac:dyDescent="0.2">
      <c r="A597" s="235" t="s">
        <v>4613</v>
      </c>
      <c r="B597" t="s">
        <v>4619</v>
      </c>
      <c r="C597" t="s">
        <v>1736</v>
      </c>
      <c r="D597" t="s">
        <v>4622</v>
      </c>
      <c r="E597" t="s">
        <v>4623</v>
      </c>
      <c r="F597" t="s">
        <v>4624</v>
      </c>
      <c r="G597" t="s">
        <v>4625</v>
      </c>
      <c r="H597" t="s">
        <v>4626</v>
      </c>
      <c r="J597" t="s">
        <v>4627</v>
      </c>
      <c r="K597" t="s">
        <v>4628</v>
      </c>
    </row>
    <row r="598" spans="1:12" hidden="1" x14ac:dyDescent="0.2">
      <c r="A598" s="235" t="s">
        <v>4613</v>
      </c>
      <c r="B598" t="s">
        <v>4619</v>
      </c>
      <c r="C598" t="s">
        <v>1802</v>
      </c>
      <c r="D598" t="s">
        <v>4629</v>
      </c>
      <c r="E598" t="s">
        <v>4630</v>
      </c>
      <c r="F598" t="s">
        <v>4631</v>
      </c>
      <c r="G598" t="s">
        <v>4632</v>
      </c>
      <c r="H598" t="s">
        <v>4633</v>
      </c>
    </row>
    <row r="599" spans="1:12" hidden="1" x14ac:dyDescent="0.2">
      <c r="A599" s="235" t="s">
        <v>4634</v>
      </c>
      <c r="B599" t="s">
        <v>4635</v>
      </c>
    </row>
    <row r="600" spans="1:12" hidden="1" x14ac:dyDescent="0.2">
      <c r="A600" s="235" t="s">
        <v>4636</v>
      </c>
      <c r="B600" t="s">
        <v>4637</v>
      </c>
    </row>
    <row r="601" spans="1:12" hidden="1" x14ac:dyDescent="0.2">
      <c r="A601" s="235" t="s">
        <v>4638</v>
      </c>
      <c r="B601" t="s">
        <v>4639</v>
      </c>
      <c r="D601" t="s">
        <v>4640</v>
      </c>
      <c r="E601" t="s">
        <v>4641</v>
      </c>
      <c r="F601" t="s">
        <v>4642</v>
      </c>
      <c r="G601" t="s">
        <v>4643</v>
      </c>
      <c r="J601" t="s">
        <v>4644</v>
      </c>
      <c r="K601" t="s">
        <v>4645</v>
      </c>
    </row>
    <row r="602" spans="1:12" hidden="1" x14ac:dyDescent="0.2">
      <c r="A602" s="235" t="s">
        <v>4646</v>
      </c>
      <c r="B602" t="s">
        <v>4647</v>
      </c>
      <c r="C602" t="s">
        <v>1680</v>
      </c>
      <c r="D602" t="s">
        <v>4648</v>
      </c>
      <c r="E602" t="s">
        <v>4649</v>
      </c>
      <c r="F602" t="s">
        <v>4650</v>
      </c>
      <c r="G602" t="s">
        <v>4651</v>
      </c>
      <c r="H602" t="s">
        <v>4652</v>
      </c>
      <c r="J602" t="s">
        <v>4653</v>
      </c>
      <c r="K602" t="s">
        <v>4654</v>
      </c>
      <c r="L602" t="s">
        <v>4655</v>
      </c>
    </row>
    <row r="603" spans="1:12" hidden="1" x14ac:dyDescent="0.2">
      <c r="A603" s="235" t="s">
        <v>4646</v>
      </c>
      <c r="B603" t="s">
        <v>4647</v>
      </c>
      <c r="C603" t="s">
        <v>2128</v>
      </c>
      <c r="D603" t="s">
        <v>4656</v>
      </c>
      <c r="E603" t="s">
        <v>4657</v>
      </c>
      <c r="F603" t="s">
        <v>4650</v>
      </c>
      <c r="G603" t="s">
        <v>4651</v>
      </c>
      <c r="H603" t="s">
        <v>4652</v>
      </c>
      <c r="J603" t="s">
        <v>4653</v>
      </c>
      <c r="K603" t="s">
        <v>4654</v>
      </c>
      <c r="L603" t="s">
        <v>4655</v>
      </c>
    </row>
    <row r="604" spans="1:12" hidden="1" x14ac:dyDescent="0.2">
      <c r="A604" s="235" t="s">
        <v>4658</v>
      </c>
      <c r="B604" t="s">
        <v>4659</v>
      </c>
      <c r="D604" t="s">
        <v>4660</v>
      </c>
      <c r="E604" t="s">
        <v>4661</v>
      </c>
      <c r="F604" t="s">
        <v>4277</v>
      </c>
      <c r="G604" t="s">
        <v>4662</v>
      </c>
    </row>
    <row r="605" spans="1:12" hidden="1" x14ac:dyDescent="0.2">
      <c r="A605" s="235" t="s">
        <v>4658</v>
      </c>
      <c r="B605" t="s">
        <v>4663</v>
      </c>
    </row>
    <row r="606" spans="1:12" hidden="1" x14ac:dyDescent="0.2">
      <c r="A606" s="235" t="s">
        <v>4664</v>
      </c>
      <c r="B606" t="s">
        <v>4665</v>
      </c>
      <c r="C606" t="s">
        <v>1872</v>
      </c>
      <c r="D606" t="s">
        <v>4666</v>
      </c>
      <c r="F606" t="s">
        <v>4667</v>
      </c>
      <c r="G606" t="s">
        <v>4668</v>
      </c>
      <c r="H606" t="s">
        <v>4669</v>
      </c>
    </row>
    <row r="607" spans="1:12" hidden="1" x14ac:dyDescent="0.2">
      <c r="A607" s="235" t="s">
        <v>4679</v>
      </c>
      <c r="B607" t="s">
        <v>4670</v>
      </c>
      <c r="D607" t="s">
        <v>4671</v>
      </c>
      <c r="E607" t="s">
        <v>4672</v>
      </c>
    </row>
    <row r="608" spans="1:12" hidden="1" x14ac:dyDescent="0.2">
      <c r="A608" s="235" t="s">
        <v>64</v>
      </c>
      <c r="B608" t="s">
        <v>4673</v>
      </c>
      <c r="C608" t="s">
        <v>4674</v>
      </c>
      <c r="D608" t="s">
        <v>4675</v>
      </c>
      <c r="E608" t="s">
        <v>4676</v>
      </c>
      <c r="F608" t="s">
        <v>4677</v>
      </c>
      <c r="G608" t="s">
        <v>4678</v>
      </c>
    </row>
    <row r="609" spans="1:11" hidden="1" x14ac:dyDescent="0.2">
      <c r="A609" s="235" t="s">
        <v>4679</v>
      </c>
      <c r="B609" t="s">
        <v>4673</v>
      </c>
      <c r="C609" t="s">
        <v>1872</v>
      </c>
      <c r="D609" t="s">
        <v>4680</v>
      </c>
      <c r="E609" t="s">
        <v>4681</v>
      </c>
      <c r="F609" t="s">
        <v>4682</v>
      </c>
      <c r="G609" t="s">
        <v>4683</v>
      </c>
    </row>
    <row r="610" spans="1:11" hidden="1" x14ac:dyDescent="0.2">
      <c r="A610" s="235">
        <v>120911</v>
      </c>
      <c r="B610" t="s">
        <v>4673</v>
      </c>
      <c r="C610" t="s">
        <v>1680</v>
      </c>
      <c r="D610" t="s">
        <v>4675</v>
      </c>
      <c r="E610" t="s">
        <v>4676</v>
      </c>
      <c r="F610" t="s">
        <v>4677</v>
      </c>
      <c r="G610" t="s">
        <v>4678</v>
      </c>
    </row>
    <row r="611" spans="1:11" hidden="1" x14ac:dyDescent="0.2">
      <c r="A611" s="235" t="s">
        <v>4684</v>
      </c>
      <c r="B611" t="s">
        <v>4685</v>
      </c>
      <c r="C611" t="s">
        <v>1680</v>
      </c>
      <c r="D611" t="s">
        <v>4686</v>
      </c>
      <c r="E611" t="s">
        <v>4687</v>
      </c>
      <c r="F611" t="s">
        <v>4688</v>
      </c>
      <c r="G611" t="s">
        <v>4689</v>
      </c>
      <c r="H611" t="s">
        <v>4690</v>
      </c>
      <c r="I611" t="s">
        <v>2071</v>
      </c>
    </row>
    <row r="612" spans="1:11" hidden="1" x14ac:dyDescent="0.2">
      <c r="A612" s="235" t="s">
        <v>4691</v>
      </c>
      <c r="B612" t="s">
        <v>4692</v>
      </c>
      <c r="C612" t="s">
        <v>1680</v>
      </c>
      <c r="D612" t="s">
        <v>4693</v>
      </c>
      <c r="E612" t="s">
        <v>4694</v>
      </c>
      <c r="F612" t="s">
        <v>4695</v>
      </c>
      <c r="G612" t="s">
        <v>4696</v>
      </c>
      <c r="H612" t="s">
        <v>4697</v>
      </c>
      <c r="J612" t="s">
        <v>4698</v>
      </c>
      <c r="K612" t="s">
        <v>4699</v>
      </c>
    </row>
    <row r="613" spans="1:11" hidden="1" x14ac:dyDescent="0.2">
      <c r="A613" s="235" t="s">
        <v>4700</v>
      </c>
      <c r="B613" t="s">
        <v>4701</v>
      </c>
      <c r="C613" t="s">
        <v>1680</v>
      </c>
      <c r="D613" t="s">
        <v>2181</v>
      </c>
      <c r="E613" t="s">
        <v>4702</v>
      </c>
      <c r="F613" t="s">
        <v>4703</v>
      </c>
      <c r="G613" t="s">
        <v>4704</v>
      </c>
      <c r="J613" t="s">
        <v>4705</v>
      </c>
      <c r="K613" t="s">
        <v>4706</v>
      </c>
    </row>
    <row r="614" spans="1:11" hidden="1" x14ac:dyDescent="0.2">
      <c r="A614" s="235" t="s">
        <v>4700</v>
      </c>
      <c r="B614" t="s">
        <v>4707</v>
      </c>
      <c r="D614">
        <v>0</v>
      </c>
      <c r="E614">
        <v>0</v>
      </c>
      <c r="F614" t="s">
        <v>4703</v>
      </c>
      <c r="G614" t="s">
        <v>4704</v>
      </c>
    </row>
    <row r="615" spans="1:11" hidden="1" x14ac:dyDescent="0.2">
      <c r="A615" s="235" t="s">
        <v>3934</v>
      </c>
      <c r="B615" t="s">
        <v>3935</v>
      </c>
      <c r="C615" t="s">
        <v>3936</v>
      </c>
      <c r="D615" t="s">
        <v>3937</v>
      </c>
      <c r="E615" t="s">
        <v>3938</v>
      </c>
      <c r="F615" t="s">
        <v>4708</v>
      </c>
      <c r="G615" t="s">
        <v>4709</v>
      </c>
      <c r="J615" t="s">
        <v>3941</v>
      </c>
      <c r="K615" t="s">
        <v>3942</v>
      </c>
    </row>
  </sheetData>
  <autoFilter ref="A1:M615" xr:uid="{CCD01639-9D39-4AD6-A2C8-4A0575A0FE2E}">
    <filterColumn colId="1">
      <filters>
        <filter val="Baud Telecom Company - BTC"/>
      </filters>
    </filterColumn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D9F3-36C5-8946-8F76-BCB60ABDBA89}">
  <dimension ref="A1:B33"/>
  <sheetViews>
    <sheetView tabSelected="1" workbookViewId="0">
      <selection activeCell="C16" sqref="C16"/>
    </sheetView>
  </sheetViews>
  <sheetFormatPr baseColWidth="10" defaultRowHeight="15" x14ac:dyDescent="0.2"/>
  <cols>
    <col min="1" max="1" width="21.5" customWidth="1"/>
    <col min="2" max="2" width="33.83203125" customWidth="1"/>
  </cols>
  <sheetData>
    <row r="1" spans="1:2" x14ac:dyDescent="0.2">
      <c r="A1" t="s">
        <v>1680</v>
      </c>
      <c r="B1" t="s">
        <v>4728</v>
      </c>
    </row>
    <row r="2" spans="1:2" x14ac:dyDescent="0.2">
      <c r="A2" t="s">
        <v>1736</v>
      </c>
      <c r="B2" t="s">
        <v>4729</v>
      </c>
    </row>
    <row r="3" spans="1:2" x14ac:dyDescent="0.2">
      <c r="A3" t="s">
        <v>4714</v>
      </c>
      <c r="B3" t="s">
        <v>4730</v>
      </c>
    </row>
    <row r="4" spans="1:2" x14ac:dyDescent="0.2">
      <c r="A4" t="s">
        <v>4715</v>
      </c>
      <c r="B4" t="s">
        <v>4731</v>
      </c>
    </row>
    <row r="5" spans="1:2" x14ac:dyDescent="0.2">
      <c r="A5" t="s">
        <v>1872</v>
      </c>
      <c r="B5" t="s">
        <v>4732</v>
      </c>
    </row>
    <row r="6" spans="1:2" x14ac:dyDescent="0.2">
      <c r="A6" t="s">
        <v>1802</v>
      </c>
      <c r="B6" t="s">
        <v>4733</v>
      </c>
    </row>
    <row r="7" spans="1:2" x14ac:dyDescent="0.2">
      <c r="A7" t="s">
        <v>4716</v>
      </c>
      <c r="B7" t="s">
        <v>4734</v>
      </c>
    </row>
    <row r="8" spans="1:2" x14ac:dyDescent="0.2">
      <c r="A8" t="s">
        <v>3425</v>
      </c>
      <c r="B8" t="s">
        <v>4735</v>
      </c>
    </row>
    <row r="9" spans="1:2" x14ac:dyDescent="0.2">
      <c r="A9" t="s">
        <v>4717</v>
      </c>
      <c r="B9" t="s">
        <v>4736</v>
      </c>
    </row>
    <row r="10" spans="1:2" x14ac:dyDescent="0.2">
      <c r="A10" t="s">
        <v>4718</v>
      </c>
      <c r="B10" t="s">
        <v>4737</v>
      </c>
    </row>
    <row r="11" spans="1:2" x14ac:dyDescent="0.2">
      <c r="A11" t="s">
        <v>4046</v>
      </c>
      <c r="B11" t="s">
        <v>4738</v>
      </c>
    </row>
    <row r="12" spans="1:2" x14ac:dyDescent="0.2">
      <c r="A12" t="s">
        <v>4719</v>
      </c>
      <c r="B12" t="s">
        <v>4739</v>
      </c>
    </row>
    <row r="13" spans="1:2" x14ac:dyDescent="0.2">
      <c r="A13" t="s">
        <v>4720</v>
      </c>
      <c r="B13" t="s">
        <v>4740</v>
      </c>
    </row>
    <row r="14" spans="1:2" x14ac:dyDescent="0.2">
      <c r="A14" t="s">
        <v>4721</v>
      </c>
      <c r="B14" t="s">
        <v>4741</v>
      </c>
    </row>
    <row r="15" spans="1:2" x14ac:dyDescent="0.2">
      <c r="A15" t="s">
        <v>4722</v>
      </c>
      <c r="B15" t="s">
        <v>4742</v>
      </c>
    </row>
    <row r="16" spans="1:2" x14ac:dyDescent="0.2">
      <c r="A16" t="s">
        <v>4723</v>
      </c>
      <c r="B16" t="s">
        <v>4743</v>
      </c>
    </row>
    <row r="17" spans="1:2" x14ac:dyDescent="0.2">
      <c r="A17" t="s">
        <v>4724</v>
      </c>
      <c r="B17" t="s">
        <v>4744</v>
      </c>
    </row>
    <row r="18" spans="1:2" x14ac:dyDescent="0.2">
      <c r="A18" t="s">
        <v>4725</v>
      </c>
      <c r="B18" t="s">
        <v>4745</v>
      </c>
    </row>
    <row r="19" spans="1:2" x14ac:dyDescent="0.2">
      <c r="A19" t="s">
        <v>4726</v>
      </c>
      <c r="B19" t="s">
        <v>4746</v>
      </c>
    </row>
    <row r="20" spans="1:2" x14ac:dyDescent="0.2">
      <c r="A20" t="s">
        <v>4727</v>
      </c>
      <c r="B20" t="s">
        <v>4747</v>
      </c>
    </row>
    <row r="21" spans="1:2" x14ac:dyDescent="0.2">
      <c r="B21" t="s">
        <v>4748</v>
      </c>
    </row>
    <row r="22" spans="1:2" x14ac:dyDescent="0.2">
      <c r="B22" t="s">
        <v>4749</v>
      </c>
    </row>
    <row r="23" spans="1:2" x14ac:dyDescent="0.2">
      <c r="B23" t="s">
        <v>4750</v>
      </c>
    </row>
    <row r="24" spans="1:2" x14ac:dyDescent="0.2">
      <c r="B24" t="s">
        <v>4751</v>
      </c>
    </row>
    <row r="25" spans="1:2" x14ac:dyDescent="0.2">
      <c r="B25" t="s">
        <v>4752</v>
      </c>
    </row>
    <row r="26" spans="1:2" x14ac:dyDescent="0.2">
      <c r="B26" t="s">
        <v>4753</v>
      </c>
    </row>
    <row r="27" spans="1:2" x14ac:dyDescent="0.2">
      <c r="B27" t="s">
        <v>4754</v>
      </c>
    </row>
    <row r="28" spans="1:2" x14ac:dyDescent="0.2">
      <c r="B28" t="s">
        <v>4755</v>
      </c>
    </row>
    <row r="29" spans="1:2" x14ac:dyDescent="0.2">
      <c r="B29" t="s">
        <v>4756</v>
      </c>
    </row>
    <row r="30" spans="1:2" x14ac:dyDescent="0.2">
      <c r="B30" t="s">
        <v>4757</v>
      </c>
    </row>
    <row r="31" spans="1:2" x14ac:dyDescent="0.2">
      <c r="B31" t="s">
        <v>4758</v>
      </c>
    </row>
    <row r="32" spans="1:2" x14ac:dyDescent="0.2">
      <c r="B32" t="s">
        <v>4759</v>
      </c>
    </row>
    <row r="33" spans="2:2" x14ac:dyDescent="0.2">
      <c r="B33" t="s">
        <v>4760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F68B57-ADA9-438C-80F8-C1063155085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8269b034-74bd-4803-891b-1eb7ad4e2c51}" enabled="0" method="" siteId="{8269b034-74bd-4803-891b-1eb7ad4e2c5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VBA Code</vt:lpstr>
      <vt:lpstr>Sheet1</vt:lpstr>
      <vt:lpstr>Stock IN</vt:lpstr>
      <vt:lpstr>Stock OUT</vt:lpstr>
      <vt:lpstr>Stock by rack</vt:lpstr>
      <vt:lpstr>Pick Suggestion</vt:lpstr>
      <vt:lpstr>Main Stock</vt:lpstr>
      <vt:lpstr>Sold out</vt:lpstr>
      <vt:lpstr>Receiving </vt:lpstr>
      <vt:lpstr>Pendin delivery</vt:lpstr>
      <vt:lpstr>DELIVERY NOTE</vt:lpstr>
      <vt:lpstr>Customer Details </vt:lpstr>
      <vt:lpstr>CITY NAME</vt:lpstr>
      <vt:lpstr>DEL</vt:lpstr>
      <vt:lpstr>Delivery_address</vt:lpstr>
      <vt:lpstr>Details</vt:lpstr>
      <vt:lpstr>'DELIVERY NOTE'!Print_Area</vt:lpstr>
      <vt:lpstr>'DELIVERY NOTE'!Print_Titles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Sharma</dc:creator>
  <cp:lastModifiedBy>Deepak Sharma</cp:lastModifiedBy>
  <dcterms:created xsi:type="dcterms:W3CDTF">2026-04-27T04:23:12Z</dcterms:created>
  <dcterms:modified xsi:type="dcterms:W3CDTF">2026-05-01T16:48:12Z</dcterms:modified>
</cp:coreProperties>
</file>